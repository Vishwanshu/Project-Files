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7.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8.xml" ContentType="application/vnd.openxmlformats-officedocument.drawingml.chartshape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8774666f2d2e927d/Desktop/Data Analyst/Case study/CPI Inflation India/"/>
    </mc:Choice>
  </mc:AlternateContent>
  <xr:revisionPtr revIDLastSave="365" documentId="11_E0812BE187FE39C3766F608CBA59808A35F68D25" xr6:coauthVersionLast="47" xr6:coauthVersionMax="47" xr10:uidLastSave="{44C5D8F1-8A7C-46CE-BB39-ED38467C666A}"/>
  <bookViews>
    <workbookView xWindow="-108" yWindow="-108" windowWidth="23256" windowHeight="12456" tabRatio="603" activeTab="2" xr2:uid="{00000000-000D-0000-FFFF-FFFF00000000}"/>
  </bookViews>
  <sheets>
    <sheet name="Table Form" sheetId="4" r:id="rId1"/>
    <sheet name="Problem Sheet" sheetId="7" r:id="rId2"/>
    <sheet name="Sheet1" sheetId="29" r:id="rId3"/>
    <sheet name="Main Data" sheetId="1" r:id="rId4"/>
    <sheet name="Q1" sheetId="5" r:id="rId5"/>
    <sheet name="Pivot Q1" sheetId="6" r:id="rId6"/>
    <sheet name="Q2" sheetId="9" r:id="rId7"/>
    <sheet name="Q2 Data" sheetId="8" r:id="rId8"/>
    <sheet name="Q4 Summary" sheetId="28" r:id="rId9"/>
    <sheet name="Q3" sheetId="14" r:id="rId10"/>
    <sheet name="Q3 Data" sheetId="10" r:id="rId11"/>
    <sheet name="Q4" sheetId="16" r:id="rId12"/>
    <sheet name="Q4 Data" sheetId="15" r:id="rId13"/>
    <sheet name="Q5 MoM Inflation (%)" sheetId="23" r:id="rId14"/>
    <sheet name="Q5 Actual" sheetId="21" r:id="rId15"/>
  </sheets>
  <definedNames>
    <definedName name="_xlnm._FilterDatabase" localSheetId="3" hidden="1">'Main Data'!$A$2:$AK$374</definedName>
    <definedName name="_xlnm._FilterDatabase" localSheetId="4" hidden="1">'Q1'!$A$67:$C$74</definedName>
    <definedName name="_xlnm._FilterDatabase" localSheetId="7" hidden="1">'Q2 Data'!$A$1:$D$77</definedName>
    <definedName name="_xlnm._FilterDatabase" localSheetId="9" hidden="1">'Q3'!$A$16:$E$29</definedName>
    <definedName name="_xlnm._FilterDatabase" localSheetId="10" hidden="1">'Q3 Data'!$A$1:$Q$37</definedName>
    <definedName name="_xlnm._FilterDatabase" localSheetId="11" hidden="1">'Q4'!$A$2:$Q$49</definedName>
    <definedName name="_xlnm._FilterDatabase" localSheetId="12" hidden="1">'Q4 Data'!$A$1:$U$373</definedName>
    <definedName name="_xlnm._FilterDatabase" localSheetId="13" hidden="1">'Q5 MoM Inflation (%)'!$A$162:$B$188</definedName>
    <definedName name="_xlnm._FilterDatabase" localSheetId="0" hidden="1">'Table Form'!$A$1:$AD$375</definedName>
  </definedNames>
  <calcPr calcId="191029"/>
  <pivotCaches>
    <pivotCache cacheId="3"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9" l="1"/>
  <c r="E8" i="29"/>
  <c r="E9" i="29"/>
  <c r="E10" i="29"/>
  <c r="E6" i="29"/>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A2" i="29" a="1"/>
  <c r="A2" i="29" s="1"/>
  <c r="C101" i="14"/>
  <c r="D101" i="14" s="1"/>
  <c r="E101" i="14" s="1"/>
  <c r="B101" i="14"/>
  <c r="G55" i="28"/>
  <c r="D55" i="28"/>
  <c r="G54" i="28"/>
  <c r="D54" i="28"/>
  <c r="G53" i="28"/>
  <c r="D53" i="28"/>
  <c r="G52" i="28"/>
  <c r="D52" i="28"/>
  <c r="AG299" i="16"/>
  <c r="AG300" i="16"/>
  <c r="AG306" i="16"/>
  <c r="AG322" i="16"/>
  <c r="AF324" i="16"/>
  <c r="AE296" i="16"/>
  <c r="AG308" i="16" s="1"/>
  <c r="AE297" i="16"/>
  <c r="AG309" i="16" s="1"/>
  <c r="AE298" i="16"/>
  <c r="AG310" i="16" s="1"/>
  <c r="AE299" i="16"/>
  <c r="AE300" i="16"/>
  <c r="AE301" i="16"/>
  <c r="AE302" i="16"/>
  <c r="AE303" i="16"/>
  <c r="AE304" i="16"/>
  <c r="AF305" i="16" s="1"/>
  <c r="AE305" i="16"/>
  <c r="AF306" i="16" s="1"/>
  <c r="AE306" i="16"/>
  <c r="AE307" i="16"/>
  <c r="AF308" i="16" s="1"/>
  <c r="AE308" i="16"/>
  <c r="AE309" i="16"/>
  <c r="AF310" i="16" s="1"/>
  <c r="AE310" i="16"/>
  <c r="AE311" i="16"/>
  <c r="AE312" i="16"/>
  <c r="AG324" i="16" s="1"/>
  <c r="AE313" i="16"/>
  <c r="AG325" i="16" s="1"/>
  <c r="AE314" i="16"/>
  <c r="AG326" i="16" s="1"/>
  <c r="AE315" i="16"/>
  <c r="AE316" i="16"/>
  <c r="AE317" i="16"/>
  <c r="AE318" i="16"/>
  <c r="AE319" i="16"/>
  <c r="AF320" i="16" s="1"/>
  <c r="AE320" i="16"/>
  <c r="AG320" i="16" s="1"/>
  <c r="AE321" i="16"/>
  <c r="AF322" i="16" s="1"/>
  <c r="AE322" i="16"/>
  <c r="AF323" i="16" s="1"/>
  <c r="AE323" i="16"/>
  <c r="AE324" i="16"/>
  <c r="AE325" i="16"/>
  <c r="AF326" i="16" s="1"/>
  <c r="AE326" i="16"/>
  <c r="AE327" i="16"/>
  <c r="AE328" i="16"/>
  <c r="AE329" i="16"/>
  <c r="AF329" i="16" s="1"/>
  <c r="AE284" i="16"/>
  <c r="AG296" i="16" s="1"/>
  <c r="AE285" i="16"/>
  <c r="AE286" i="16"/>
  <c r="AE287" i="16"/>
  <c r="AE288" i="16"/>
  <c r="AE289" i="16"/>
  <c r="AF289" i="16" s="1"/>
  <c r="AE290" i="16"/>
  <c r="AE291" i="16"/>
  <c r="AE292" i="16"/>
  <c r="AE293" i="16"/>
  <c r="AE294" i="16"/>
  <c r="AE295" i="16"/>
  <c r="AG295" i="16" s="1"/>
  <c r="AE283" i="16"/>
  <c r="AF294" i="16"/>
  <c r="AF292" i="16"/>
  <c r="Z296" i="16"/>
  <c r="Z297" i="16"/>
  <c r="Z298" i="16"/>
  <c r="AA332" i="16" s="1"/>
  <c r="Z299" i="16"/>
  <c r="Z300" i="16"/>
  <c r="Z301" i="16"/>
  <c r="Z302" i="16"/>
  <c r="Z303" i="16"/>
  <c r="Z304" i="16"/>
  <c r="Z305" i="16"/>
  <c r="Z306" i="16"/>
  <c r="Z307" i="16"/>
  <c r="Z308" i="16"/>
  <c r="Z309" i="16"/>
  <c r="Z310" i="16"/>
  <c r="Z311" i="16"/>
  <c r="AA333" i="16" s="1"/>
  <c r="Z312" i="16"/>
  <c r="Z313" i="16"/>
  <c r="Z314" i="16"/>
  <c r="Z315" i="16"/>
  <c r="Z316" i="16"/>
  <c r="Z317" i="16"/>
  <c r="Z318" i="16"/>
  <c r="Z319" i="16"/>
  <c r="Z320" i="16"/>
  <c r="Z321" i="16"/>
  <c r="Z322" i="16"/>
  <c r="Z323" i="16"/>
  <c r="Z324" i="16"/>
  <c r="Z325" i="16"/>
  <c r="Z326" i="16"/>
  <c r="Z327" i="16"/>
  <c r="Z328" i="16"/>
  <c r="Z329" i="16"/>
  <c r="Y296" i="16"/>
  <c r="Y297" i="16"/>
  <c r="AB332" i="16" s="1"/>
  <c r="Y298" i="16"/>
  <c r="Y299" i="16"/>
  <c r="Y300" i="16"/>
  <c r="Y301" i="16"/>
  <c r="Y302" i="16"/>
  <c r="Y303" i="16"/>
  <c r="Y304" i="16"/>
  <c r="Y305" i="16"/>
  <c r="Y306" i="16"/>
  <c r="Y307" i="16"/>
  <c r="Y308" i="16"/>
  <c r="Y309" i="16"/>
  <c r="Y310" i="16"/>
  <c r="Y311" i="16"/>
  <c r="Y312" i="16"/>
  <c r="Y313" i="16"/>
  <c r="Y314" i="16"/>
  <c r="Y315" i="16"/>
  <c r="Y316" i="16"/>
  <c r="Y317" i="16"/>
  <c r="Y318" i="16"/>
  <c r="Y319" i="16"/>
  <c r="Y320" i="16"/>
  <c r="Y321" i="16"/>
  <c r="Y322" i="16"/>
  <c r="Y323" i="16"/>
  <c r="Y324" i="16"/>
  <c r="Y325" i="16"/>
  <c r="Y326" i="16"/>
  <c r="Y327" i="16"/>
  <c r="Y328" i="16"/>
  <c r="Y329" i="16"/>
  <c r="Z295" i="16"/>
  <c r="Y295" i="16"/>
  <c r="Y294" i="16"/>
  <c r="Y293" i="16"/>
  <c r="Y292" i="16"/>
  <c r="Y291" i="16"/>
  <c r="Y290" i="16"/>
  <c r="Y289" i="16"/>
  <c r="Y288" i="16"/>
  <c r="Y287" i="16"/>
  <c r="Y286" i="16"/>
  <c r="Y285" i="16"/>
  <c r="Y284" i="16"/>
  <c r="U296" i="16"/>
  <c r="U297" i="16"/>
  <c r="T332" i="16" s="1"/>
  <c r="U298" i="16"/>
  <c r="U299" i="16"/>
  <c r="U300" i="16"/>
  <c r="U301" i="16"/>
  <c r="U302" i="16"/>
  <c r="U303" i="16"/>
  <c r="U304" i="16"/>
  <c r="U305" i="16"/>
  <c r="U306" i="16"/>
  <c r="U307" i="16"/>
  <c r="U308" i="16"/>
  <c r="U309" i="16"/>
  <c r="U310" i="16"/>
  <c r="U311" i="16"/>
  <c r="U312" i="16"/>
  <c r="U313" i="16"/>
  <c r="U314" i="16"/>
  <c r="U315" i="16"/>
  <c r="U316" i="16"/>
  <c r="U317" i="16"/>
  <c r="U318" i="16"/>
  <c r="U319" i="16"/>
  <c r="U320" i="16"/>
  <c r="U321" i="16"/>
  <c r="U322" i="16"/>
  <c r="U323" i="16"/>
  <c r="U324" i="16"/>
  <c r="U325" i="16"/>
  <c r="U326" i="16"/>
  <c r="U327" i="16"/>
  <c r="U328" i="16"/>
  <c r="U329" i="16"/>
  <c r="T296" i="16"/>
  <c r="T297" i="16"/>
  <c r="U332" i="16" s="1"/>
  <c r="T298" i="16"/>
  <c r="T299" i="16"/>
  <c r="T300" i="16"/>
  <c r="T301" i="16"/>
  <c r="T302" i="16"/>
  <c r="T303" i="16"/>
  <c r="T304" i="16"/>
  <c r="T305" i="16"/>
  <c r="T306" i="16"/>
  <c r="T307" i="16"/>
  <c r="T308" i="16"/>
  <c r="T309" i="16"/>
  <c r="T310" i="16"/>
  <c r="T311" i="16"/>
  <c r="T312" i="16"/>
  <c r="T313" i="16"/>
  <c r="T314" i="16"/>
  <c r="T315" i="16"/>
  <c r="T316" i="16"/>
  <c r="T317" i="16"/>
  <c r="T318" i="16"/>
  <c r="T319" i="16"/>
  <c r="T320" i="16"/>
  <c r="T321" i="16"/>
  <c r="T322" i="16"/>
  <c r="T323" i="16"/>
  <c r="T324" i="16"/>
  <c r="T325" i="16"/>
  <c r="T326" i="16"/>
  <c r="T327" i="16"/>
  <c r="T328" i="16"/>
  <c r="T329" i="16"/>
  <c r="U295" i="16"/>
  <c r="T295" i="16"/>
  <c r="T294" i="16"/>
  <c r="T293" i="16"/>
  <c r="T292" i="16"/>
  <c r="T291" i="16"/>
  <c r="T290" i="16"/>
  <c r="T289" i="16"/>
  <c r="T288" i="16"/>
  <c r="T287" i="16"/>
  <c r="T286" i="16"/>
  <c r="T285" i="16"/>
  <c r="T284" i="16"/>
  <c r="O283" i="16"/>
  <c r="O284" i="16"/>
  <c r="O285" i="16"/>
  <c r="P286" i="16" s="1"/>
  <c r="O286" i="16"/>
  <c r="P287" i="16" s="1"/>
  <c r="O287" i="16"/>
  <c r="O288" i="16"/>
  <c r="P289" i="16" s="1"/>
  <c r="O289" i="16"/>
  <c r="O290" i="16"/>
  <c r="Q302" i="16" s="1"/>
  <c r="O291" i="16"/>
  <c r="O292" i="16"/>
  <c r="P293" i="16" s="1"/>
  <c r="O293" i="16"/>
  <c r="O294" i="16"/>
  <c r="O295" i="16"/>
  <c r="O296" i="16"/>
  <c r="O297" i="16"/>
  <c r="P297" i="16" s="1"/>
  <c r="O298" i="16"/>
  <c r="O299" i="16"/>
  <c r="O300" i="16"/>
  <c r="Q300" i="16" s="1"/>
  <c r="O301" i="16"/>
  <c r="Q301" i="16" s="1"/>
  <c r="O302" i="16"/>
  <c r="O303" i="16"/>
  <c r="P303" i="16" s="1"/>
  <c r="O304" i="16"/>
  <c r="O305" i="16"/>
  <c r="P305" i="16" s="1"/>
  <c r="O306" i="16"/>
  <c r="Q306" i="16"/>
  <c r="O307" i="16"/>
  <c r="P307" i="16" s="1"/>
  <c r="O308" i="16"/>
  <c r="Q308" i="16" s="1"/>
  <c r="O309" i="16"/>
  <c r="O310" i="16"/>
  <c r="O311" i="16"/>
  <c r="O312" i="16"/>
  <c r="O313" i="16"/>
  <c r="O314" i="16"/>
  <c r="O315" i="16"/>
  <c r="O316" i="16"/>
  <c r="Q316" i="16"/>
  <c r="O317" i="16"/>
  <c r="P317" i="16" s="1"/>
  <c r="O318" i="16"/>
  <c r="O319" i="16"/>
  <c r="P319" i="16" s="1"/>
  <c r="O320" i="16"/>
  <c r="O321" i="16"/>
  <c r="O322" i="16"/>
  <c r="O323" i="16"/>
  <c r="P323" i="16" s="1"/>
  <c r="O324" i="16"/>
  <c r="O325" i="16"/>
  <c r="O326" i="16"/>
  <c r="O327" i="16"/>
  <c r="O328" i="16"/>
  <c r="O329" i="16"/>
  <c r="G34" i="28"/>
  <c r="D34" i="28"/>
  <c r="G33" i="28"/>
  <c r="D33" i="28"/>
  <c r="G32" i="28"/>
  <c r="D32" i="28"/>
  <c r="G31" i="28"/>
  <c r="D31" i="28"/>
  <c r="AF249" i="16"/>
  <c r="AF258" i="16"/>
  <c r="AE256" i="16"/>
  <c r="AE257" i="16"/>
  <c r="AE265" i="16"/>
  <c r="AE224" i="16"/>
  <c r="AD222" i="16"/>
  <c r="AF234" i="16" s="1"/>
  <c r="AD223" i="16"/>
  <c r="AD224" i="16"/>
  <c r="AE225" i="16" s="1"/>
  <c r="AD225" i="16"/>
  <c r="AF237" i="16" s="1"/>
  <c r="AD226" i="16"/>
  <c r="AF238" i="16" s="1"/>
  <c r="AD227" i="16"/>
  <c r="AF239" i="16" s="1"/>
  <c r="AD228" i="16"/>
  <c r="AF240" i="16" s="1"/>
  <c r="AD229" i="16"/>
  <c r="AF241" i="16" s="1"/>
  <c r="AD230" i="16"/>
  <c r="AE231" i="16" s="1"/>
  <c r="AD231" i="16"/>
  <c r="AE232" i="16" s="1"/>
  <c r="AD232" i="16"/>
  <c r="AE233" i="16" s="1"/>
  <c r="AD233" i="16"/>
  <c r="AE234" i="16" s="1"/>
  <c r="AD234" i="16"/>
  <c r="AE235" i="16" s="1"/>
  <c r="AD235" i="16"/>
  <c r="AF235" i="16" s="1"/>
  <c r="AD236" i="16"/>
  <c r="AF236" i="16" s="1"/>
  <c r="AD237" i="16"/>
  <c r="AD238" i="16"/>
  <c r="AF250" i="16" s="1"/>
  <c r="AD239" i="16"/>
  <c r="AE240" i="16" s="1"/>
  <c r="AD240" i="16"/>
  <c r="AD241" i="16"/>
  <c r="AF253" i="16" s="1"/>
  <c r="AD242" i="16"/>
  <c r="AF254" i="16" s="1"/>
  <c r="AD243" i="16"/>
  <c r="AF255" i="16" s="1"/>
  <c r="AD244" i="16"/>
  <c r="AF256" i="16" s="1"/>
  <c r="AD245" i="16"/>
  <c r="AF257" i="16" s="1"/>
  <c r="AD246" i="16"/>
  <c r="AE247" i="16" s="1"/>
  <c r="AD247" i="16"/>
  <c r="AF259" i="16" s="1"/>
  <c r="AD248" i="16"/>
  <c r="AF260" i="16" s="1"/>
  <c r="AD249" i="16"/>
  <c r="AE250" i="16" s="1"/>
  <c r="AD250" i="16"/>
  <c r="AE251" i="16" s="1"/>
  <c r="AD251" i="16"/>
  <c r="AF251" i="16" s="1"/>
  <c r="AD252" i="16"/>
  <c r="AF252" i="16" s="1"/>
  <c r="AD253" i="16"/>
  <c r="AF265" i="16" s="1"/>
  <c r="AD254" i="16"/>
  <c r="AF266" i="16" s="1"/>
  <c r="AD255" i="16"/>
  <c r="AD256" i="16"/>
  <c r="AD257" i="16"/>
  <c r="AE258" i="16" s="1"/>
  <c r="AD258" i="16"/>
  <c r="AD259" i="16"/>
  <c r="AE259" i="16" s="1"/>
  <c r="AD260" i="16"/>
  <c r="AD261" i="16"/>
  <c r="AD262" i="16"/>
  <c r="AE263" i="16" s="1"/>
  <c r="AD263" i="16"/>
  <c r="AE264" i="16" s="1"/>
  <c r="AD264" i="16"/>
  <c r="AD265" i="16"/>
  <c r="AE266" i="16" s="1"/>
  <c r="AD266" i="16"/>
  <c r="AE267" i="16" s="1"/>
  <c r="AD267" i="16"/>
  <c r="AF267" i="16" s="1"/>
  <c r="AD221" i="16"/>
  <c r="Y234" i="16"/>
  <c r="Y235" i="16"/>
  <c r="Y236" i="16"/>
  <c r="Y237" i="16"/>
  <c r="Y238" i="16"/>
  <c r="Y239" i="16"/>
  <c r="Y240" i="16"/>
  <c r="Y241" i="16"/>
  <c r="Y242" i="16"/>
  <c r="Y243" i="16"/>
  <c r="Y244" i="16"/>
  <c r="Y245" i="16"/>
  <c r="Y246" i="16"/>
  <c r="Y247" i="16"/>
  <c r="Y248" i="16"/>
  <c r="Y249" i="16"/>
  <c r="Y250" i="16"/>
  <c r="Y251" i="16"/>
  <c r="Y252" i="16"/>
  <c r="Y253" i="16"/>
  <c r="Y254" i="16"/>
  <c r="Y255" i="16"/>
  <c r="Y256" i="16"/>
  <c r="Y257" i="16"/>
  <c r="Y258" i="16"/>
  <c r="Y259" i="16"/>
  <c r="Y260" i="16"/>
  <c r="Y261" i="16"/>
  <c r="Y262" i="16"/>
  <c r="Y263" i="16"/>
  <c r="Y264" i="16"/>
  <c r="Y265" i="16"/>
  <c r="Y266" i="16"/>
  <c r="Y267" i="16"/>
  <c r="X234" i="16"/>
  <c r="X235" i="16"/>
  <c r="AB270" i="16" s="1"/>
  <c r="X236" i="16"/>
  <c r="X237" i="16"/>
  <c r="X238" i="16"/>
  <c r="X239" i="16"/>
  <c r="X240" i="16"/>
  <c r="X241" i="16"/>
  <c r="X242" i="16"/>
  <c r="X243" i="16"/>
  <c r="X244" i="16"/>
  <c r="X245" i="16"/>
  <c r="X246" i="16"/>
  <c r="X247" i="16"/>
  <c r="X248" i="16"/>
  <c r="AB271" i="16" s="1"/>
  <c r="X249" i="16"/>
  <c r="X250" i="16"/>
  <c r="X251" i="16"/>
  <c r="X252" i="16"/>
  <c r="X253" i="16"/>
  <c r="X254" i="16"/>
  <c r="X255" i="16"/>
  <c r="X256" i="16"/>
  <c r="X257" i="16"/>
  <c r="X258" i="16"/>
  <c r="X259" i="16"/>
  <c r="X260" i="16"/>
  <c r="X261" i="16"/>
  <c r="X262" i="16"/>
  <c r="X263" i="16"/>
  <c r="X264" i="16"/>
  <c r="X265" i="16"/>
  <c r="X266" i="16"/>
  <c r="X267" i="16"/>
  <c r="Y233" i="16"/>
  <c r="X233" i="16"/>
  <c r="X232" i="16"/>
  <c r="X231" i="16"/>
  <c r="X230" i="16"/>
  <c r="X229" i="16"/>
  <c r="X228" i="16"/>
  <c r="X227" i="16"/>
  <c r="X226" i="16"/>
  <c r="X225" i="16"/>
  <c r="X224" i="16"/>
  <c r="X223" i="16"/>
  <c r="X222" i="16"/>
  <c r="U234" i="16"/>
  <c r="U235" i="16"/>
  <c r="U236" i="16"/>
  <c r="U237" i="16"/>
  <c r="T270" i="16" s="1"/>
  <c r="U238" i="16"/>
  <c r="U239" i="16"/>
  <c r="U240" i="16"/>
  <c r="U241" i="16"/>
  <c r="U242" i="16"/>
  <c r="U243" i="16"/>
  <c r="U244" i="16"/>
  <c r="U245" i="16"/>
  <c r="U246" i="16"/>
  <c r="U247" i="16"/>
  <c r="U248" i="16"/>
  <c r="U249" i="16"/>
  <c r="U250" i="16"/>
  <c r="U251" i="16"/>
  <c r="U252" i="16"/>
  <c r="U253" i="16"/>
  <c r="U254" i="16"/>
  <c r="U255" i="16"/>
  <c r="U256" i="16"/>
  <c r="U257" i="16"/>
  <c r="U258" i="16"/>
  <c r="U259" i="16"/>
  <c r="U260" i="16"/>
  <c r="U261" i="16"/>
  <c r="U262" i="16"/>
  <c r="U263" i="16"/>
  <c r="U264" i="16"/>
  <c r="U265" i="16"/>
  <c r="U266" i="16"/>
  <c r="U267" i="16"/>
  <c r="U233" i="16"/>
  <c r="T223" i="16"/>
  <c r="T224" i="16"/>
  <c r="T225" i="16"/>
  <c r="T226" i="16"/>
  <c r="T227" i="16"/>
  <c r="T228" i="16"/>
  <c r="T229" i="16"/>
  <c r="T230" i="16"/>
  <c r="T231" i="16"/>
  <c r="T232" i="16"/>
  <c r="T233" i="16"/>
  <c r="T234" i="16"/>
  <c r="T235" i="16"/>
  <c r="T236" i="16"/>
  <c r="T237" i="16"/>
  <c r="T238" i="16"/>
  <c r="T239" i="16"/>
  <c r="T240" i="16"/>
  <c r="T241" i="16"/>
  <c r="T242" i="16"/>
  <c r="T243" i="16"/>
  <c r="T244" i="16"/>
  <c r="T245" i="16"/>
  <c r="T246" i="16"/>
  <c r="T247" i="16"/>
  <c r="T248" i="16"/>
  <c r="U271" i="16" s="1"/>
  <c r="T249" i="16"/>
  <c r="T250" i="16"/>
  <c r="T251" i="16"/>
  <c r="T252" i="16"/>
  <c r="T253" i="16"/>
  <c r="T254" i="16"/>
  <c r="T255" i="16"/>
  <c r="T256" i="16"/>
  <c r="T257" i="16"/>
  <c r="T258" i="16"/>
  <c r="T259" i="16"/>
  <c r="T260" i="16"/>
  <c r="T261" i="16"/>
  <c r="T262" i="16"/>
  <c r="T263" i="16"/>
  <c r="T264" i="16"/>
  <c r="T265" i="16"/>
  <c r="T266" i="16"/>
  <c r="T267" i="16"/>
  <c r="T222" i="16"/>
  <c r="P223" i="16"/>
  <c r="P224" i="16"/>
  <c r="P226" i="16"/>
  <c r="P255" i="16"/>
  <c r="P256" i="16"/>
  <c r="P258" i="16"/>
  <c r="P263" i="16"/>
  <c r="P264" i="16"/>
  <c r="O222" i="16"/>
  <c r="O223" i="16"/>
  <c r="O224" i="16"/>
  <c r="Q236" i="16" s="1"/>
  <c r="O225" i="16"/>
  <c r="Q237" i="16" s="1"/>
  <c r="O226" i="16"/>
  <c r="O227" i="16"/>
  <c r="Q239" i="16" s="1"/>
  <c r="O228" i="16"/>
  <c r="Q240" i="16" s="1"/>
  <c r="O229" i="16"/>
  <c r="O230" i="16"/>
  <c r="Q242" i="16" s="1"/>
  <c r="O231" i="16"/>
  <c r="O232" i="16"/>
  <c r="Q244" i="16" s="1"/>
  <c r="O233" i="16"/>
  <c r="Q245" i="16" s="1"/>
  <c r="O234" i="16"/>
  <c r="Q246" i="16" s="1"/>
  <c r="O235" i="16"/>
  <c r="Q247" i="16" s="1"/>
  <c r="O236" i="16"/>
  <c r="O237" i="16"/>
  <c r="O238" i="16"/>
  <c r="O239" i="16"/>
  <c r="O240" i="16"/>
  <c r="Q252" i="16" s="1"/>
  <c r="O241" i="16"/>
  <c r="Q253" i="16" s="1"/>
  <c r="O242" i="16"/>
  <c r="O243" i="16"/>
  <c r="O244" i="16"/>
  <c r="Q256" i="16" s="1"/>
  <c r="O245" i="16"/>
  <c r="O246" i="16"/>
  <c r="Q258" i="16" s="1"/>
  <c r="O247" i="16"/>
  <c r="O248" i="16"/>
  <c r="Q260" i="16" s="1"/>
  <c r="O249" i="16"/>
  <c r="Q261" i="16" s="1"/>
  <c r="O250" i="16"/>
  <c r="Q262" i="16" s="1"/>
  <c r="O251" i="16"/>
  <c r="Q263" i="16" s="1"/>
  <c r="O252" i="16"/>
  <c r="O253" i="16"/>
  <c r="O254" i="16"/>
  <c r="O255" i="16"/>
  <c r="O256" i="16"/>
  <c r="P257" i="16" s="1"/>
  <c r="O257" i="16"/>
  <c r="O258" i="16"/>
  <c r="O259" i="16"/>
  <c r="O260" i="16"/>
  <c r="O261" i="16"/>
  <c r="O262" i="16"/>
  <c r="O263" i="16"/>
  <c r="O264" i="16"/>
  <c r="P265" i="16" s="1"/>
  <c r="O265" i="16"/>
  <c r="P266" i="16" s="1"/>
  <c r="O266" i="16"/>
  <c r="P267" i="16" s="1"/>
  <c r="O267" i="16"/>
  <c r="O221" i="16"/>
  <c r="AG329" i="16" l="1"/>
  <c r="AG313" i="16"/>
  <c r="AG317" i="16"/>
  <c r="T333" i="16"/>
  <c r="V332" i="16" s="1"/>
  <c r="AG298" i="16"/>
  <c r="AG328" i="16"/>
  <c r="AG312" i="16"/>
  <c r="AG316" i="16"/>
  <c r="Q259" i="16"/>
  <c r="Q243" i="16"/>
  <c r="P231" i="16"/>
  <c r="AE261" i="16"/>
  <c r="AF242" i="16"/>
  <c r="P322" i="16"/>
  <c r="Q321" i="16"/>
  <c r="P298" i="16"/>
  <c r="AF285" i="16"/>
  <c r="AG327" i="16"/>
  <c r="AG311" i="16"/>
  <c r="AG307" i="16"/>
  <c r="Q324" i="16"/>
  <c r="P232" i="16"/>
  <c r="AF243" i="16"/>
  <c r="Q257" i="16"/>
  <c r="Q241" i="16"/>
  <c r="P233" i="16"/>
  <c r="P262" i="16"/>
  <c r="P225" i="16"/>
  <c r="AB333" i="16"/>
  <c r="AD332" i="16" s="1"/>
  <c r="P251" i="16"/>
  <c r="AF284" i="16"/>
  <c r="P261" i="16"/>
  <c r="AE255" i="16"/>
  <c r="P260" i="16"/>
  <c r="P244" i="16"/>
  <c r="P250" i="16"/>
  <c r="AE249" i="16"/>
  <c r="P306" i="16"/>
  <c r="AF328" i="16"/>
  <c r="AF312" i="16"/>
  <c r="P259" i="16"/>
  <c r="P243" i="16"/>
  <c r="P227" i="16"/>
  <c r="P249" i="16"/>
  <c r="AE248" i="16"/>
  <c r="Q317" i="16"/>
  <c r="P294" i="16"/>
  <c r="AF327" i="16"/>
  <c r="AF311" i="16"/>
  <c r="AF321" i="16"/>
  <c r="AE262" i="16"/>
  <c r="T271" i="16"/>
  <c r="AF325" i="16"/>
  <c r="AF309" i="16"/>
  <c r="AF315" i="16"/>
  <c r="AE223" i="16"/>
  <c r="AE242" i="16"/>
  <c r="Q267" i="16"/>
  <c r="Q251" i="16"/>
  <c r="Q235" i="16"/>
  <c r="P242" i="16"/>
  <c r="AE222" i="16"/>
  <c r="AE241" i="16"/>
  <c r="P315" i="16"/>
  <c r="AG318" i="16"/>
  <c r="AF307" i="16"/>
  <c r="P234" i="16"/>
  <c r="U333" i="16"/>
  <c r="W332" i="16" s="1"/>
  <c r="AA271" i="16"/>
  <c r="AE226" i="16"/>
  <c r="AE239" i="16"/>
  <c r="Q328" i="16"/>
  <c r="P302" i="16"/>
  <c r="AF291" i="16"/>
  <c r="U270" i="16"/>
  <c r="W270" i="16" s="1"/>
  <c r="AA270" i="16"/>
  <c r="P247" i="16"/>
  <c r="Q266" i="16"/>
  <c r="Q250" i="16"/>
  <c r="Q234" i="16"/>
  <c r="P241" i="16"/>
  <c r="Q265" i="16"/>
  <c r="Q249" i="16"/>
  <c r="P240" i="16"/>
  <c r="Q233" i="16"/>
  <c r="Q264" i="16"/>
  <c r="P237" i="16"/>
  <c r="P239" i="16"/>
  <c r="P327" i="16"/>
  <c r="P313" i="16"/>
  <c r="AG302" i="16"/>
  <c r="AG304" i="16"/>
  <c r="AF299" i="16"/>
  <c r="P284" i="16"/>
  <c r="P248" i="16"/>
  <c r="P235" i="16"/>
  <c r="P326" i="16"/>
  <c r="Q312" i="16"/>
  <c r="AG315" i="16"/>
  <c r="AG323" i="16"/>
  <c r="AF318" i="16"/>
  <c r="AG314" i="16"/>
  <c r="Q248" i="16"/>
  <c r="Q254" i="16"/>
  <c r="Q238" i="16"/>
  <c r="AF287" i="16"/>
  <c r="AF319" i="16"/>
  <c r="AF303" i="16"/>
  <c r="AG321" i="16"/>
  <c r="AG305" i="16"/>
  <c r="AF262" i="16"/>
  <c r="Q296" i="16"/>
  <c r="AF302" i="16"/>
  <c r="AF263" i="16"/>
  <c r="AE260" i="16"/>
  <c r="AE244" i="16"/>
  <c r="AF246" i="16"/>
  <c r="P254" i="16"/>
  <c r="P238" i="16"/>
  <c r="AE227" i="16"/>
  <c r="AE243" i="16"/>
  <c r="AF261" i="16"/>
  <c r="AF245" i="16"/>
  <c r="P325" i="16"/>
  <c r="AF286" i="16"/>
  <c r="AF317" i="16"/>
  <c r="AF301" i="16"/>
  <c r="AG319" i="16"/>
  <c r="AG303" i="16"/>
  <c r="AE246" i="16"/>
  <c r="AF264" i="16"/>
  <c r="AF248" i="16"/>
  <c r="Q297" i="16"/>
  <c r="AF304" i="16"/>
  <c r="AE245" i="16"/>
  <c r="AF247" i="16"/>
  <c r="Q325" i="16"/>
  <c r="Q305" i="16"/>
  <c r="P253" i="16"/>
  <c r="AE228" i="16"/>
  <c r="AF244" i="16"/>
  <c r="AI270" i="16" s="1"/>
  <c r="P314" i="16"/>
  <c r="Q304" i="16"/>
  <c r="P295" i="16"/>
  <c r="AF288" i="16"/>
  <c r="AF316" i="16"/>
  <c r="AF300" i="16"/>
  <c r="AE230" i="16"/>
  <c r="Q255" i="16"/>
  <c r="P222" i="16"/>
  <c r="P252" i="16"/>
  <c r="P236" i="16"/>
  <c r="AE229" i="16"/>
  <c r="Q313" i="16"/>
  <c r="AF290" i="16"/>
  <c r="AG301" i="16"/>
  <c r="AF314" i="16"/>
  <c r="AF298" i="16"/>
  <c r="AF313" i="16"/>
  <c r="AJ333" i="16" s="1"/>
  <c r="AF297" i="16"/>
  <c r="AF296" i="16"/>
  <c r="AE253" i="16"/>
  <c r="AE237" i="16"/>
  <c r="P311" i="16"/>
  <c r="P290" i="16"/>
  <c r="AG297" i="16"/>
  <c r="AF233" i="16"/>
  <c r="AE252" i="16"/>
  <c r="AE236" i="16"/>
  <c r="P321" i="16"/>
  <c r="P310" i="16"/>
  <c r="P301" i="16"/>
  <c r="Q329" i="16"/>
  <c r="Q320" i="16"/>
  <c r="Q309" i="16"/>
  <c r="Q299" i="16"/>
  <c r="AF293" i="16"/>
  <c r="AE254" i="16"/>
  <c r="AE238" i="16"/>
  <c r="P291" i="16"/>
  <c r="P246" i="16"/>
  <c r="P230" i="16"/>
  <c r="P245" i="16"/>
  <c r="P229" i="16"/>
  <c r="P329" i="16"/>
  <c r="P309" i="16"/>
  <c r="P299" i="16"/>
  <c r="P228" i="16"/>
  <c r="Q298" i="16"/>
  <c r="P318" i="16"/>
  <c r="P285" i="16"/>
  <c r="AC332" i="16"/>
  <c r="AF295" i="16"/>
  <c r="P328" i="16"/>
  <c r="P324" i="16"/>
  <c r="P304" i="16"/>
  <c r="P300" i="16"/>
  <c r="P296" i="16"/>
  <c r="Q326" i="16"/>
  <c r="Q322" i="16"/>
  <c r="Q318" i="16"/>
  <c r="Q314" i="16"/>
  <c r="Q310" i="16"/>
  <c r="P292" i="16"/>
  <c r="P288" i="16"/>
  <c r="P320" i="16"/>
  <c r="P312" i="16"/>
  <c r="P308" i="16"/>
  <c r="Q327" i="16"/>
  <c r="Q323" i="16"/>
  <c r="Q319" i="16"/>
  <c r="Q315" i="16"/>
  <c r="Q311" i="16"/>
  <c r="Q307" i="16"/>
  <c r="Q303" i="16"/>
  <c r="Q295" i="16"/>
  <c r="P316" i="16"/>
  <c r="AD270" i="16"/>
  <c r="AC270" i="16"/>
  <c r="V270" i="16"/>
  <c r="C66" i="14"/>
  <c r="B66" i="14"/>
  <c r="B33" i="9"/>
  <c r="B34" i="9"/>
  <c r="B35" i="9"/>
  <c r="B36" i="9"/>
  <c r="B37" i="9"/>
  <c r="C37" i="9" s="1"/>
  <c r="B38" i="9"/>
  <c r="B32" i="9"/>
  <c r="B18" i="9"/>
  <c r="B19" i="9"/>
  <c r="C19" i="9" s="1"/>
  <c r="B20" i="9"/>
  <c r="B21" i="9"/>
  <c r="B22" i="9"/>
  <c r="B23" i="9"/>
  <c r="C23" i="9" s="1"/>
  <c r="B17" i="9"/>
  <c r="C22" i="9" l="1"/>
  <c r="C38" i="9"/>
  <c r="C36" i="9"/>
  <c r="AJ270" i="16"/>
  <c r="AJ271" i="16"/>
  <c r="D66" i="14"/>
  <c r="E66" i="14" s="1"/>
  <c r="AJ332" i="16"/>
  <c r="AL332" i="16" s="1"/>
  <c r="AI333" i="16"/>
  <c r="AL270" i="16"/>
  <c r="AI271" i="16"/>
  <c r="AK270" i="16" s="1"/>
  <c r="C35" i="9"/>
  <c r="AI332" i="16"/>
  <c r="AK332" i="16" s="1"/>
  <c r="C21" i="9"/>
  <c r="C34" i="9"/>
  <c r="C33" i="9"/>
  <c r="C18" i="9"/>
  <c r="C20" i="9"/>
  <c r="G11" i="28"/>
  <c r="G12" i="28"/>
  <c r="G13" i="28"/>
  <c r="G10" i="28"/>
  <c r="D11" i="28"/>
  <c r="D12" i="28"/>
  <c r="D13" i="28"/>
  <c r="D10" i="28"/>
  <c r="G205" i="16"/>
  <c r="F205" i="16"/>
  <c r="G204" i="16"/>
  <c r="F204" i="16"/>
  <c r="G203" i="16"/>
  <c r="F203" i="16"/>
  <c r="G202" i="16"/>
  <c r="F202" i="16"/>
  <c r="G201" i="16"/>
  <c r="F201" i="16"/>
  <c r="G200" i="16"/>
  <c r="F200" i="16"/>
  <c r="G199" i="16"/>
  <c r="F199" i="16"/>
  <c r="G198" i="16"/>
  <c r="F198" i="16"/>
  <c r="G197" i="16"/>
  <c r="F197" i="16"/>
  <c r="G196" i="16"/>
  <c r="F196" i="16"/>
  <c r="G195" i="16"/>
  <c r="F195" i="16"/>
  <c r="G194" i="16"/>
  <c r="F194" i="16"/>
  <c r="G193" i="16"/>
  <c r="F193" i="16"/>
  <c r="G192" i="16"/>
  <c r="F192" i="16"/>
  <c r="G191" i="16"/>
  <c r="F191" i="16"/>
  <c r="G190" i="16"/>
  <c r="F190" i="16"/>
  <c r="G189" i="16"/>
  <c r="F189" i="16"/>
  <c r="G188" i="16"/>
  <c r="F188" i="16"/>
  <c r="G187" i="16"/>
  <c r="F187" i="16"/>
  <c r="G186" i="16"/>
  <c r="F186" i="16"/>
  <c r="G185" i="16"/>
  <c r="F185" i="16"/>
  <c r="G184" i="16"/>
  <c r="F184" i="16"/>
  <c r="G183" i="16"/>
  <c r="F183" i="16"/>
  <c r="G182" i="16"/>
  <c r="F182" i="16"/>
  <c r="G181" i="16"/>
  <c r="F181" i="16"/>
  <c r="G180" i="16"/>
  <c r="F180" i="16"/>
  <c r="G179" i="16"/>
  <c r="F179" i="16"/>
  <c r="G178" i="16"/>
  <c r="F178" i="16"/>
  <c r="G177" i="16"/>
  <c r="F177" i="16"/>
  <c r="G176" i="16"/>
  <c r="F176" i="16"/>
  <c r="G175" i="16"/>
  <c r="F175" i="16"/>
  <c r="G174" i="16"/>
  <c r="F174" i="16"/>
  <c r="G173" i="16"/>
  <c r="F173" i="16"/>
  <c r="G172" i="16"/>
  <c r="F172" i="16"/>
  <c r="G171" i="16"/>
  <c r="F171" i="16"/>
  <c r="F170" i="16"/>
  <c r="F169" i="16"/>
  <c r="F168" i="16"/>
  <c r="F167" i="16"/>
  <c r="F166" i="16"/>
  <c r="F165" i="16"/>
  <c r="F164" i="16"/>
  <c r="F163" i="16"/>
  <c r="F162" i="16"/>
  <c r="F161" i="16"/>
  <c r="F160" i="16"/>
  <c r="D205" i="16"/>
  <c r="D204" i="16"/>
  <c r="D203" i="16"/>
  <c r="D202" i="16"/>
  <c r="D201" i="16"/>
  <c r="D200" i="16"/>
  <c r="D199" i="16"/>
  <c r="D198" i="16"/>
  <c r="D197" i="16"/>
  <c r="D196" i="16"/>
  <c r="D195" i="16"/>
  <c r="D194" i="16"/>
  <c r="D193" i="16"/>
  <c r="D192" i="16"/>
  <c r="D191" i="16"/>
  <c r="D190" i="16"/>
  <c r="D189" i="16"/>
  <c r="D188" i="16"/>
  <c r="D187" i="16"/>
  <c r="D186" i="16"/>
  <c r="D185" i="16"/>
  <c r="D184" i="16"/>
  <c r="D183" i="16"/>
  <c r="D182" i="16"/>
  <c r="D181" i="16"/>
  <c r="D180" i="16"/>
  <c r="D179" i="16"/>
  <c r="D178" i="16"/>
  <c r="D177" i="16"/>
  <c r="D176" i="16"/>
  <c r="D175" i="16"/>
  <c r="D174" i="16"/>
  <c r="D173" i="16"/>
  <c r="D172" i="16"/>
  <c r="D171" i="16"/>
  <c r="D170" i="16"/>
  <c r="D169" i="16"/>
  <c r="D168" i="16"/>
  <c r="D167" i="16"/>
  <c r="D166" i="16"/>
  <c r="D165" i="16"/>
  <c r="D164" i="16"/>
  <c r="D163" i="16"/>
  <c r="D162" i="16"/>
  <c r="D161" i="16"/>
  <c r="D160" i="16"/>
  <c r="D15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09" i="16"/>
  <c r="D154" i="16"/>
  <c r="D153"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I101" i="16" s="1"/>
  <c r="G102" i="16"/>
  <c r="G103" i="16"/>
  <c r="G57"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O4"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3" i="16"/>
  <c r="C30" i="14"/>
  <c r="B30" i="14"/>
  <c r="D30" i="14" l="1"/>
  <c r="E30" i="14" s="1"/>
  <c r="P47" i="16"/>
  <c r="C40" i="9"/>
  <c r="H68" i="16"/>
  <c r="P49" i="16"/>
  <c r="P17" i="16"/>
  <c r="Q18" i="16"/>
  <c r="H88" i="16"/>
  <c r="I92" i="16"/>
  <c r="I76" i="16"/>
  <c r="P31" i="16"/>
  <c r="P15" i="16"/>
  <c r="H100" i="16"/>
  <c r="H96" i="16"/>
  <c r="H84" i="16"/>
  <c r="H80" i="16"/>
  <c r="H72" i="16"/>
  <c r="H64" i="16"/>
  <c r="P46" i="16"/>
  <c r="P42" i="16"/>
  <c r="P38" i="16"/>
  <c r="P34" i="16"/>
  <c r="P30" i="16"/>
  <c r="P26" i="16"/>
  <c r="P22" i="16"/>
  <c r="P18" i="16"/>
  <c r="P14" i="16"/>
  <c r="P10" i="16"/>
  <c r="P6" i="16"/>
  <c r="H103" i="16"/>
  <c r="K161" i="16"/>
  <c r="I93" i="16"/>
  <c r="I85" i="16"/>
  <c r="I77" i="16"/>
  <c r="I84" i="16"/>
  <c r="P45" i="16"/>
  <c r="I100" i="16"/>
  <c r="P43" i="16"/>
  <c r="P27" i="16"/>
  <c r="P11" i="16"/>
  <c r="H99" i="16"/>
  <c r="P39" i="16"/>
  <c r="P23" i="16"/>
  <c r="P7" i="16"/>
  <c r="H95" i="16"/>
  <c r="Q42" i="16"/>
  <c r="P35" i="16"/>
  <c r="P19" i="16"/>
  <c r="Q34" i="16"/>
  <c r="Q26" i="16"/>
  <c r="K162" i="16"/>
  <c r="J162" i="16"/>
  <c r="J161" i="16"/>
  <c r="K111" i="16"/>
  <c r="P41" i="16"/>
  <c r="P25" i="16"/>
  <c r="P9" i="16"/>
  <c r="Q45" i="16"/>
  <c r="Q37" i="16"/>
  <c r="Q29" i="16"/>
  <c r="Q21" i="16"/>
  <c r="Q44" i="16"/>
  <c r="Q32" i="16"/>
  <c r="H98" i="16"/>
  <c r="H86" i="16"/>
  <c r="H78" i="16"/>
  <c r="H70" i="16"/>
  <c r="H62" i="16"/>
  <c r="P48" i="16"/>
  <c r="P44" i="16"/>
  <c r="P40" i="16"/>
  <c r="Q47" i="16"/>
  <c r="Q43" i="16"/>
  <c r="Q39" i="16"/>
  <c r="Q35" i="16"/>
  <c r="Q31" i="16"/>
  <c r="Q27" i="16"/>
  <c r="Q23" i="16"/>
  <c r="Q19" i="16"/>
  <c r="P33" i="16"/>
  <c r="Q49" i="16"/>
  <c r="Q41" i="16"/>
  <c r="Q33" i="16"/>
  <c r="Q25" i="16"/>
  <c r="Q17" i="16"/>
  <c r="H101" i="16"/>
  <c r="H97" i="16"/>
  <c r="H93" i="16"/>
  <c r="H89" i="16"/>
  <c r="H85" i="16"/>
  <c r="H81" i="16"/>
  <c r="H77" i="16"/>
  <c r="H73" i="16"/>
  <c r="H69" i="16"/>
  <c r="H65" i="16"/>
  <c r="H61" i="16"/>
  <c r="I97" i="16"/>
  <c r="I89" i="16"/>
  <c r="I81" i="16"/>
  <c r="I73" i="16"/>
  <c r="I102" i="16"/>
  <c r="I98" i="16"/>
  <c r="I94" i="16"/>
  <c r="I90" i="16"/>
  <c r="I86" i="16"/>
  <c r="I82" i="16"/>
  <c r="I78" i="16"/>
  <c r="I74" i="16"/>
  <c r="I70" i="16"/>
  <c r="Q48" i="16"/>
  <c r="Q40" i="16"/>
  <c r="Q36" i="16"/>
  <c r="Q28" i="16"/>
  <c r="Q24" i="16"/>
  <c r="Q20" i="16"/>
  <c r="Q16" i="16"/>
  <c r="P37" i="16"/>
  <c r="P21" i="16"/>
  <c r="P5" i="16"/>
  <c r="H102" i="16"/>
  <c r="H94" i="16"/>
  <c r="H90" i="16"/>
  <c r="H82" i="16"/>
  <c r="H74" i="16"/>
  <c r="H66" i="16"/>
  <c r="P29" i="16"/>
  <c r="P13" i="16"/>
  <c r="Q46" i="16"/>
  <c r="Q38" i="16"/>
  <c r="Q30" i="16"/>
  <c r="Q22" i="16"/>
  <c r="I103" i="16"/>
  <c r="I99" i="16"/>
  <c r="I95" i="16"/>
  <c r="I91" i="16"/>
  <c r="I87" i="16"/>
  <c r="I83" i="16"/>
  <c r="I79" i="16"/>
  <c r="I75" i="16"/>
  <c r="I71" i="16"/>
  <c r="H92" i="16"/>
  <c r="H76" i="16"/>
  <c r="H60" i="16"/>
  <c r="I96" i="16"/>
  <c r="I88" i="16"/>
  <c r="I80" i="16"/>
  <c r="I72" i="16"/>
  <c r="Q15" i="16"/>
  <c r="P32" i="16"/>
  <c r="P24" i="16"/>
  <c r="P16" i="16"/>
  <c r="H91" i="16"/>
  <c r="H79" i="16"/>
  <c r="H63" i="16"/>
  <c r="H58" i="16"/>
  <c r="P36" i="16"/>
  <c r="P28" i="16"/>
  <c r="P20" i="16"/>
  <c r="P12" i="16"/>
  <c r="P8" i="16"/>
  <c r="H87" i="16"/>
  <c r="H83" i="16"/>
  <c r="H75" i="16"/>
  <c r="H71" i="16"/>
  <c r="H67" i="16"/>
  <c r="H59" i="16"/>
  <c r="J110" i="16"/>
  <c r="J111" i="16"/>
  <c r="K110" i="16"/>
  <c r="P4" i="16"/>
  <c r="I69" i="16"/>
  <c r="B5" i="9"/>
  <c r="F130" i="23"/>
  <c r="G130" i="23"/>
  <c r="H130" i="23"/>
  <c r="I130" i="23"/>
  <c r="J130" i="23"/>
  <c r="K130" i="23"/>
  <c r="L130" i="23"/>
  <c r="M130" i="23"/>
  <c r="N130" i="23"/>
  <c r="O130" i="23"/>
  <c r="P130" i="23"/>
  <c r="Q130" i="23"/>
  <c r="R130" i="23"/>
  <c r="S130" i="23"/>
  <c r="T130" i="23"/>
  <c r="U130" i="23"/>
  <c r="V130" i="23"/>
  <c r="W130" i="23"/>
  <c r="X130" i="23"/>
  <c r="Y130" i="23"/>
  <c r="Z130" i="23"/>
  <c r="AA130" i="23"/>
  <c r="AB130" i="23"/>
  <c r="AC130" i="23"/>
  <c r="AD130" i="23"/>
  <c r="AE130" i="23"/>
  <c r="F131" i="23"/>
  <c r="G131" i="23"/>
  <c r="H131" i="23"/>
  <c r="I131" i="23"/>
  <c r="J131" i="23"/>
  <c r="K131" i="23"/>
  <c r="L131" i="23"/>
  <c r="M131" i="23"/>
  <c r="N131" i="23"/>
  <c r="O131" i="23"/>
  <c r="P131" i="23"/>
  <c r="Q131" i="23"/>
  <c r="R131" i="23"/>
  <c r="S131" i="23"/>
  <c r="T131" i="23"/>
  <c r="U131" i="23"/>
  <c r="V131" i="23"/>
  <c r="W131" i="23"/>
  <c r="X131" i="23"/>
  <c r="Y131" i="23"/>
  <c r="Z131" i="23"/>
  <c r="AA131" i="23"/>
  <c r="AB131" i="23"/>
  <c r="AC131" i="23"/>
  <c r="AD131" i="23"/>
  <c r="AE131" i="23"/>
  <c r="F132" i="23"/>
  <c r="G132" i="23"/>
  <c r="H132" i="23"/>
  <c r="I132" i="23"/>
  <c r="J132" i="23"/>
  <c r="K132" i="23"/>
  <c r="L132" i="23"/>
  <c r="M132" i="23"/>
  <c r="N132" i="23"/>
  <c r="O132" i="23"/>
  <c r="P132" i="23"/>
  <c r="Q132" i="23"/>
  <c r="R132" i="23"/>
  <c r="S132" i="23"/>
  <c r="T132" i="23"/>
  <c r="U132" i="23"/>
  <c r="V132" i="23"/>
  <c r="W132" i="23"/>
  <c r="X132" i="23"/>
  <c r="Y132" i="23"/>
  <c r="Z132" i="23"/>
  <c r="AA132" i="23"/>
  <c r="AB132" i="23"/>
  <c r="AC132" i="23"/>
  <c r="AD132" i="23"/>
  <c r="AE132" i="23"/>
  <c r="F133" i="23"/>
  <c r="G133" i="23"/>
  <c r="H133" i="23"/>
  <c r="I133" i="23"/>
  <c r="J133" i="23"/>
  <c r="K133" i="23"/>
  <c r="L133" i="23"/>
  <c r="M133" i="23"/>
  <c r="N133" i="23"/>
  <c r="O133" i="23"/>
  <c r="P133" i="23"/>
  <c r="Q133" i="23"/>
  <c r="R133" i="23"/>
  <c r="S133" i="23"/>
  <c r="T133" i="23"/>
  <c r="U133" i="23"/>
  <c r="V133" i="23"/>
  <c r="W133" i="23"/>
  <c r="X133" i="23"/>
  <c r="Y133" i="23"/>
  <c r="Z133" i="23"/>
  <c r="AA133" i="23"/>
  <c r="AB133" i="23"/>
  <c r="AC133" i="23"/>
  <c r="AD133" i="23"/>
  <c r="AE133" i="23"/>
  <c r="F134" i="23"/>
  <c r="G134" i="23"/>
  <c r="H134" i="23"/>
  <c r="I134" i="23"/>
  <c r="J134" i="23"/>
  <c r="K134" i="23"/>
  <c r="L134" i="23"/>
  <c r="M134" i="23"/>
  <c r="N134" i="23"/>
  <c r="O134" i="23"/>
  <c r="P134" i="23"/>
  <c r="Q134" i="23"/>
  <c r="R134" i="23"/>
  <c r="S134" i="23"/>
  <c r="T134" i="23"/>
  <c r="U134" i="23"/>
  <c r="V134" i="23"/>
  <c r="W134" i="23"/>
  <c r="X134" i="23"/>
  <c r="Y134" i="23"/>
  <c r="Z134" i="23"/>
  <c r="AA134" i="23"/>
  <c r="AB134" i="23"/>
  <c r="AC134" i="23"/>
  <c r="AD134" i="23"/>
  <c r="AE134" i="23"/>
  <c r="F135" i="23"/>
  <c r="G135" i="23"/>
  <c r="H135" i="23"/>
  <c r="I135" i="23"/>
  <c r="J135" i="23"/>
  <c r="K135" i="23"/>
  <c r="L135" i="23"/>
  <c r="M135" i="23"/>
  <c r="N135" i="23"/>
  <c r="O135" i="23"/>
  <c r="P135" i="23"/>
  <c r="Q135" i="23"/>
  <c r="R135" i="23"/>
  <c r="S135" i="23"/>
  <c r="T135" i="23"/>
  <c r="U135" i="23"/>
  <c r="V135" i="23"/>
  <c r="W135" i="23"/>
  <c r="X135" i="23"/>
  <c r="Y135" i="23"/>
  <c r="Z135" i="23"/>
  <c r="AA135" i="23"/>
  <c r="AB135" i="23"/>
  <c r="AC135" i="23"/>
  <c r="AD135" i="23"/>
  <c r="AE135" i="23"/>
  <c r="F136" i="23"/>
  <c r="G136" i="23"/>
  <c r="H136" i="23"/>
  <c r="I136" i="23"/>
  <c r="J136" i="23"/>
  <c r="K136" i="23"/>
  <c r="L136" i="23"/>
  <c r="M136" i="23"/>
  <c r="N136" i="23"/>
  <c r="O136" i="23"/>
  <c r="P136" i="23"/>
  <c r="Q136" i="23"/>
  <c r="R136" i="23"/>
  <c r="S136" i="23"/>
  <c r="T136" i="23"/>
  <c r="U136" i="23"/>
  <c r="V136" i="23"/>
  <c r="W136" i="23"/>
  <c r="X136" i="23"/>
  <c r="Y136" i="23"/>
  <c r="Z136" i="23"/>
  <c r="AA136" i="23"/>
  <c r="AB136" i="23"/>
  <c r="AC136" i="23"/>
  <c r="AD136" i="23"/>
  <c r="AE136" i="23"/>
  <c r="F137" i="23"/>
  <c r="G137" i="23"/>
  <c r="H137" i="23"/>
  <c r="I137" i="23"/>
  <c r="J137" i="23"/>
  <c r="K137" i="23"/>
  <c r="L137" i="23"/>
  <c r="M137" i="23"/>
  <c r="N137" i="23"/>
  <c r="O137" i="23"/>
  <c r="P137" i="23"/>
  <c r="Q137" i="23"/>
  <c r="R137" i="23"/>
  <c r="S137" i="23"/>
  <c r="T137" i="23"/>
  <c r="U137" i="23"/>
  <c r="V137" i="23"/>
  <c r="W137" i="23"/>
  <c r="X137" i="23"/>
  <c r="Y137" i="23"/>
  <c r="Z137" i="23"/>
  <c r="AA137" i="23"/>
  <c r="AB137" i="23"/>
  <c r="AC137" i="23"/>
  <c r="AD137" i="23"/>
  <c r="AE137" i="23"/>
  <c r="F138" i="23"/>
  <c r="G138" i="23"/>
  <c r="H138" i="23"/>
  <c r="I138" i="23"/>
  <c r="J138" i="23"/>
  <c r="K138" i="23"/>
  <c r="L138" i="23"/>
  <c r="M138" i="23"/>
  <c r="N138" i="23"/>
  <c r="O138" i="23"/>
  <c r="P138" i="23"/>
  <c r="Q138" i="23"/>
  <c r="R138" i="23"/>
  <c r="S138" i="23"/>
  <c r="T138" i="23"/>
  <c r="U138" i="23"/>
  <c r="V138" i="23"/>
  <c r="W138" i="23"/>
  <c r="X138" i="23"/>
  <c r="Y138" i="23"/>
  <c r="Z138" i="23"/>
  <c r="AA138" i="23"/>
  <c r="AB138" i="23"/>
  <c r="AC138" i="23"/>
  <c r="AD138" i="23"/>
  <c r="AE138" i="23"/>
  <c r="F139" i="23"/>
  <c r="G139" i="23"/>
  <c r="H139" i="23"/>
  <c r="I139" i="23"/>
  <c r="J139" i="23"/>
  <c r="K139" i="23"/>
  <c r="L139" i="23"/>
  <c r="M139" i="23"/>
  <c r="N139" i="23"/>
  <c r="O139" i="23"/>
  <c r="P139" i="23"/>
  <c r="Q139" i="23"/>
  <c r="R139" i="23"/>
  <c r="S139" i="23"/>
  <c r="T139" i="23"/>
  <c r="U139" i="23"/>
  <c r="V139" i="23"/>
  <c r="W139" i="23"/>
  <c r="X139" i="23"/>
  <c r="Y139" i="23"/>
  <c r="Z139" i="23"/>
  <c r="AA139" i="23"/>
  <c r="AB139" i="23"/>
  <c r="AC139" i="23"/>
  <c r="AD139" i="23"/>
  <c r="AE139" i="23"/>
  <c r="F140" i="23"/>
  <c r="G140" i="23"/>
  <c r="H140" i="23"/>
  <c r="I140" i="23"/>
  <c r="J140" i="23"/>
  <c r="K140" i="23"/>
  <c r="L140" i="23"/>
  <c r="M140" i="23"/>
  <c r="N140" i="23"/>
  <c r="O140" i="23"/>
  <c r="P140" i="23"/>
  <c r="Q140" i="23"/>
  <c r="R140" i="23"/>
  <c r="S140" i="23"/>
  <c r="T140" i="23"/>
  <c r="U140" i="23"/>
  <c r="V140" i="23"/>
  <c r="W140" i="23"/>
  <c r="X140" i="23"/>
  <c r="Y140" i="23"/>
  <c r="Z140" i="23"/>
  <c r="AA140" i="23"/>
  <c r="AB140" i="23"/>
  <c r="AC140" i="23"/>
  <c r="AD140" i="23"/>
  <c r="AE140" i="23"/>
  <c r="F141" i="23"/>
  <c r="G141" i="23"/>
  <c r="H141" i="23"/>
  <c r="I141" i="23"/>
  <c r="J141" i="23"/>
  <c r="K141" i="23"/>
  <c r="L141" i="23"/>
  <c r="M141" i="23"/>
  <c r="N141" i="23"/>
  <c r="O141" i="23"/>
  <c r="P141" i="23"/>
  <c r="Q141" i="23"/>
  <c r="R141" i="23"/>
  <c r="S141" i="23"/>
  <c r="T141" i="23"/>
  <c r="U141" i="23"/>
  <c r="V141" i="23"/>
  <c r="W141" i="23"/>
  <c r="X141" i="23"/>
  <c r="Y141" i="23"/>
  <c r="Z141" i="23"/>
  <c r="AA141" i="23"/>
  <c r="AB141" i="23"/>
  <c r="AC141" i="23"/>
  <c r="AD141" i="23"/>
  <c r="AE141" i="23"/>
  <c r="F142" i="23"/>
  <c r="G142" i="23"/>
  <c r="H142" i="23"/>
  <c r="I142" i="23"/>
  <c r="J142" i="23"/>
  <c r="K142" i="23"/>
  <c r="L142" i="23"/>
  <c r="M142" i="23"/>
  <c r="N142" i="23"/>
  <c r="O142" i="23"/>
  <c r="P142" i="23"/>
  <c r="Q142" i="23"/>
  <c r="R142" i="23"/>
  <c r="S142" i="23"/>
  <c r="T142" i="23"/>
  <c r="U142" i="23"/>
  <c r="V142" i="23"/>
  <c r="W142" i="23"/>
  <c r="X142" i="23"/>
  <c r="Y142" i="23"/>
  <c r="Z142" i="23"/>
  <c r="AA142" i="23"/>
  <c r="AB142" i="23"/>
  <c r="AC142" i="23"/>
  <c r="AD142" i="23"/>
  <c r="AE142" i="23"/>
  <c r="F143" i="23"/>
  <c r="G143" i="23"/>
  <c r="H143" i="23"/>
  <c r="I143" i="23"/>
  <c r="J143" i="23"/>
  <c r="K143" i="23"/>
  <c r="L143" i="23"/>
  <c r="M143" i="23"/>
  <c r="N143" i="23"/>
  <c r="O143" i="23"/>
  <c r="P143" i="23"/>
  <c r="Q143" i="23"/>
  <c r="R143" i="23"/>
  <c r="S143" i="23"/>
  <c r="T143" i="23"/>
  <c r="U143" i="23"/>
  <c r="V143" i="23"/>
  <c r="W143" i="23"/>
  <c r="X143" i="23"/>
  <c r="Y143" i="23"/>
  <c r="Z143" i="23"/>
  <c r="AA143" i="23"/>
  <c r="AB143" i="23"/>
  <c r="AC143" i="23"/>
  <c r="AD143" i="23"/>
  <c r="AE143" i="23"/>
  <c r="F144" i="23"/>
  <c r="G144" i="23"/>
  <c r="H144" i="23"/>
  <c r="I144" i="23"/>
  <c r="J144" i="23"/>
  <c r="K144" i="23"/>
  <c r="L144" i="23"/>
  <c r="M144" i="23"/>
  <c r="N144" i="23"/>
  <c r="O144" i="23"/>
  <c r="P144" i="23"/>
  <c r="Q144" i="23"/>
  <c r="R144" i="23"/>
  <c r="S144" i="23"/>
  <c r="T144" i="23"/>
  <c r="U144" i="23"/>
  <c r="V144" i="23"/>
  <c r="W144" i="23"/>
  <c r="X144" i="23"/>
  <c r="Y144" i="23"/>
  <c r="Z144" i="23"/>
  <c r="AA144" i="23"/>
  <c r="AB144" i="23"/>
  <c r="AC144" i="23"/>
  <c r="AD144" i="23"/>
  <c r="AE144" i="23"/>
  <c r="F145" i="23"/>
  <c r="G145" i="23"/>
  <c r="H145" i="23"/>
  <c r="I145" i="23"/>
  <c r="J145" i="23"/>
  <c r="K145" i="23"/>
  <c r="L145" i="23"/>
  <c r="M145" i="23"/>
  <c r="N145" i="23"/>
  <c r="O145" i="23"/>
  <c r="P145" i="23"/>
  <c r="Q145" i="23"/>
  <c r="R145" i="23"/>
  <c r="S145" i="23"/>
  <c r="T145" i="23"/>
  <c r="U145" i="23"/>
  <c r="V145" i="23"/>
  <c r="W145" i="23"/>
  <c r="X145" i="23"/>
  <c r="Y145" i="23"/>
  <c r="Z145" i="23"/>
  <c r="AA145" i="23"/>
  <c r="AB145" i="23"/>
  <c r="AC145" i="23"/>
  <c r="AD145" i="23"/>
  <c r="AE145" i="23"/>
  <c r="F146" i="23"/>
  <c r="G146" i="23"/>
  <c r="H146" i="23"/>
  <c r="I146" i="23"/>
  <c r="J146" i="23"/>
  <c r="K146" i="23"/>
  <c r="L146" i="23"/>
  <c r="M146" i="23"/>
  <c r="N146" i="23"/>
  <c r="O146" i="23"/>
  <c r="P146" i="23"/>
  <c r="Q146" i="23"/>
  <c r="R146" i="23"/>
  <c r="S146" i="23"/>
  <c r="T146" i="23"/>
  <c r="U146" i="23"/>
  <c r="V146" i="23"/>
  <c r="W146" i="23"/>
  <c r="X146" i="23"/>
  <c r="Y146" i="23"/>
  <c r="Z146" i="23"/>
  <c r="AA146" i="23"/>
  <c r="AB146" i="23"/>
  <c r="AC146" i="23"/>
  <c r="AD146" i="23"/>
  <c r="AE146" i="23"/>
  <c r="F147" i="23"/>
  <c r="G147" i="23"/>
  <c r="H147" i="23"/>
  <c r="I147" i="23"/>
  <c r="J147" i="23"/>
  <c r="K147" i="23"/>
  <c r="L147" i="23"/>
  <c r="M147" i="23"/>
  <c r="N147" i="23"/>
  <c r="O147" i="23"/>
  <c r="P147" i="23"/>
  <c r="Q147" i="23"/>
  <c r="R147" i="23"/>
  <c r="S147" i="23"/>
  <c r="T147" i="23"/>
  <c r="U147" i="23"/>
  <c r="V147" i="23"/>
  <c r="W147" i="23"/>
  <c r="X147" i="23"/>
  <c r="Y147" i="23"/>
  <c r="Z147" i="23"/>
  <c r="AA147" i="23"/>
  <c r="AB147" i="23"/>
  <c r="AC147" i="23"/>
  <c r="AD147" i="23"/>
  <c r="AE147" i="23"/>
  <c r="F148" i="23"/>
  <c r="G148" i="23"/>
  <c r="H148" i="23"/>
  <c r="I148" i="23"/>
  <c r="J148" i="23"/>
  <c r="K148" i="23"/>
  <c r="L148" i="23"/>
  <c r="M148" i="23"/>
  <c r="N148" i="23"/>
  <c r="O148" i="23"/>
  <c r="P148" i="23"/>
  <c r="Q148" i="23"/>
  <c r="R148" i="23"/>
  <c r="S148" i="23"/>
  <c r="T148" i="23"/>
  <c r="U148" i="23"/>
  <c r="V148" i="23"/>
  <c r="W148" i="23"/>
  <c r="X148" i="23"/>
  <c r="Y148" i="23"/>
  <c r="Z148" i="23"/>
  <c r="AA148" i="23"/>
  <c r="AB148" i="23"/>
  <c r="AC148" i="23"/>
  <c r="AD148" i="23"/>
  <c r="AE148" i="23"/>
  <c r="F149" i="23"/>
  <c r="G149" i="23"/>
  <c r="H149" i="23"/>
  <c r="I149" i="23"/>
  <c r="J149" i="23"/>
  <c r="K149" i="23"/>
  <c r="L149" i="23"/>
  <c r="M149" i="23"/>
  <c r="N149" i="23"/>
  <c r="O149" i="23"/>
  <c r="P149" i="23"/>
  <c r="Q149" i="23"/>
  <c r="R149" i="23"/>
  <c r="S149" i="23"/>
  <c r="T149" i="23"/>
  <c r="U149" i="23"/>
  <c r="V149" i="23"/>
  <c r="W149" i="23"/>
  <c r="X149" i="23"/>
  <c r="Y149" i="23"/>
  <c r="Z149" i="23"/>
  <c r="AA149" i="23"/>
  <c r="AB149" i="23"/>
  <c r="AC149" i="23"/>
  <c r="AD149" i="23"/>
  <c r="AE149" i="23"/>
  <c r="F150" i="23"/>
  <c r="G150" i="23"/>
  <c r="H150" i="23"/>
  <c r="I150" i="23"/>
  <c r="J150" i="23"/>
  <c r="K150" i="23"/>
  <c r="L150" i="23"/>
  <c r="M150" i="23"/>
  <c r="N150" i="23"/>
  <c r="O150" i="23"/>
  <c r="P150" i="23"/>
  <c r="Q150" i="23"/>
  <c r="R150" i="23"/>
  <c r="S150" i="23"/>
  <c r="T150" i="23"/>
  <c r="U150" i="23"/>
  <c r="V150" i="23"/>
  <c r="W150" i="23"/>
  <c r="X150" i="23"/>
  <c r="Y150" i="23"/>
  <c r="Z150" i="23"/>
  <c r="AA150" i="23"/>
  <c r="AB150" i="23"/>
  <c r="AC150" i="23"/>
  <c r="AD150" i="23"/>
  <c r="AE150" i="23"/>
  <c r="F151" i="23"/>
  <c r="G151" i="23"/>
  <c r="H151" i="23"/>
  <c r="I151" i="23"/>
  <c r="J151" i="23"/>
  <c r="K151" i="23"/>
  <c r="L151" i="23"/>
  <c r="M151" i="23"/>
  <c r="N151" i="23"/>
  <c r="O151" i="23"/>
  <c r="P151" i="23"/>
  <c r="Q151" i="23"/>
  <c r="R151" i="23"/>
  <c r="S151" i="23"/>
  <c r="T151" i="23"/>
  <c r="U151" i="23"/>
  <c r="V151" i="23"/>
  <c r="W151" i="23"/>
  <c r="X151" i="23"/>
  <c r="Y151" i="23"/>
  <c r="Z151" i="23"/>
  <c r="AA151" i="23"/>
  <c r="AB151" i="23"/>
  <c r="AC151" i="23"/>
  <c r="AD151" i="23"/>
  <c r="AE151" i="23"/>
  <c r="F152" i="23"/>
  <c r="G152" i="23"/>
  <c r="H152" i="23"/>
  <c r="I152" i="23"/>
  <c r="J152" i="23"/>
  <c r="K152" i="23"/>
  <c r="L152" i="23"/>
  <c r="M152" i="23"/>
  <c r="N152" i="23"/>
  <c r="O152" i="23"/>
  <c r="P152" i="23"/>
  <c r="Q152" i="23"/>
  <c r="R152" i="23"/>
  <c r="S152" i="23"/>
  <c r="T152" i="23"/>
  <c r="U152" i="23"/>
  <c r="V152" i="23"/>
  <c r="W152" i="23"/>
  <c r="X152" i="23"/>
  <c r="Y152" i="23"/>
  <c r="Z152" i="23"/>
  <c r="AA152" i="23"/>
  <c r="AB152" i="23"/>
  <c r="AC152" i="23"/>
  <c r="AD152" i="23"/>
  <c r="AE152" i="23"/>
  <c r="F153" i="23"/>
  <c r="G153" i="23"/>
  <c r="H153" i="23"/>
  <c r="I153" i="23"/>
  <c r="J153" i="23"/>
  <c r="K153" i="23"/>
  <c r="L153" i="23"/>
  <c r="M153" i="23"/>
  <c r="N153" i="23"/>
  <c r="O153" i="23"/>
  <c r="P153" i="23"/>
  <c r="Q153" i="23"/>
  <c r="R153" i="23"/>
  <c r="S153" i="23"/>
  <c r="T153" i="23"/>
  <c r="U153" i="23"/>
  <c r="V153" i="23"/>
  <c r="W153" i="23"/>
  <c r="X153" i="23"/>
  <c r="Y153" i="23"/>
  <c r="Z153" i="23"/>
  <c r="AA153" i="23"/>
  <c r="AB153" i="23"/>
  <c r="AC153" i="23"/>
  <c r="AD153" i="23"/>
  <c r="AE153" i="23"/>
  <c r="F154" i="23"/>
  <c r="G154" i="23"/>
  <c r="H154" i="23"/>
  <c r="I154" i="23"/>
  <c r="J154" i="23"/>
  <c r="K154" i="23"/>
  <c r="L154" i="23"/>
  <c r="M154" i="23"/>
  <c r="N154" i="23"/>
  <c r="O154" i="23"/>
  <c r="P154" i="23"/>
  <c r="Q154" i="23"/>
  <c r="R154" i="23"/>
  <c r="S154" i="23"/>
  <c r="T154" i="23"/>
  <c r="U154" i="23"/>
  <c r="V154" i="23"/>
  <c r="W154" i="23"/>
  <c r="X154" i="23"/>
  <c r="Y154" i="23"/>
  <c r="Z154" i="23"/>
  <c r="AA154" i="23"/>
  <c r="AB154" i="23"/>
  <c r="AC154" i="23"/>
  <c r="AD154" i="23"/>
  <c r="AE154" i="23"/>
  <c r="F155" i="23"/>
  <c r="G155" i="23"/>
  <c r="H155" i="23"/>
  <c r="I155" i="23"/>
  <c r="J155" i="23"/>
  <c r="K155" i="23"/>
  <c r="L155" i="23"/>
  <c r="M155" i="23"/>
  <c r="N155" i="23"/>
  <c r="O155" i="23"/>
  <c r="P155" i="23"/>
  <c r="Q155" i="23"/>
  <c r="R155" i="23"/>
  <c r="S155" i="23"/>
  <c r="T155" i="23"/>
  <c r="U155" i="23"/>
  <c r="V155" i="23"/>
  <c r="W155" i="23"/>
  <c r="X155" i="23"/>
  <c r="Y155" i="23"/>
  <c r="Z155" i="23"/>
  <c r="AA155" i="23"/>
  <c r="AB155" i="23"/>
  <c r="AC155" i="23"/>
  <c r="AD155" i="23"/>
  <c r="AE155" i="23"/>
  <c r="F156" i="23"/>
  <c r="G156" i="23"/>
  <c r="H156" i="23"/>
  <c r="I156" i="23"/>
  <c r="J156" i="23"/>
  <c r="K156" i="23"/>
  <c r="L156" i="23"/>
  <c r="M156" i="23"/>
  <c r="N156" i="23"/>
  <c r="O156" i="23"/>
  <c r="P156" i="23"/>
  <c r="Q156" i="23"/>
  <c r="R156" i="23"/>
  <c r="S156" i="23"/>
  <c r="T156" i="23"/>
  <c r="U156" i="23"/>
  <c r="V156" i="23"/>
  <c r="W156" i="23"/>
  <c r="X156" i="23"/>
  <c r="Y156" i="23"/>
  <c r="Z156" i="23"/>
  <c r="AA156" i="23"/>
  <c r="AB156" i="23"/>
  <c r="AC156" i="23"/>
  <c r="AD156" i="23"/>
  <c r="AE156" i="23"/>
  <c r="F157" i="23"/>
  <c r="G157" i="23"/>
  <c r="H157" i="23"/>
  <c r="I157" i="23"/>
  <c r="J157" i="23"/>
  <c r="K157" i="23"/>
  <c r="L157" i="23"/>
  <c r="M157" i="23"/>
  <c r="N157" i="23"/>
  <c r="O157" i="23"/>
  <c r="P157" i="23"/>
  <c r="Q157" i="23"/>
  <c r="R157" i="23"/>
  <c r="S157" i="23"/>
  <c r="T157" i="23"/>
  <c r="U157" i="23"/>
  <c r="V157" i="23"/>
  <c r="W157" i="23"/>
  <c r="X157" i="23"/>
  <c r="Y157" i="23"/>
  <c r="Z157" i="23"/>
  <c r="AA157" i="23"/>
  <c r="AB157" i="23"/>
  <c r="AC157" i="23"/>
  <c r="AD157" i="23"/>
  <c r="AE157" i="23"/>
  <c r="AC129" i="23"/>
  <c r="AD129" i="23"/>
  <c r="AE129" i="23"/>
  <c r="AB129" i="23"/>
  <c r="AA129" i="23"/>
  <c r="Z129" i="23"/>
  <c r="Y129" i="23"/>
  <c r="I129" i="23"/>
  <c r="J129" i="23"/>
  <c r="K129" i="23"/>
  <c r="L129" i="23"/>
  <c r="M129" i="23"/>
  <c r="N129" i="23"/>
  <c r="O129" i="23"/>
  <c r="P129" i="23"/>
  <c r="Q129" i="23"/>
  <c r="R129" i="23"/>
  <c r="S129" i="23"/>
  <c r="T129" i="23"/>
  <c r="U129" i="23"/>
  <c r="V129" i="23"/>
  <c r="W129" i="23"/>
  <c r="X129" i="23"/>
  <c r="H129" i="23"/>
  <c r="G129" i="23"/>
  <c r="F129"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02" i="21"/>
  <c r="D101" i="21"/>
  <c r="D100" i="21"/>
  <c r="D99" i="21"/>
  <c r="D98" i="21"/>
  <c r="D97" i="21"/>
  <c r="D96" i="21"/>
  <c r="D95" i="21"/>
  <c r="D94" i="21"/>
  <c r="D93" i="21"/>
  <c r="D92" i="21"/>
  <c r="D91" i="21"/>
  <c r="D90" i="21"/>
  <c r="D89" i="21"/>
  <c r="D88" i="21"/>
  <c r="D87" i="21"/>
  <c r="D86" i="21"/>
  <c r="D85" i="21"/>
  <c r="D84" i="21"/>
  <c r="D83" i="21"/>
  <c r="D82" i="21"/>
  <c r="D81" i="21"/>
  <c r="D80" i="21"/>
  <c r="D79" i="21"/>
  <c r="D78" i="21"/>
  <c r="D77" i="21"/>
  <c r="D76" i="21"/>
  <c r="D75" i="21"/>
  <c r="D74" i="21"/>
  <c r="D73" i="21"/>
  <c r="M161" i="16" l="1"/>
  <c r="C160" i="23"/>
  <c r="H160" i="23"/>
  <c r="L59" i="16"/>
  <c r="L60" i="16"/>
  <c r="M110" i="16"/>
  <c r="L161" i="16"/>
  <c r="M60" i="16"/>
  <c r="M59" i="16"/>
  <c r="L110" i="16"/>
  <c r="E160" i="23"/>
  <c r="U160" i="23"/>
  <c r="T160" i="23"/>
  <c r="W160" i="23"/>
  <c r="F160" i="23"/>
  <c r="S160" i="23"/>
  <c r="X160" i="23"/>
  <c r="Y160" i="23"/>
  <c r="Q160" i="23"/>
  <c r="P160" i="23"/>
  <c r="AA160" i="23"/>
  <c r="R160" i="23"/>
  <c r="O160" i="23"/>
  <c r="M160" i="23"/>
  <c r="L160" i="23"/>
  <c r="N160" i="23"/>
  <c r="K160" i="23"/>
  <c r="I160" i="23"/>
  <c r="J160" i="23"/>
  <c r="D160" i="23"/>
  <c r="G160" i="23"/>
  <c r="Z160" i="23"/>
  <c r="B160" i="23"/>
  <c r="V160" i="23"/>
  <c r="H66" i="23"/>
  <c r="I66" i="23"/>
  <c r="J66" i="23"/>
  <c r="K66" i="23"/>
  <c r="L66" i="23"/>
  <c r="M66" i="23"/>
  <c r="N66" i="23"/>
  <c r="O66" i="23"/>
  <c r="P66" i="23"/>
  <c r="Q66" i="23"/>
  <c r="R66" i="23"/>
  <c r="S66" i="23"/>
  <c r="T66" i="23"/>
  <c r="U66" i="23"/>
  <c r="V66" i="23"/>
  <c r="W66" i="23"/>
  <c r="X66" i="23"/>
  <c r="Y66" i="23"/>
  <c r="Z66" i="23"/>
  <c r="AA66" i="23"/>
  <c r="H67" i="23"/>
  <c r="I67" i="23"/>
  <c r="J67" i="23"/>
  <c r="K67" i="23"/>
  <c r="L67" i="23"/>
  <c r="M67" i="23"/>
  <c r="N67" i="23"/>
  <c r="O67" i="23"/>
  <c r="P67" i="23"/>
  <c r="Q67" i="23"/>
  <c r="R67" i="23"/>
  <c r="S67" i="23"/>
  <c r="T67" i="23"/>
  <c r="U67" i="23"/>
  <c r="V67" i="23"/>
  <c r="W67" i="23"/>
  <c r="X67" i="23"/>
  <c r="Y67" i="23"/>
  <c r="Z67" i="23"/>
  <c r="AA67" i="23"/>
  <c r="H68" i="23"/>
  <c r="I68" i="23"/>
  <c r="J68" i="23"/>
  <c r="K68" i="23"/>
  <c r="L68" i="23"/>
  <c r="M68" i="23"/>
  <c r="N68" i="23"/>
  <c r="O68" i="23"/>
  <c r="P68" i="23"/>
  <c r="Q68" i="23"/>
  <c r="R68" i="23"/>
  <c r="S68" i="23"/>
  <c r="T68" i="23"/>
  <c r="U68" i="23"/>
  <c r="V68" i="23"/>
  <c r="W68" i="23"/>
  <c r="X68" i="23"/>
  <c r="Y68" i="23"/>
  <c r="Z68" i="23"/>
  <c r="AA68" i="23"/>
  <c r="H69" i="23"/>
  <c r="I69" i="23"/>
  <c r="J69" i="23"/>
  <c r="K69" i="23"/>
  <c r="L69" i="23"/>
  <c r="M69" i="23"/>
  <c r="N69" i="23"/>
  <c r="O69" i="23"/>
  <c r="P69" i="23"/>
  <c r="Q69" i="23"/>
  <c r="R69" i="23"/>
  <c r="S69" i="23"/>
  <c r="T69" i="23"/>
  <c r="U69" i="23"/>
  <c r="V69" i="23"/>
  <c r="W69" i="23"/>
  <c r="X69" i="23"/>
  <c r="Y69" i="23"/>
  <c r="Z69" i="23"/>
  <c r="AA69" i="23"/>
  <c r="H70" i="23"/>
  <c r="I70" i="23"/>
  <c r="J70" i="23"/>
  <c r="K70" i="23"/>
  <c r="L70" i="23"/>
  <c r="M70" i="23"/>
  <c r="N70" i="23"/>
  <c r="O70" i="23"/>
  <c r="P70" i="23"/>
  <c r="Q70" i="23"/>
  <c r="R70" i="23"/>
  <c r="S70" i="23"/>
  <c r="T70" i="23"/>
  <c r="U70" i="23"/>
  <c r="V70" i="23"/>
  <c r="W70" i="23"/>
  <c r="X70" i="23"/>
  <c r="Y70" i="23"/>
  <c r="Z70" i="23"/>
  <c r="AA70" i="23"/>
  <c r="H71" i="23"/>
  <c r="I71" i="23"/>
  <c r="J71" i="23"/>
  <c r="K71" i="23"/>
  <c r="L71" i="23"/>
  <c r="M71" i="23"/>
  <c r="N71" i="23"/>
  <c r="O71" i="23"/>
  <c r="P71" i="23"/>
  <c r="Q71" i="23"/>
  <c r="R71" i="23"/>
  <c r="S71" i="23"/>
  <c r="T71" i="23"/>
  <c r="U71" i="23"/>
  <c r="V71" i="23"/>
  <c r="W71" i="23"/>
  <c r="X71" i="23"/>
  <c r="Y71" i="23"/>
  <c r="Z71" i="23"/>
  <c r="AA71" i="23"/>
  <c r="H72" i="23"/>
  <c r="I72" i="23"/>
  <c r="J72" i="23"/>
  <c r="K72" i="23"/>
  <c r="L72" i="23"/>
  <c r="M72" i="23"/>
  <c r="N72" i="23"/>
  <c r="O72" i="23"/>
  <c r="P72" i="23"/>
  <c r="Q72" i="23"/>
  <c r="R72" i="23"/>
  <c r="S72" i="23"/>
  <c r="T72" i="23"/>
  <c r="U72" i="23"/>
  <c r="V72" i="23"/>
  <c r="W72" i="23"/>
  <c r="X72" i="23"/>
  <c r="Y72" i="23"/>
  <c r="Z72" i="23"/>
  <c r="AA72" i="23"/>
  <c r="H73" i="23"/>
  <c r="I73" i="23"/>
  <c r="J73" i="23"/>
  <c r="K73" i="23"/>
  <c r="L73" i="23"/>
  <c r="M73" i="23"/>
  <c r="N73" i="23"/>
  <c r="O73" i="23"/>
  <c r="P73" i="23"/>
  <c r="Q73" i="23"/>
  <c r="R73" i="23"/>
  <c r="S73" i="23"/>
  <c r="T73" i="23"/>
  <c r="U73" i="23"/>
  <c r="V73" i="23"/>
  <c r="W73" i="23"/>
  <c r="X73" i="23"/>
  <c r="Y73" i="23"/>
  <c r="Z73" i="23"/>
  <c r="AA73" i="23"/>
  <c r="H74" i="23"/>
  <c r="I74" i="23"/>
  <c r="J74" i="23"/>
  <c r="K74" i="23"/>
  <c r="L74" i="23"/>
  <c r="M74" i="23"/>
  <c r="N74" i="23"/>
  <c r="O74" i="23"/>
  <c r="P74" i="23"/>
  <c r="Q74" i="23"/>
  <c r="R74" i="23"/>
  <c r="S74" i="23"/>
  <c r="T74" i="23"/>
  <c r="U74" i="23"/>
  <c r="V74" i="23"/>
  <c r="W74" i="23"/>
  <c r="X74" i="23"/>
  <c r="Y74" i="23"/>
  <c r="Z74" i="23"/>
  <c r="AA74" i="23"/>
  <c r="H75" i="23"/>
  <c r="I75" i="23"/>
  <c r="J75" i="23"/>
  <c r="K75" i="23"/>
  <c r="L75" i="23"/>
  <c r="M75" i="23"/>
  <c r="N75" i="23"/>
  <c r="O75" i="23"/>
  <c r="P75" i="23"/>
  <c r="Q75" i="23"/>
  <c r="R75" i="23"/>
  <c r="S75" i="23"/>
  <c r="T75" i="23"/>
  <c r="U75" i="23"/>
  <c r="V75" i="23"/>
  <c r="W75" i="23"/>
  <c r="X75" i="23"/>
  <c r="Y75" i="23"/>
  <c r="Z75" i="23"/>
  <c r="AA75" i="23"/>
  <c r="H76" i="23"/>
  <c r="I76" i="23"/>
  <c r="J76" i="23"/>
  <c r="K76" i="23"/>
  <c r="L76" i="23"/>
  <c r="M76" i="23"/>
  <c r="N76" i="23"/>
  <c r="O76" i="23"/>
  <c r="P76" i="23"/>
  <c r="Q76" i="23"/>
  <c r="R76" i="23"/>
  <c r="S76" i="23"/>
  <c r="T76" i="23"/>
  <c r="U76" i="23"/>
  <c r="V76" i="23"/>
  <c r="W76" i="23"/>
  <c r="X76" i="23"/>
  <c r="Y76" i="23"/>
  <c r="Z76" i="23"/>
  <c r="AA76" i="23"/>
  <c r="H77" i="23"/>
  <c r="I77" i="23"/>
  <c r="J77" i="23"/>
  <c r="K77" i="23"/>
  <c r="L77" i="23"/>
  <c r="M77" i="23"/>
  <c r="N77" i="23"/>
  <c r="O77" i="23"/>
  <c r="P77" i="23"/>
  <c r="Q77" i="23"/>
  <c r="R77" i="23"/>
  <c r="S77" i="23"/>
  <c r="T77" i="23"/>
  <c r="U77" i="23"/>
  <c r="V77" i="23"/>
  <c r="W77" i="23"/>
  <c r="X77" i="23"/>
  <c r="Y77" i="23"/>
  <c r="Z77" i="23"/>
  <c r="AA77" i="23"/>
  <c r="H78" i="23"/>
  <c r="I78" i="23"/>
  <c r="J78" i="23"/>
  <c r="K78" i="23"/>
  <c r="L78" i="23"/>
  <c r="M78" i="23"/>
  <c r="N78" i="23"/>
  <c r="O78" i="23"/>
  <c r="P78" i="23"/>
  <c r="Q78" i="23"/>
  <c r="R78" i="23"/>
  <c r="S78" i="23"/>
  <c r="T78" i="23"/>
  <c r="U78" i="23"/>
  <c r="V78" i="23"/>
  <c r="W78" i="23"/>
  <c r="X78" i="23"/>
  <c r="Y78" i="23"/>
  <c r="Z78" i="23"/>
  <c r="AA78" i="23"/>
  <c r="H79" i="23"/>
  <c r="I79" i="23"/>
  <c r="J79" i="23"/>
  <c r="K79" i="23"/>
  <c r="L79" i="23"/>
  <c r="M79" i="23"/>
  <c r="N79" i="23"/>
  <c r="O79" i="23"/>
  <c r="P79" i="23"/>
  <c r="Q79" i="23"/>
  <c r="R79" i="23"/>
  <c r="S79" i="23"/>
  <c r="T79" i="23"/>
  <c r="U79" i="23"/>
  <c r="V79" i="23"/>
  <c r="W79" i="23"/>
  <c r="X79" i="23"/>
  <c r="Y79" i="23"/>
  <c r="Z79" i="23"/>
  <c r="AA79" i="23"/>
  <c r="H80" i="23"/>
  <c r="I80" i="23"/>
  <c r="J80" i="23"/>
  <c r="K80" i="23"/>
  <c r="L80" i="23"/>
  <c r="M80" i="23"/>
  <c r="N80" i="23"/>
  <c r="O80" i="23"/>
  <c r="P80" i="23"/>
  <c r="Q80" i="23"/>
  <c r="R80" i="23"/>
  <c r="S80" i="23"/>
  <c r="T80" i="23"/>
  <c r="U80" i="23"/>
  <c r="V80" i="23"/>
  <c r="W80" i="23"/>
  <c r="X80" i="23"/>
  <c r="Y80" i="23"/>
  <c r="Z80" i="23"/>
  <c r="AA80" i="23"/>
  <c r="H81" i="23"/>
  <c r="I81" i="23"/>
  <c r="J81" i="23"/>
  <c r="K81" i="23"/>
  <c r="L81" i="23"/>
  <c r="M81" i="23"/>
  <c r="N81" i="23"/>
  <c r="O81" i="23"/>
  <c r="P81" i="23"/>
  <c r="Q81" i="23"/>
  <c r="R81" i="23"/>
  <c r="S81" i="23"/>
  <c r="T81" i="23"/>
  <c r="U81" i="23"/>
  <c r="V81" i="23"/>
  <c r="W81" i="23"/>
  <c r="X81" i="23"/>
  <c r="Y81" i="23"/>
  <c r="Z81" i="23"/>
  <c r="AA81" i="23"/>
  <c r="H82" i="23"/>
  <c r="I82" i="23"/>
  <c r="J82" i="23"/>
  <c r="K82" i="23"/>
  <c r="L82" i="23"/>
  <c r="M82" i="23"/>
  <c r="N82" i="23"/>
  <c r="O82" i="23"/>
  <c r="P82" i="23"/>
  <c r="Q82" i="23"/>
  <c r="R82" i="23"/>
  <c r="S82" i="23"/>
  <c r="T82" i="23"/>
  <c r="U82" i="23"/>
  <c r="V82" i="23"/>
  <c r="W82" i="23"/>
  <c r="X82" i="23"/>
  <c r="Y82" i="23"/>
  <c r="Z82" i="23"/>
  <c r="AA82" i="23"/>
  <c r="H83" i="23"/>
  <c r="I83" i="23"/>
  <c r="J83" i="23"/>
  <c r="K83" i="23"/>
  <c r="L83" i="23"/>
  <c r="M83" i="23"/>
  <c r="N83" i="23"/>
  <c r="O83" i="23"/>
  <c r="P83" i="23"/>
  <c r="Q83" i="23"/>
  <c r="R83" i="23"/>
  <c r="S83" i="23"/>
  <c r="T83" i="23"/>
  <c r="U83" i="23"/>
  <c r="V83" i="23"/>
  <c r="W83" i="23"/>
  <c r="X83" i="23"/>
  <c r="Y83" i="23"/>
  <c r="Z83" i="23"/>
  <c r="AA83" i="23"/>
  <c r="H84" i="23"/>
  <c r="I84" i="23"/>
  <c r="J84" i="23"/>
  <c r="K84" i="23"/>
  <c r="L84" i="23"/>
  <c r="M84" i="23"/>
  <c r="N84" i="23"/>
  <c r="O84" i="23"/>
  <c r="P84" i="23"/>
  <c r="Q84" i="23"/>
  <c r="R84" i="23"/>
  <c r="S84" i="23"/>
  <c r="T84" i="23"/>
  <c r="U84" i="23"/>
  <c r="V84" i="23"/>
  <c r="W84" i="23"/>
  <c r="X84" i="23"/>
  <c r="Y84" i="23"/>
  <c r="Z84" i="23"/>
  <c r="AA84" i="23"/>
  <c r="H85" i="23"/>
  <c r="I85" i="23"/>
  <c r="J85" i="23"/>
  <c r="K85" i="23"/>
  <c r="L85" i="23"/>
  <c r="M85" i="23"/>
  <c r="N85" i="23"/>
  <c r="O85" i="23"/>
  <c r="P85" i="23"/>
  <c r="Q85" i="23"/>
  <c r="R85" i="23"/>
  <c r="S85" i="23"/>
  <c r="T85" i="23"/>
  <c r="U85" i="23"/>
  <c r="V85" i="23"/>
  <c r="W85" i="23"/>
  <c r="X85" i="23"/>
  <c r="Y85" i="23"/>
  <c r="Z85" i="23"/>
  <c r="AA85" i="23"/>
  <c r="H86" i="23"/>
  <c r="I86" i="23"/>
  <c r="J86" i="23"/>
  <c r="K86" i="23"/>
  <c r="L86" i="23"/>
  <c r="M86" i="23"/>
  <c r="N86" i="23"/>
  <c r="O86" i="23"/>
  <c r="P86" i="23"/>
  <c r="Q86" i="23"/>
  <c r="R86" i="23"/>
  <c r="S86" i="23"/>
  <c r="T86" i="23"/>
  <c r="U86" i="23"/>
  <c r="V86" i="23"/>
  <c r="W86" i="23"/>
  <c r="X86" i="23"/>
  <c r="Y86" i="23"/>
  <c r="Z86" i="23"/>
  <c r="AA86" i="23"/>
  <c r="H87" i="23"/>
  <c r="I87" i="23"/>
  <c r="J87" i="23"/>
  <c r="K87" i="23"/>
  <c r="L87" i="23"/>
  <c r="M87" i="23"/>
  <c r="N87" i="23"/>
  <c r="O87" i="23"/>
  <c r="P87" i="23"/>
  <c r="Q87" i="23"/>
  <c r="R87" i="23"/>
  <c r="S87" i="23"/>
  <c r="T87" i="23"/>
  <c r="U87" i="23"/>
  <c r="V87" i="23"/>
  <c r="W87" i="23"/>
  <c r="X87" i="23"/>
  <c r="Y87" i="23"/>
  <c r="Z87" i="23"/>
  <c r="AA87" i="23"/>
  <c r="H88" i="23"/>
  <c r="I88" i="23"/>
  <c r="J88" i="23"/>
  <c r="K88" i="23"/>
  <c r="L88" i="23"/>
  <c r="M88" i="23"/>
  <c r="N88" i="23"/>
  <c r="O88" i="23"/>
  <c r="P88" i="23"/>
  <c r="Q88" i="23"/>
  <c r="R88" i="23"/>
  <c r="S88" i="23"/>
  <c r="T88" i="23"/>
  <c r="U88" i="23"/>
  <c r="V88" i="23"/>
  <c r="W88" i="23"/>
  <c r="X88" i="23"/>
  <c r="Y88" i="23"/>
  <c r="Z88" i="23"/>
  <c r="AA88" i="23"/>
  <c r="H89" i="23"/>
  <c r="I89" i="23"/>
  <c r="J89" i="23"/>
  <c r="K89" i="23"/>
  <c r="L89" i="23"/>
  <c r="M89" i="23"/>
  <c r="N89" i="23"/>
  <c r="O89" i="23"/>
  <c r="P89" i="23"/>
  <c r="Q89" i="23"/>
  <c r="R89" i="23"/>
  <c r="S89" i="23"/>
  <c r="T89" i="23"/>
  <c r="U89" i="23"/>
  <c r="V89" i="23"/>
  <c r="W89" i="23"/>
  <c r="X89" i="23"/>
  <c r="Y89" i="23"/>
  <c r="Z89" i="23"/>
  <c r="AA89" i="23"/>
  <c r="H90" i="23"/>
  <c r="I90" i="23"/>
  <c r="J90" i="23"/>
  <c r="K90" i="23"/>
  <c r="L90" i="23"/>
  <c r="M90" i="23"/>
  <c r="N90" i="23"/>
  <c r="O90" i="23"/>
  <c r="P90" i="23"/>
  <c r="Q90" i="23"/>
  <c r="R90" i="23"/>
  <c r="S90" i="23"/>
  <c r="T90" i="23"/>
  <c r="U90" i="23"/>
  <c r="V90" i="23"/>
  <c r="W90" i="23"/>
  <c r="X90" i="23"/>
  <c r="Y90" i="23"/>
  <c r="Z90" i="23"/>
  <c r="AA90" i="23"/>
  <c r="H91" i="23"/>
  <c r="I91" i="23"/>
  <c r="J91" i="23"/>
  <c r="K91" i="23"/>
  <c r="L91" i="23"/>
  <c r="M91" i="23"/>
  <c r="N91" i="23"/>
  <c r="O91" i="23"/>
  <c r="P91" i="23"/>
  <c r="Q91" i="23"/>
  <c r="R91" i="23"/>
  <c r="S91" i="23"/>
  <c r="T91" i="23"/>
  <c r="U91" i="23"/>
  <c r="V91" i="23"/>
  <c r="W91" i="23"/>
  <c r="X91" i="23"/>
  <c r="Y91" i="23"/>
  <c r="Z91" i="23"/>
  <c r="AA91" i="23"/>
  <c r="H92" i="23"/>
  <c r="I92" i="23"/>
  <c r="J92" i="23"/>
  <c r="K92" i="23"/>
  <c r="L92" i="23"/>
  <c r="M92" i="23"/>
  <c r="N92" i="23"/>
  <c r="O92" i="23"/>
  <c r="P92" i="23"/>
  <c r="Q92" i="23"/>
  <c r="R92" i="23"/>
  <c r="S92" i="23"/>
  <c r="T92" i="23"/>
  <c r="U92" i="23"/>
  <c r="V92" i="23"/>
  <c r="W92" i="23"/>
  <c r="X92" i="23"/>
  <c r="Y92" i="23"/>
  <c r="Z92" i="23"/>
  <c r="AA92" i="23"/>
  <c r="H93" i="23"/>
  <c r="I93" i="23"/>
  <c r="J93" i="23"/>
  <c r="K93" i="23"/>
  <c r="L93" i="23"/>
  <c r="M93" i="23"/>
  <c r="N93" i="23"/>
  <c r="O93" i="23"/>
  <c r="P93" i="23"/>
  <c r="Q93" i="23"/>
  <c r="R93" i="23"/>
  <c r="S93" i="23"/>
  <c r="T93" i="23"/>
  <c r="U93" i="23"/>
  <c r="V93" i="23"/>
  <c r="W93" i="23"/>
  <c r="X93" i="23"/>
  <c r="Y93" i="23"/>
  <c r="Z93" i="23"/>
  <c r="AA93" i="23"/>
  <c r="AB66" i="23"/>
  <c r="AC66" i="23"/>
  <c r="AD66" i="23"/>
  <c r="AE66" i="23"/>
  <c r="AB67" i="23"/>
  <c r="AC67" i="23"/>
  <c r="AD67" i="23"/>
  <c r="AE67" i="23"/>
  <c r="AB68" i="23"/>
  <c r="AC68" i="23"/>
  <c r="AD68" i="23"/>
  <c r="AE68" i="23"/>
  <c r="AB69" i="23"/>
  <c r="AC69" i="23"/>
  <c r="AD69" i="23"/>
  <c r="AE69" i="23"/>
  <c r="AB70" i="23"/>
  <c r="AC70" i="23"/>
  <c r="AD70" i="23"/>
  <c r="AE70" i="23"/>
  <c r="AB71" i="23"/>
  <c r="AC71" i="23"/>
  <c r="AD71" i="23"/>
  <c r="AE71" i="23"/>
  <c r="AB72" i="23"/>
  <c r="AC72" i="23"/>
  <c r="AD72" i="23"/>
  <c r="AE72" i="23"/>
  <c r="AB73" i="23"/>
  <c r="AC73" i="23"/>
  <c r="AD73" i="23"/>
  <c r="AE73" i="23"/>
  <c r="AB74" i="23"/>
  <c r="AC74" i="23"/>
  <c r="AD74" i="23"/>
  <c r="AE74" i="23"/>
  <c r="AB75" i="23"/>
  <c r="AC75" i="23"/>
  <c r="AD75" i="23"/>
  <c r="AE75" i="23"/>
  <c r="AB76" i="23"/>
  <c r="AC76" i="23"/>
  <c r="AD76" i="23"/>
  <c r="AE76" i="23"/>
  <c r="AB77" i="23"/>
  <c r="AC77" i="23"/>
  <c r="AD77" i="23"/>
  <c r="AE77" i="23"/>
  <c r="AB78" i="23"/>
  <c r="AC78" i="23"/>
  <c r="AD78" i="23"/>
  <c r="AE78" i="23"/>
  <c r="AB79" i="23"/>
  <c r="AC79" i="23"/>
  <c r="AD79" i="23"/>
  <c r="AE79" i="23"/>
  <c r="AB80" i="23"/>
  <c r="AC80" i="23"/>
  <c r="AD80" i="23"/>
  <c r="AE80" i="23"/>
  <c r="AB81" i="23"/>
  <c r="AC81" i="23"/>
  <c r="AD81" i="23"/>
  <c r="AE81" i="23"/>
  <c r="AB82" i="23"/>
  <c r="AC82" i="23"/>
  <c r="AD82" i="23"/>
  <c r="AE82" i="23"/>
  <c r="AB83" i="23"/>
  <c r="AC83" i="23"/>
  <c r="AD83" i="23"/>
  <c r="AE83" i="23"/>
  <c r="AB84" i="23"/>
  <c r="AC84" i="23"/>
  <c r="AD84" i="23"/>
  <c r="AE84" i="23"/>
  <c r="AB85" i="23"/>
  <c r="AC85" i="23"/>
  <c r="AD85" i="23"/>
  <c r="AE85" i="23"/>
  <c r="AB86" i="23"/>
  <c r="AC86" i="23"/>
  <c r="AD86" i="23"/>
  <c r="AE86" i="23"/>
  <c r="AB87" i="23"/>
  <c r="AC87" i="23"/>
  <c r="AD87" i="23"/>
  <c r="AE87" i="23"/>
  <c r="AB88" i="23"/>
  <c r="AC88" i="23"/>
  <c r="AD88" i="23"/>
  <c r="AE88" i="23"/>
  <c r="AB89" i="23"/>
  <c r="AC89" i="23"/>
  <c r="AD89" i="23"/>
  <c r="AE89" i="23"/>
  <c r="AB90" i="23"/>
  <c r="AC90" i="23"/>
  <c r="AD90" i="23"/>
  <c r="AE90" i="23"/>
  <c r="AB91" i="23"/>
  <c r="AC91" i="23"/>
  <c r="AD91" i="23"/>
  <c r="AE91" i="23"/>
  <c r="AB92" i="23"/>
  <c r="AC92" i="23"/>
  <c r="AD92" i="23"/>
  <c r="AE92" i="23"/>
  <c r="AB93" i="23"/>
  <c r="AC93" i="23"/>
  <c r="AD93" i="23"/>
  <c r="AE93" i="23"/>
  <c r="AC65" i="23"/>
  <c r="AD65" i="23"/>
  <c r="AE65" i="23"/>
  <c r="AB65" i="23"/>
  <c r="AA65" i="23"/>
  <c r="Z65" i="23"/>
  <c r="Y65" i="23"/>
  <c r="U65" i="23"/>
  <c r="V65" i="23"/>
  <c r="W65" i="23"/>
  <c r="X65" i="23"/>
  <c r="I65" i="23"/>
  <c r="J65" i="23"/>
  <c r="K65" i="23"/>
  <c r="L65" i="23"/>
  <c r="M65" i="23"/>
  <c r="N65" i="23"/>
  <c r="O65" i="23"/>
  <c r="P65" i="23"/>
  <c r="Q65" i="23"/>
  <c r="R65" i="23"/>
  <c r="S65" i="23"/>
  <c r="T65" i="23"/>
  <c r="H65" i="23"/>
  <c r="G66" i="23"/>
  <c r="G67" i="23"/>
  <c r="G68" i="23"/>
  <c r="G69" i="23"/>
  <c r="G70" i="23"/>
  <c r="G71" i="23"/>
  <c r="G72" i="23"/>
  <c r="G73" i="23"/>
  <c r="G74" i="23"/>
  <c r="G75" i="23"/>
  <c r="G76" i="23"/>
  <c r="G77" i="23"/>
  <c r="G78" i="23"/>
  <c r="G79" i="23"/>
  <c r="G80" i="23"/>
  <c r="G81" i="23"/>
  <c r="G82" i="23"/>
  <c r="G83" i="23"/>
  <c r="G84" i="23"/>
  <c r="G85" i="23"/>
  <c r="G86" i="23"/>
  <c r="G87" i="23"/>
  <c r="G88" i="23"/>
  <c r="G89" i="23"/>
  <c r="G90" i="23"/>
  <c r="G91" i="23"/>
  <c r="G92" i="23"/>
  <c r="G93" i="23"/>
  <c r="G65" i="23"/>
  <c r="F66" i="23"/>
  <c r="F67" i="23"/>
  <c r="F68" i="23"/>
  <c r="F69" i="23"/>
  <c r="F70" i="23"/>
  <c r="F71" i="23"/>
  <c r="F72" i="23"/>
  <c r="F73" i="23"/>
  <c r="F74" i="23"/>
  <c r="F75" i="23"/>
  <c r="F76" i="23"/>
  <c r="F77" i="23"/>
  <c r="F78" i="23"/>
  <c r="F79" i="23"/>
  <c r="F80" i="23"/>
  <c r="F81" i="23"/>
  <c r="F82" i="23"/>
  <c r="F83" i="23"/>
  <c r="F84" i="23"/>
  <c r="F85" i="23"/>
  <c r="F86" i="23"/>
  <c r="F87" i="23"/>
  <c r="F88" i="23"/>
  <c r="F89" i="23"/>
  <c r="F90" i="23"/>
  <c r="F91" i="23"/>
  <c r="F92" i="23"/>
  <c r="F93" i="23"/>
  <c r="F65"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39" i="21"/>
  <c r="D40" i="21"/>
  <c r="D41" i="21"/>
  <c r="D42" i="21"/>
  <c r="D43" i="21"/>
  <c r="D44" i="21"/>
  <c r="D45" i="21"/>
  <c r="D46" i="21"/>
  <c r="D47" i="21"/>
  <c r="D48" i="21"/>
  <c r="D49" i="21"/>
  <c r="D50" i="21"/>
  <c r="D51" i="21"/>
  <c r="D52" i="21"/>
  <c r="D53" i="21"/>
  <c r="D54" i="21"/>
  <c r="D55" i="21"/>
  <c r="D56" i="21"/>
  <c r="D57" i="21"/>
  <c r="D58" i="21"/>
  <c r="D59" i="21"/>
  <c r="D60" i="21"/>
  <c r="D61" i="21"/>
  <c r="D62" i="21"/>
  <c r="D63" i="21"/>
  <c r="D64" i="21"/>
  <c r="D65" i="21"/>
  <c r="D66" i="21"/>
  <c r="D67" i="21"/>
  <c r="D38" i="21"/>
  <c r="F2" i="23"/>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59" i="15"/>
  <c r="D360" i="15"/>
  <c r="D361" i="15"/>
  <c r="D362" i="15"/>
  <c r="D363" i="15"/>
  <c r="D364" i="15"/>
  <c r="D365" i="15"/>
  <c r="D366" i="15"/>
  <c r="D367" i="15"/>
  <c r="D368" i="15"/>
  <c r="D369" i="15"/>
  <c r="D370" i="15"/>
  <c r="D371" i="15"/>
  <c r="D372" i="15"/>
  <c r="D373" i="15"/>
  <c r="D2" i="15"/>
  <c r="D3" i="21"/>
  <c r="G2" i="23"/>
  <c r="H2" i="23"/>
  <c r="I2" i="23"/>
  <c r="J2" i="23"/>
  <c r="K2" i="23"/>
  <c r="L2" i="23"/>
  <c r="M2" i="23"/>
  <c r="N2" i="23"/>
  <c r="O2" i="23"/>
  <c r="P2" i="23"/>
  <c r="Q2" i="23"/>
  <c r="R2" i="23"/>
  <c r="S2" i="23"/>
  <c r="T2" i="23"/>
  <c r="U2" i="23"/>
  <c r="V2" i="23"/>
  <c r="W2" i="23"/>
  <c r="X2" i="23"/>
  <c r="Y2" i="23"/>
  <c r="Z2" i="23"/>
  <c r="AA2" i="23"/>
  <c r="AB2" i="23"/>
  <c r="AC2" i="23"/>
  <c r="AD2" i="23"/>
  <c r="AE2" i="23"/>
  <c r="AE3" i="23"/>
  <c r="AE4" i="23"/>
  <c r="AE5" i="23"/>
  <c r="AE6" i="23"/>
  <c r="AE7" i="23"/>
  <c r="AE8" i="23"/>
  <c r="AE9" i="23"/>
  <c r="AE10" i="23"/>
  <c r="AE11" i="23"/>
  <c r="AE12" i="23"/>
  <c r="AE13" i="23"/>
  <c r="AE14" i="23"/>
  <c r="AE15" i="23"/>
  <c r="AE16" i="23"/>
  <c r="AE17" i="23"/>
  <c r="AE18" i="23"/>
  <c r="AE19" i="23"/>
  <c r="AE20" i="23"/>
  <c r="AE21" i="23"/>
  <c r="AE22" i="23"/>
  <c r="AE23" i="23"/>
  <c r="AE24" i="23"/>
  <c r="AE25" i="23"/>
  <c r="AE26" i="23"/>
  <c r="AE27" i="23"/>
  <c r="AE28" i="23"/>
  <c r="AE29" i="23"/>
  <c r="AE30" i="23"/>
  <c r="AD3" i="23"/>
  <c r="AD4" i="23"/>
  <c r="AD5" i="23"/>
  <c r="AD6" i="23"/>
  <c r="AD7" i="23"/>
  <c r="AD8" i="23"/>
  <c r="AD9" i="23"/>
  <c r="AD10" i="23"/>
  <c r="AD11" i="23"/>
  <c r="AD12" i="23"/>
  <c r="AD13" i="23"/>
  <c r="AD14" i="23"/>
  <c r="AD15" i="23"/>
  <c r="AD16" i="23"/>
  <c r="AD17" i="23"/>
  <c r="AD18" i="23"/>
  <c r="AD19" i="23"/>
  <c r="AD20" i="23"/>
  <c r="AD21" i="23"/>
  <c r="AD22" i="23"/>
  <c r="AD23" i="23"/>
  <c r="AD24" i="23"/>
  <c r="AD25" i="23"/>
  <c r="AD26" i="23"/>
  <c r="AD27" i="23"/>
  <c r="AD28" i="23"/>
  <c r="AD29" i="23"/>
  <c r="AD30" i="23"/>
  <c r="AC3" i="23"/>
  <c r="AC4" i="23"/>
  <c r="AC5" i="23"/>
  <c r="AC6" i="23"/>
  <c r="AC7" i="23"/>
  <c r="AC8" i="23"/>
  <c r="AC9" i="23"/>
  <c r="AC10" i="23"/>
  <c r="AC11" i="23"/>
  <c r="AC12" i="23"/>
  <c r="AC13" i="23"/>
  <c r="AC14" i="23"/>
  <c r="AC15" i="23"/>
  <c r="AC16" i="23"/>
  <c r="AC17" i="23"/>
  <c r="AC18" i="23"/>
  <c r="AC19" i="23"/>
  <c r="AC20" i="23"/>
  <c r="AC21" i="23"/>
  <c r="AC22" i="23"/>
  <c r="AC23" i="23"/>
  <c r="AC24" i="23"/>
  <c r="AC25" i="23"/>
  <c r="AC26" i="23"/>
  <c r="AC27" i="23"/>
  <c r="AC28" i="23"/>
  <c r="AC29" i="23"/>
  <c r="AC30" i="23"/>
  <c r="AB3" i="23"/>
  <c r="AB4" i="23"/>
  <c r="AB5" i="23"/>
  <c r="AB6" i="23"/>
  <c r="AB7" i="23"/>
  <c r="AB8" i="23"/>
  <c r="AB9" i="23"/>
  <c r="AB10" i="23"/>
  <c r="AB11" i="23"/>
  <c r="AB12" i="23"/>
  <c r="AB13" i="23"/>
  <c r="AB14" i="23"/>
  <c r="AB15" i="23"/>
  <c r="AB16" i="23"/>
  <c r="AB17" i="23"/>
  <c r="AB18" i="23"/>
  <c r="AB19" i="23"/>
  <c r="AB20" i="23"/>
  <c r="AB21" i="23"/>
  <c r="AB22" i="23"/>
  <c r="AB23" i="23"/>
  <c r="AB24" i="23"/>
  <c r="AB25" i="23"/>
  <c r="AB26" i="23"/>
  <c r="AB27" i="23"/>
  <c r="AB28" i="23"/>
  <c r="AB29" i="23"/>
  <c r="AB30" i="23"/>
  <c r="AA3" i="23"/>
  <c r="AA4" i="23"/>
  <c r="AA5" i="23"/>
  <c r="AA6" i="23"/>
  <c r="AA7" i="23"/>
  <c r="AA8" i="23"/>
  <c r="AA9" i="23"/>
  <c r="AA10" i="23"/>
  <c r="AA11" i="23"/>
  <c r="AA12" i="23"/>
  <c r="AA13" i="23"/>
  <c r="AA14" i="23"/>
  <c r="AA15" i="23"/>
  <c r="AA16" i="23"/>
  <c r="AA17" i="23"/>
  <c r="AA18" i="23"/>
  <c r="AA19" i="23"/>
  <c r="AA20" i="23"/>
  <c r="AA21" i="23"/>
  <c r="AA22" i="23"/>
  <c r="AA23" i="23"/>
  <c r="AA24" i="23"/>
  <c r="AA25" i="23"/>
  <c r="AA26" i="23"/>
  <c r="AA27" i="23"/>
  <c r="AA28" i="23"/>
  <c r="AA29" i="23"/>
  <c r="AA30" i="23"/>
  <c r="Z3" i="23"/>
  <c r="Z4" i="23"/>
  <c r="Z5" i="23"/>
  <c r="Z6" i="23"/>
  <c r="Z7" i="23"/>
  <c r="Z8" i="23"/>
  <c r="Z9" i="23"/>
  <c r="Z10" i="23"/>
  <c r="Z11" i="23"/>
  <c r="Z12" i="23"/>
  <c r="Z13" i="23"/>
  <c r="Z14" i="23"/>
  <c r="Z15" i="23"/>
  <c r="Z16" i="23"/>
  <c r="Z17" i="23"/>
  <c r="Z18" i="23"/>
  <c r="Z19" i="23"/>
  <c r="Z20" i="23"/>
  <c r="Z21" i="23"/>
  <c r="Z22" i="23"/>
  <c r="Z23" i="23"/>
  <c r="Z24" i="23"/>
  <c r="Z25" i="23"/>
  <c r="Z26" i="23"/>
  <c r="Z27" i="23"/>
  <c r="Z28" i="23"/>
  <c r="Z29" i="23"/>
  <c r="Z30" i="23"/>
  <c r="X3" i="23"/>
  <c r="X4" i="23"/>
  <c r="X5" i="23"/>
  <c r="X6" i="23"/>
  <c r="X7" i="23"/>
  <c r="X8" i="23"/>
  <c r="X9" i="23"/>
  <c r="X10" i="23"/>
  <c r="X11" i="23"/>
  <c r="X12" i="23"/>
  <c r="X13" i="23"/>
  <c r="X14" i="23"/>
  <c r="X15" i="23"/>
  <c r="X16" i="23"/>
  <c r="X17" i="23"/>
  <c r="X18" i="23"/>
  <c r="X19" i="23"/>
  <c r="X20" i="23"/>
  <c r="X21" i="23"/>
  <c r="X22" i="23"/>
  <c r="X23" i="23"/>
  <c r="X24" i="23"/>
  <c r="X25" i="23"/>
  <c r="X26" i="23"/>
  <c r="X27" i="23"/>
  <c r="X28" i="23"/>
  <c r="X29" i="23"/>
  <c r="X30" i="23"/>
  <c r="W3" i="23"/>
  <c r="W4" i="23"/>
  <c r="W5" i="23"/>
  <c r="W6" i="23"/>
  <c r="W7" i="23"/>
  <c r="W8" i="23"/>
  <c r="W9" i="23"/>
  <c r="W10" i="23"/>
  <c r="W11" i="23"/>
  <c r="W12" i="23"/>
  <c r="W13" i="23"/>
  <c r="W14" i="23"/>
  <c r="W15" i="23"/>
  <c r="W16" i="23"/>
  <c r="W17" i="23"/>
  <c r="W18" i="23"/>
  <c r="W19" i="23"/>
  <c r="W20" i="23"/>
  <c r="W21" i="23"/>
  <c r="W22" i="23"/>
  <c r="W23" i="23"/>
  <c r="W24" i="23"/>
  <c r="W25" i="23"/>
  <c r="W26" i="23"/>
  <c r="W27" i="23"/>
  <c r="W28" i="23"/>
  <c r="W29" i="23"/>
  <c r="W30" i="23"/>
  <c r="V3" i="23"/>
  <c r="V4" i="23"/>
  <c r="V5" i="23"/>
  <c r="V6" i="23"/>
  <c r="V7" i="23"/>
  <c r="V8" i="23"/>
  <c r="V9" i="23"/>
  <c r="V10" i="23"/>
  <c r="V11" i="23"/>
  <c r="V12" i="23"/>
  <c r="V13" i="23"/>
  <c r="V14" i="23"/>
  <c r="V15" i="23"/>
  <c r="V16" i="23"/>
  <c r="V17" i="23"/>
  <c r="V18" i="23"/>
  <c r="V19" i="23"/>
  <c r="V20" i="23"/>
  <c r="V21" i="23"/>
  <c r="V22" i="23"/>
  <c r="V23" i="23"/>
  <c r="V24" i="23"/>
  <c r="V25" i="23"/>
  <c r="V26" i="23"/>
  <c r="V27" i="23"/>
  <c r="V28" i="23"/>
  <c r="V29" i="23"/>
  <c r="V30" i="23"/>
  <c r="U3" i="23"/>
  <c r="U4" i="23"/>
  <c r="U5" i="23"/>
  <c r="U6" i="23"/>
  <c r="U7" i="23"/>
  <c r="U8" i="23"/>
  <c r="U9" i="23"/>
  <c r="U10" i="23"/>
  <c r="U11" i="23"/>
  <c r="U12" i="23"/>
  <c r="U13" i="23"/>
  <c r="U14" i="23"/>
  <c r="U15" i="23"/>
  <c r="U16" i="23"/>
  <c r="U17" i="23"/>
  <c r="U18" i="23"/>
  <c r="U19" i="23"/>
  <c r="U20" i="23"/>
  <c r="U21" i="23"/>
  <c r="U22" i="23"/>
  <c r="U23" i="23"/>
  <c r="U24" i="23"/>
  <c r="U25" i="23"/>
  <c r="U26" i="23"/>
  <c r="U27" i="23"/>
  <c r="U28" i="23"/>
  <c r="U29" i="23"/>
  <c r="U30" i="23"/>
  <c r="T3" i="23"/>
  <c r="T4" i="23"/>
  <c r="T5" i="23"/>
  <c r="T6" i="23"/>
  <c r="T7" i="23"/>
  <c r="T8" i="23"/>
  <c r="T9" i="23"/>
  <c r="T10" i="23"/>
  <c r="T11" i="23"/>
  <c r="T12" i="23"/>
  <c r="T13" i="23"/>
  <c r="T14" i="23"/>
  <c r="T15" i="23"/>
  <c r="T16" i="23"/>
  <c r="T17" i="23"/>
  <c r="T18" i="23"/>
  <c r="T19" i="23"/>
  <c r="T20" i="23"/>
  <c r="T21" i="23"/>
  <c r="T22" i="23"/>
  <c r="T23" i="23"/>
  <c r="T24" i="23"/>
  <c r="T25" i="23"/>
  <c r="T26" i="23"/>
  <c r="T27" i="23"/>
  <c r="T28" i="23"/>
  <c r="T29" i="23"/>
  <c r="T30" i="23"/>
  <c r="S3" i="23"/>
  <c r="S4" i="23"/>
  <c r="S5" i="23"/>
  <c r="S6" i="23"/>
  <c r="S7" i="23"/>
  <c r="S8" i="23"/>
  <c r="S9" i="23"/>
  <c r="S10" i="23"/>
  <c r="S11" i="23"/>
  <c r="S12" i="23"/>
  <c r="S13" i="23"/>
  <c r="S14" i="23"/>
  <c r="S15" i="23"/>
  <c r="S16" i="23"/>
  <c r="S17" i="23"/>
  <c r="S18" i="23"/>
  <c r="S19" i="23"/>
  <c r="S20" i="23"/>
  <c r="S21" i="23"/>
  <c r="S22" i="23"/>
  <c r="S23" i="23"/>
  <c r="S24" i="23"/>
  <c r="S25" i="23"/>
  <c r="S26" i="23"/>
  <c r="S27" i="23"/>
  <c r="S28" i="23"/>
  <c r="S29" i="23"/>
  <c r="S30" i="23"/>
  <c r="R3" i="23"/>
  <c r="R4" i="23"/>
  <c r="R5" i="23"/>
  <c r="R6" i="23"/>
  <c r="R7" i="23"/>
  <c r="R8" i="23"/>
  <c r="R9" i="23"/>
  <c r="R10" i="23"/>
  <c r="R11" i="23"/>
  <c r="R12" i="23"/>
  <c r="R13" i="23"/>
  <c r="R14" i="23"/>
  <c r="R15" i="23"/>
  <c r="R16" i="23"/>
  <c r="R17" i="23"/>
  <c r="R18" i="23"/>
  <c r="R19" i="23"/>
  <c r="R20" i="23"/>
  <c r="R21" i="23"/>
  <c r="R22" i="23"/>
  <c r="R23" i="23"/>
  <c r="R24" i="23"/>
  <c r="R25" i="23"/>
  <c r="R26" i="23"/>
  <c r="R27" i="23"/>
  <c r="R28" i="23"/>
  <c r="R29" i="23"/>
  <c r="R30" i="23"/>
  <c r="Q3" i="23"/>
  <c r="Q4" i="23"/>
  <c r="Q5" i="23"/>
  <c r="Q6" i="23"/>
  <c r="Q7" i="23"/>
  <c r="Q8" i="23"/>
  <c r="Q9" i="23"/>
  <c r="Q10" i="23"/>
  <c r="Q11" i="23"/>
  <c r="Q12" i="23"/>
  <c r="Q13" i="23"/>
  <c r="Q14" i="23"/>
  <c r="Q15" i="23"/>
  <c r="Q16" i="23"/>
  <c r="Q17" i="23"/>
  <c r="Q18" i="23"/>
  <c r="Q19" i="23"/>
  <c r="Q20" i="23"/>
  <c r="Q21" i="23"/>
  <c r="Q22" i="23"/>
  <c r="Q23" i="23"/>
  <c r="Q24" i="23"/>
  <c r="Q25" i="23"/>
  <c r="Q26" i="23"/>
  <c r="Q27" i="23"/>
  <c r="Q28" i="23"/>
  <c r="Q29" i="23"/>
  <c r="Q30" i="23"/>
  <c r="P3" i="23"/>
  <c r="P4" i="23"/>
  <c r="P5" i="23"/>
  <c r="P6" i="23"/>
  <c r="P7" i="23"/>
  <c r="P8" i="23"/>
  <c r="P9" i="23"/>
  <c r="P10" i="23"/>
  <c r="P11" i="23"/>
  <c r="P12" i="23"/>
  <c r="P13" i="23"/>
  <c r="P14" i="23"/>
  <c r="P15" i="23"/>
  <c r="P16" i="23"/>
  <c r="P17" i="23"/>
  <c r="P18" i="23"/>
  <c r="P19" i="23"/>
  <c r="P20" i="23"/>
  <c r="P21" i="23"/>
  <c r="P22" i="23"/>
  <c r="P23" i="23"/>
  <c r="P24" i="23"/>
  <c r="P25" i="23"/>
  <c r="P26" i="23"/>
  <c r="P27" i="23"/>
  <c r="P28" i="23"/>
  <c r="P29" i="23"/>
  <c r="P30" i="23"/>
  <c r="O3" i="23"/>
  <c r="O4" i="23"/>
  <c r="O5" i="23"/>
  <c r="O6" i="23"/>
  <c r="O7" i="23"/>
  <c r="O8" i="23"/>
  <c r="O9" i="23"/>
  <c r="O10" i="23"/>
  <c r="O11" i="23"/>
  <c r="O12" i="23"/>
  <c r="O13" i="23"/>
  <c r="O14" i="23"/>
  <c r="O15" i="23"/>
  <c r="O16" i="23"/>
  <c r="O17" i="23"/>
  <c r="O18" i="23"/>
  <c r="O19" i="23"/>
  <c r="O20" i="23"/>
  <c r="O21" i="23"/>
  <c r="O22" i="23"/>
  <c r="O23" i="23"/>
  <c r="O24" i="23"/>
  <c r="O25" i="23"/>
  <c r="O26" i="23"/>
  <c r="O27" i="23"/>
  <c r="O28" i="23"/>
  <c r="O29" i="23"/>
  <c r="O30" i="23"/>
  <c r="N3" i="23"/>
  <c r="N4" i="23"/>
  <c r="N5" i="23"/>
  <c r="N6" i="23"/>
  <c r="N7" i="23"/>
  <c r="N8" i="23"/>
  <c r="N9" i="23"/>
  <c r="N10" i="23"/>
  <c r="N11" i="23"/>
  <c r="N12" i="23"/>
  <c r="N13" i="23"/>
  <c r="N14" i="23"/>
  <c r="N15" i="23"/>
  <c r="N16" i="23"/>
  <c r="N17" i="23"/>
  <c r="N18" i="23"/>
  <c r="N19" i="23"/>
  <c r="N20" i="23"/>
  <c r="N21" i="23"/>
  <c r="N22" i="23"/>
  <c r="N23" i="23"/>
  <c r="N24" i="23"/>
  <c r="N25" i="23"/>
  <c r="N26" i="23"/>
  <c r="N27" i="23"/>
  <c r="N28" i="23"/>
  <c r="N29" i="23"/>
  <c r="N30" i="23"/>
  <c r="Y3" i="23"/>
  <c r="Y4" i="23"/>
  <c r="Y5" i="23"/>
  <c r="Y6" i="23"/>
  <c r="Y7" i="23"/>
  <c r="Y8" i="23"/>
  <c r="Y9" i="23"/>
  <c r="Y10" i="23"/>
  <c r="Y11" i="23"/>
  <c r="Y12" i="23"/>
  <c r="Y13" i="23"/>
  <c r="Y14" i="23"/>
  <c r="Y15" i="23"/>
  <c r="Y16" i="23"/>
  <c r="Y17" i="23"/>
  <c r="Y18" i="23"/>
  <c r="Y19" i="23"/>
  <c r="Y20" i="23"/>
  <c r="Y21" i="23"/>
  <c r="Y22" i="23"/>
  <c r="Y23" i="23"/>
  <c r="Y24" i="23"/>
  <c r="Y25" i="23"/>
  <c r="Y26" i="23"/>
  <c r="Y27" i="23"/>
  <c r="Y28" i="23"/>
  <c r="Y29" i="23"/>
  <c r="Y30" i="23"/>
  <c r="M3" i="23"/>
  <c r="M4" i="23"/>
  <c r="M5" i="23"/>
  <c r="M6" i="23"/>
  <c r="M7" i="23"/>
  <c r="M8" i="23"/>
  <c r="M9" i="23"/>
  <c r="M10" i="23"/>
  <c r="M11" i="23"/>
  <c r="M12" i="23"/>
  <c r="M13" i="23"/>
  <c r="M14" i="23"/>
  <c r="M15" i="23"/>
  <c r="M16" i="23"/>
  <c r="M17" i="23"/>
  <c r="M18" i="23"/>
  <c r="M19" i="23"/>
  <c r="M20" i="23"/>
  <c r="M21" i="23"/>
  <c r="M22" i="23"/>
  <c r="M23" i="23"/>
  <c r="M24" i="23"/>
  <c r="M25" i="23"/>
  <c r="M26" i="23"/>
  <c r="M27" i="23"/>
  <c r="M28" i="23"/>
  <c r="M29" i="23"/>
  <c r="M30" i="23"/>
  <c r="L3" i="23"/>
  <c r="L4" i="23"/>
  <c r="L5" i="23"/>
  <c r="L6" i="23"/>
  <c r="L7" i="23"/>
  <c r="L8" i="23"/>
  <c r="L9" i="23"/>
  <c r="L10" i="23"/>
  <c r="L11" i="23"/>
  <c r="L12" i="23"/>
  <c r="L13" i="23"/>
  <c r="L14" i="23"/>
  <c r="L15" i="23"/>
  <c r="L16" i="23"/>
  <c r="L17" i="23"/>
  <c r="L18" i="23"/>
  <c r="L19" i="23"/>
  <c r="L20" i="23"/>
  <c r="L21" i="23"/>
  <c r="L22" i="23"/>
  <c r="L23" i="23"/>
  <c r="L24" i="23"/>
  <c r="L25" i="23"/>
  <c r="L26" i="23"/>
  <c r="L27" i="23"/>
  <c r="L28" i="23"/>
  <c r="L29" i="23"/>
  <c r="L30" i="23"/>
  <c r="K3" i="23"/>
  <c r="K4" i="23"/>
  <c r="K5" i="23"/>
  <c r="K6" i="23"/>
  <c r="K7" i="23"/>
  <c r="K8" i="23"/>
  <c r="K9" i="23"/>
  <c r="K10" i="23"/>
  <c r="K11" i="23"/>
  <c r="K12" i="23"/>
  <c r="K13" i="23"/>
  <c r="K14" i="23"/>
  <c r="K15" i="23"/>
  <c r="K16" i="23"/>
  <c r="K17" i="23"/>
  <c r="K18" i="23"/>
  <c r="K19" i="23"/>
  <c r="K20" i="23"/>
  <c r="K21" i="23"/>
  <c r="K22" i="23"/>
  <c r="K23" i="23"/>
  <c r="K24" i="23"/>
  <c r="K25" i="23"/>
  <c r="K26" i="23"/>
  <c r="K27" i="23"/>
  <c r="K28" i="23"/>
  <c r="K29" i="23"/>
  <c r="K30" i="23"/>
  <c r="J3" i="23"/>
  <c r="J4" i="23"/>
  <c r="J5" i="23"/>
  <c r="J6" i="23"/>
  <c r="J7" i="23"/>
  <c r="J8" i="23"/>
  <c r="J9" i="23"/>
  <c r="J10" i="23"/>
  <c r="J11" i="23"/>
  <c r="J12" i="23"/>
  <c r="J13" i="23"/>
  <c r="J14" i="23"/>
  <c r="J15" i="23"/>
  <c r="J16" i="23"/>
  <c r="J17" i="23"/>
  <c r="J18" i="23"/>
  <c r="J19" i="23"/>
  <c r="J20" i="23"/>
  <c r="J21" i="23"/>
  <c r="J22" i="23"/>
  <c r="J23" i="23"/>
  <c r="J24" i="23"/>
  <c r="J25" i="23"/>
  <c r="J26" i="23"/>
  <c r="J27" i="23"/>
  <c r="J28" i="23"/>
  <c r="J29" i="23"/>
  <c r="J30" i="23"/>
  <c r="I3" i="23"/>
  <c r="I4" i="23"/>
  <c r="I5" i="23"/>
  <c r="I6" i="23"/>
  <c r="I7" i="23"/>
  <c r="I8" i="23"/>
  <c r="I9" i="23"/>
  <c r="I10" i="23"/>
  <c r="I11" i="23"/>
  <c r="I12" i="23"/>
  <c r="I13" i="23"/>
  <c r="I14" i="23"/>
  <c r="I15" i="23"/>
  <c r="I16" i="23"/>
  <c r="I17" i="23"/>
  <c r="I18" i="23"/>
  <c r="I19" i="23"/>
  <c r="I20" i="23"/>
  <c r="I21" i="23"/>
  <c r="I22" i="23"/>
  <c r="I23" i="23"/>
  <c r="I24" i="23"/>
  <c r="I25" i="23"/>
  <c r="I26" i="23"/>
  <c r="I27" i="23"/>
  <c r="I28" i="23"/>
  <c r="I29" i="23"/>
  <c r="I30" i="23"/>
  <c r="H3" i="23"/>
  <c r="H4" i="23"/>
  <c r="H5" i="23"/>
  <c r="H6" i="23"/>
  <c r="H7" i="23"/>
  <c r="H8" i="23"/>
  <c r="H9" i="23"/>
  <c r="H10" i="23"/>
  <c r="H11" i="23"/>
  <c r="H12" i="23"/>
  <c r="H13" i="23"/>
  <c r="H14" i="23"/>
  <c r="H15" i="23"/>
  <c r="H16" i="23"/>
  <c r="H17" i="23"/>
  <c r="H18" i="23"/>
  <c r="H19" i="23"/>
  <c r="H20" i="23"/>
  <c r="H21" i="23"/>
  <c r="H22" i="23"/>
  <c r="H23" i="23"/>
  <c r="H24" i="23"/>
  <c r="H25" i="23"/>
  <c r="H26" i="23"/>
  <c r="H27" i="23"/>
  <c r="H28" i="23"/>
  <c r="H29" i="23"/>
  <c r="H30" i="23"/>
  <c r="G3" i="23"/>
  <c r="G4" i="23"/>
  <c r="G5" i="23"/>
  <c r="G6" i="23"/>
  <c r="G7" i="23"/>
  <c r="G8" i="23"/>
  <c r="G9" i="23"/>
  <c r="G10" i="23"/>
  <c r="G11" i="23"/>
  <c r="G12" i="23"/>
  <c r="G13" i="23"/>
  <c r="G14" i="23"/>
  <c r="G15" i="23"/>
  <c r="G16" i="23"/>
  <c r="G17" i="23"/>
  <c r="G18" i="23"/>
  <c r="G19" i="23"/>
  <c r="G20" i="23"/>
  <c r="G21" i="23"/>
  <c r="G22" i="23"/>
  <c r="G23" i="23"/>
  <c r="G24" i="23"/>
  <c r="G25" i="23"/>
  <c r="G26" i="23"/>
  <c r="G27" i="23"/>
  <c r="G28" i="23"/>
  <c r="G29" i="23"/>
  <c r="G30" i="23"/>
  <c r="F3" i="23"/>
  <c r="F4" i="23"/>
  <c r="F5" i="23"/>
  <c r="F6" i="23"/>
  <c r="F7" i="23"/>
  <c r="F8" i="23"/>
  <c r="F9" i="23"/>
  <c r="F10" i="23"/>
  <c r="F11" i="23"/>
  <c r="F12" i="23"/>
  <c r="F13" i="23"/>
  <c r="F14" i="23"/>
  <c r="F15" i="23"/>
  <c r="F16" i="23"/>
  <c r="F17" i="23"/>
  <c r="F18" i="23"/>
  <c r="F19" i="23"/>
  <c r="F20" i="23"/>
  <c r="F21" i="23"/>
  <c r="F22" i="23"/>
  <c r="F23" i="23"/>
  <c r="F24" i="23"/>
  <c r="F25" i="23"/>
  <c r="F26" i="23"/>
  <c r="F27" i="23"/>
  <c r="F28" i="23"/>
  <c r="F29" i="23"/>
  <c r="F30" i="23"/>
  <c r="N59" i="16" l="1"/>
  <c r="U96" i="23"/>
  <c r="N96" i="23"/>
  <c r="M96" i="23"/>
  <c r="Z96" i="23"/>
  <c r="O59" i="16"/>
  <c r="J96" i="23"/>
  <c r="Y96" i="23"/>
  <c r="I96" i="23"/>
  <c r="F96" i="23"/>
  <c r="E96" i="23"/>
  <c r="R96" i="23"/>
  <c r="Q96" i="23"/>
  <c r="S96" i="23"/>
  <c r="C96" i="23"/>
  <c r="W96" i="23"/>
  <c r="D96" i="23"/>
  <c r="X96" i="23"/>
  <c r="P96" i="23"/>
  <c r="L96" i="23"/>
  <c r="H96" i="23"/>
  <c r="T96" i="23"/>
  <c r="AA96" i="23"/>
  <c r="O96" i="23"/>
  <c r="K96" i="23"/>
  <c r="G96" i="23"/>
  <c r="V96" i="23"/>
  <c r="B36" i="23"/>
  <c r="B96" i="23"/>
  <c r="B56" i="23"/>
  <c r="B55" i="23"/>
  <c r="B35" i="23"/>
  <c r="B60" i="23"/>
  <c r="B41" i="23"/>
  <c r="B59" i="23"/>
  <c r="B51" i="23"/>
  <c r="B44" i="23"/>
  <c r="B49" i="23"/>
  <c r="B47" i="23"/>
  <c r="B58" i="23"/>
  <c r="B37" i="23"/>
  <c r="B45" i="23"/>
  <c r="B48" i="23"/>
  <c r="B46" i="23"/>
  <c r="B54" i="23"/>
  <c r="B40" i="23"/>
  <c r="B53" i="23"/>
  <c r="B52" i="23"/>
  <c r="B39" i="23"/>
  <c r="B42" i="23"/>
  <c r="B57" i="23"/>
  <c r="B50" i="23"/>
  <c r="B43" i="23"/>
  <c r="B38" i="23"/>
  <c r="D4" i="21"/>
  <c r="D5" i="21"/>
  <c r="D6" i="21"/>
  <c r="D7" i="21"/>
  <c r="D8" i="21"/>
  <c r="D9" i="21"/>
  <c r="D10" i="21"/>
  <c r="D11" i="21"/>
  <c r="D12" i="21"/>
  <c r="D13" i="21"/>
  <c r="D14" i="21"/>
  <c r="D15" i="21"/>
  <c r="D16" i="21"/>
  <c r="D17" i="21"/>
  <c r="D18" i="21"/>
  <c r="D19" i="21"/>
  <c r="D20" i="21"/>
  <c r="D21" i="21"/>
  <c r="D22" i="21"/>
  <c r="D23" i="21"/>
  <c r="D24" i="21"/>
  <c r="D25" i="21"/>
  <c r="D26" i="21"/>
  <c r="D27" i="21"/>
  <c r="D28" i="21"/>
  <c r="D29" i="21"/>
  <c r="D30" i="21"/>
  <c r="D31" i="21"/>
  <c r="D32" i="21"/>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3" i="16"/>
  <c r="D98" i="14"/>
  <c r="E98" i="14" s="1"/>
  <c r="D95" i="14"/>
  <c r="E95" i="14" s="1"/>
  <c r="D91" i="14"/>
  <c r="E91" i="14" s="1"/>
  <c r="D100" i="14"/>
  <c r="E100" i="14" s="1"/>
  <c r="D97" i="14"/>
  <c r="E97" i="14" s="1"/>
  <c r="D99" i="14"/>
  <c r="E99" i="14" s="1"/>
  <c r="D90" i="14"/>
  <c r="E90" i="14" s="1"/>
  <c r="D94" i="14"/>
  <c r="E94" i="14" s="1"/>
  <c r="D88" i="14"/>
  <c r="E88" i="14" s="1"/>
  <c r="D93" i="14"/>
  <c r="E93" i="14" s="1"/>
  <c r="D92" i="14"/>
  <c r="E92" i="14" s="1"/>
  <c r="D96" i="14"/>
  <c r="E96" i="14" s="1"/>
  <c r="D89" i="14"/>
  <c r="E89" i="14" s="1"/>
  <c r="S75" i="14"/>
  <c r="S76" i="14"/>
  <c r="S77" i="14"/>
  <c r="S78" i="14"/>
  <c r="S79" i="14"/>
  <c r="S80" i="14"/>
  <c r="S81" i="14"/>
  <c r="S82" i="14"/>
  <c r="S83" i="14"/>
  <c r="S84" i="14"/>
  <c r="S74" i="14"/>
  <c r="S41" i="14"/>
  <c r="S42" i="14"/>
  <c r="S43" i="14"/>
  <c r="S44" i="14"/>
  <c r="S45" i="14"/>
  <c r="S46" i="14"/>
  <c r="S47" i="14"/>
  <c r="S48" i="14"/>
  <c r="S49" i="14"/>
  <c r="S50" i="14"/>
  <c r="S40" i="14"/>
  <c r="S4" i="14"/>
  <c r="S5" i="14"/>
  <c r="S6" i="14"/>
  <c r="S7" i="14"/>
  <c r="S8" i="14"/>
  <c r="S9" i="14"/>
  <c r="S10" i="14"/>
  <c r="S11" i="14"/>
  <c r="S12" i="14"/>
  <c r="S13" i="14"/>
  <c r="S14" i="14"/>
  <c r="D63" i="14"/>
  <c r="E63" i="14" s="1"/>
  <c r="D62" i="14"/>
  <c r="E62" i="14" s="1"/>
  <c r="D55" i="14"/>
  <c r="E55" i="14" s="1"/>
  <c r="D65" i="14"/>
  <c r="E65" i="14" s="1"/>
  <c r="D61" i="14"/>
  <c r="E61" i="14" s="1"/>
  <c r="D64" i="14"/>
  <c r="E64" i="14" s="1"/>
  <c r="D56" i="14"/>
  <c r="E56" i="14" s="1"/>
  <c r="D60" i="14"/>
  <c r="E60" i="14" s="1"/>
  <c r="D53" i="14"/>
  <c r="E53" i="14" s="1"/>
  <c r="D58" i="14"/>
  <c r="E58" i="14" s="1"/>
  <c r="D57" i="14"/>
  <c r="E57" i="14" s="1"/>
  <c r="D59" i="14"/>
  <c r="E59" i="14" s="1"/>
  <c r="D54" i="14"/>
  <c r="E54" i="14" s="1"/>
  <c r="T89" i="14" l="1"/>
  <c r="T86" i="14"/>
  <c r="T55" i="14"/>
  <c r="D271" i="16"/>
  <c r="C270" i="16"/>
  <c r="C271" i="16"/>
  <c r="B102" i="14"/>
  <c r="D332" i="16"/>
  <c r="C332" i="16"/>
  <c r="C333" i="16"/>
  <c r="D333" i="16"/>
  <c r="D270" i="16"/>
  <c r="S16" i="14"/>
  <c r="T52" i="14"/>
  <c r="T90" i="14"/>
  <c r="B67" i="14"/>
  <c r="D27" i="14"/>
  <c r="E27" i="14" s="1"/>
  <c r="D26" i="14"/>
  <c r="E26" i="14" s="1"/>
  <c r="D19" i="14"/>
  <c r="E19" i="14" s="1"/>
  <c r="D29" i="14"/>
  <c r="E29" i="14" s="1"/>
  <c r="D25" i="14"/>
  <c r="E25" i="14" s="1"/>
  <c r="D28" i="14"/>
  <c r="E28" i="14" s="1"/>
  <c r="D20" i="14"/>
  <c r="E20" i="14" s="1"/>
  <c r="D24" i="14"/>
  <c r="E24" i="14" s="1"/>
  <c r="D17" i="14"/>
  <c r="D22" i="14"/>
  <c r="E22" i="14" s="1"/>
  <c r="D21" i="14"/>
  <c r="E21" i="14" s="1"/>
  <c r="D23" i="14"/>
  <c r="E23" i="14" s="1"/>
  <c r="D18" i="14"/>
  <c r="E18" i="14" s="1"/>
  <c r="C84" i="14"/>
  <c r="T87" i="14" s="1"/>
  <c r="C83" i="14"/>
  <c r="C82" i="14"/>
  <c r="C81" i="14"/>
  <c r="C80" i="14"/>
  <c r="C79" i="14"/>
  <c r="C78" i="14"/>
  <c r="C77" i="14"/>
  <c r="C76" i="14"/>
  <c r="C75" i="14"/>
  <c r="C74" i="14"/>
  <c r="C73" i="14"/>
  <c r="C40" i="14"/>
  <c r="C41" i="14"/>
  <c r="C42" i="14"/>
  <c r="C43" i="14"/>
  <c r="C44" i="14"/>
  <c r="C45" i="14"/>
  <c r="C46" i="14"/>
  <c r="C47" i="14"/>
  <c r="T56" i="14" s="1"/>
  <c r="C48" i="14"/>
  <c r="C49" i="14"/>
  <c r="C50" i="14"/>
  <c r="C39" i="14"/>
  <c r="C6" i="14"/>
  <c r="C7" i="14"/>
  <c r="C8" i="14"/>
  <c r="C9" i="14"/>
  <c r="C10" i="14"/>
  <c r="C11" i="14"/>
  <c r="C12" i="14"/>
  <c r="C13" i="14"/>
  <c r="C14" i="14"/>
  <c r="C4" i="14"/>
  <c r="C5" i="14"/>
  <c r="C3" i="14"/>
  <c r="Q3" i="10"/>
  <c r="Q4" i="10"/>
  <c r="Q5" i="10"/>
  <c r="Q6" i="10"/>
  <c r="Q7" i="10"/>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2" i="10"/>
  <c r="B86" i="5"/>
  <c r="C81" i="5" s="1"/>
  <c r="B75" i="5"/>
  <c r="C69" i="5" s="1"/>
  <c r="B64" i="5"/>
  <c r="C57" i="5" s="1"/>
  <c r="B35" i="5"/>
  <c r="F270" i="16" l="1"/>
  <c r="E270" i="16"/>
  <c r="S17" i="14"/>
  <c r="E332" i="16"/>
  <c r="F332" i="16"/>
  <c r="D53" i="16"/>
  <c r="D52" i="16"/>
  <c r="C53" i="16"/>
  <c r="C52" i="16"/>
  <c r="T53" i="14"/>
  <c r="B32" i="14"/>
  <c r="T19" i="14"/>
  <c r="T20" i="14" s="1"/>
  <c r="E17" i="14"/>
  <c r="C63" i="5"/>
  <c r="C62" i="5"/>
  <c r="C61" i="5"/>
  <c r="C60" i="5"/>
  <c r="C59" i="5"/>
  <c r="C58" i="5"/>
  <c r="C74" i="5"/>
  <c r="C73" i="5"/>
  <c r="C72" i="5"/>
  <c r="C68" i="5"/>
  <c r="C71" i="5"/>
  <c r="C70" i="5"/>
  <c r="C79" i="5"/>
  <c r="C82" i="5"/>
  <c r="C84" i="5"/>
  <c r="C80" i="5"/>
  <c r="C83" i="5"/>
  <c r="C85" i="5"/>
  <c r="Z3" i="1"/>
  <c r="Z7" i="1"/>
  <c r="Z11" i="1"/>
  <c r="Z12" i="1"/>
  <c r="Z15" i="1"/>
  <c r="Z16" i="1"/>
  <c r="Z17" i="1"/>
  <c r="Z18" i="1"/>
  <c r="Z23" i="1"/>
  <c r="Z27" i="1"/>
  <c r="Z28" i="1"/>
  <c r="Z31" i="1"/>
  <c r="Z32" i="1"/>
  <c r="Z33" i="1"/>
  <c r="Z34" i="1"/>
  <c r="Z39" i="1"/>
  <c r="Z43" i="1"/>
  <c r="Z44" i="1"/>
  <c r="Z47" i="1"/>
  <c r="Z48" i="1"/>
  <c r="Z49" i="1"/>
  <c r="Z50" i="1"/>
  <c r="Z55" i="1"/>
  <c r="Z59" i="1"/>
  <c r="Z60" i="1"/>
  <c r="Z63" i="1"/>
  <c r="Z64" i="1"/>
  <c r="Z65" i="1"/>
  <c r="Z66" i="1"/>
  <c r="Z71" i="1"/>
  <c r="Z75" i="1"/>
  <c r="Z76" i="1"/>
  <c r="Z79" i="1"/>
  <c r="Z80" i="1"/>
  <c r="Z81" i="1"/>
  <c r="Z82" i="1"/>
  <c r="Z87" i="1"/>
  <c r="Z91" i="1"/>
  <c r="Z92" i="1"/>
  <c r="Z95" i="1"/>
  <c r="Z96" i="1"/>
  <c r="Z97" i="1"/>
  <c r="Z98" i="1"/>
  <c r="Z103" i="1"/>
  <c r="Z107" i="1"/>
  <c r="Z108" i="1"/>
  <c r="Z111" i="1"/>
  <c r="Z112" i="1"/>
  <c r="Z113" i="1"/>
  <c r="Z114" i="1"/>
  <c r="Z119" i="1"/>
  <c r="Z123" i="1"/>
  <c r="Z124" i="1"/>
  <c r="Z127" i="1"/>
  <c r="Z128" i="1"/>
  <c r="Z129" i="1"/>
  <c r="Z130" i="1"/>
  <c r="Z135" i="1"/>
  <c r="Z139" i="1"/>
  <c r="Z140" i="1"/>
  <c r="Z143" i="1"/>
  <c r="Z144" i="1"/>
  <c r="Z145" i="1"/>
  <c r="Z146" i="1"/>
  <c r="Z151" i="1"/>
  <c r="Z155" i="1"/>
  <c r="Z156" i="1"/>
  <c r="Z159" i="1"/>
  <c r="Z160" i="1"/>
  <c r="Z161" i="1"/>
  <c r="Z162" i="1"/>
  <c r="Z167" i="1"/>
  <c r="Z171" i="1"/>
  <c r="Z172" i="1"/>
  <c r="Z175" i="1"/>
  <c r="Z176" i="1"/>
  <c r="Z177" i="1"/>
  <c r="Z178" i="1"/>
  <c r="Z183" i="1"/>
  <c r="Z187" i="1"/>
  <c r="Z188" i="1"/>
  <c r="Z191" i="1"/>
  <c r="Z192" i="1"/>
  <c r="Z193" i="1"/>
  <c r="Z194" i="1"/>
  <c r="Z199" i="1"/>
  <c r="Z203" i="1"/>
  <c r="Z204" i="1"/>
  <c r="Z207" i="1"/>
  <c r="Z208" i="1"/>
  <c r="Z209" i="1"/>
  <c r="Z210" i="1"/>
  <c r="Z215" i="1"/>
  <c r="Z219" i="1"/>
  <c r="Z220" i="1"/>
  <c r="Z223" i="1"/>
  <c r="Z224" i="1"/>
  <c r="Z225" i="1"/>
  <c r="Z226" i="1"/>
  <c r="Z231" i="1"/>
  <c r="Z235" i="1"/>
  <c r="Z236" i="1"/>
  <c r="Z239" i="1"/>
  <c r="Z240" i="1"/>
  <c r="Z241" i="1"/>
  <c r="Z242" i="1"/>
  <c r="Z247" i="1"/>
  <c r="Z251" i="1"/>
  <c r="Z252" i="1"/>
  <c r="Z255" i="1"/>
  <c r="Z256" i="1"/>
  <c r="Z257" i="1"/>
  <c r="Z258" i="1"/>
  <c r="Z269" i="1"/>
  <c r="Z273" i="1"/>
  <c r="Z274" i="1"/>
  <c r="Z277" i="1"/>
  <c r="Z278" i="1"/>
  <c r="Z279" i="1"/>
  <c r="Z280" i="1"/>
  <c r="Z285" i="1"/>
  <c r="Z289" i="1"/>
  <c r="Z290" i="1"/>
  <c r="Z293" i="1"/>
  <c r="Z294" i="1"/>
  <c r="Z295" i="1"/>
  <c r="Z296" i="1"/>
  <c r="Z301" i="1"/>
  <c r="Z305" i="1"/>
  <c r="Z306" i="1"/>
  <c r="Z309" i="1"/>
  <c r="Z310" i="1"/>
  <c r="Z311" i="1"/>
  <c r="Z312" i="1"/>
  <c r="Z317" i="1"/>
  <c r="Z321" i="1"/>
  <c r="Z322" i="1"/>
  <c r="Z325" i="1"/>
  <c r="Z326" i="1"/>
  <c r="Z327" i="1"/>
  <c r="Z328" i="1"/>
  <c r="Z333" i="1"/>
  <c r="Z337" i="1"/>
  <c r="Z338" i="1"/>
  <c r="Z341" i="1"/>
  <c r="Z342" i="1"/>
  <c r="Z343" i="1"/>
  <c r="Z344" i="1"/>
  <c r="Z349" i="1"/>
  <c r="Z353" i="1"/>
  <c r="Z354" i="1"/>
  <c r="Z357" i="1"/>
  <c r="Z358" i="1"/>
  <c r="Z359" i="1"/>
  <c r="Z360" i="1"/>
  <c r="Z365" i="1"/>
  <c r="Z369" i="1"/>
  <c r="Z370" i="1"/>
  <c r="Z373" i="1"/>
  <c r="Z374" i="1"/>
  <c r="R3" i="1"/>
  <c r="V3" i="1"/>
  <c r="AC3" i="1"/>
  <c r="R4" i="1"/>
  <c r="V4" i="1"/>
  <c r="Z4" i="1"/>
  <c r="AC4" i="1"/>
  <c r="R5" i="1"/>
  <c r="V5" i="1"/>
  <c r="Z5" i="1"/>
  <c r="AC5" i="1"/>
  <c r="R6" i="1"/>
  <c r="V6" i="1"/>
  <c r="Z6" i="1"/>
  <c r="AC6" i="1"/>
  <c r="R7" i="1"/>
  <c r="V7" i="1"/>
  <c r="AC7" i="1"/>
  <c r="R8" i="1"/>
  <c r="V8" i="1"/>
  <c r="Z8" i="1"/>
  <c r="AC8" i="1"/>
  <c r="R9" i="1"/>
  <c r="V9" i="1"/>
  <c r="Z9" i="1"/>
  <c r="AC9" i="1"/>
  <c r="R10" i="1"/>
  <c r="V10" i="1"/>
  <c r="Z10" i="1"/>
  <c r="AC10" i="1"/>
  <c r="R11" i="1"/>
  <c r="V11" i="1"/>
  <c r="AC11" i="1"/>
  <c r="R12" i="1"/>
  <c r="V12" i="1"/>
  <c r="AC12" i="1"/>
  <c r="R13" i="1"/>
  <c r="V13" i="1"/>
  <c r="Z13" i="1"/>
  <c r="AC13" i="1"/>
  <c r="R14" i="1"/>
  <c r="V14" i="1"/>
  <c r="Z14" i="1"/>
  <c r="AC14" i="1"/>
  <c r="R15" i="1"/>
  <c r="V15" i="1"/>
  <c r="AC15" i="1"/>
  <c r="R16" i="1"/>
  <c r="V16" i="1"/>
  <c r="AC16" i="1"/>
  <c r="R17" i="1"/>
  <c r="V17" i="1"/>
  <c r="AC17" i="1"/>
  <c r="R18" i="1"/>
  <c r="V18" i="1"/>
  <c r="AC18" i="1"/>
  <c r="R19" i="1"/>
  <c r="V19" i="1"/>
  <c r="Z19" i="1"/>
  <c r="AC19" i="1"/>
  <c r="R20" i="1"/>
  <c r="V20" i="1"/>
  <c r="Z20" i="1"/>
  <c r="AC20" i="1"/>
  <c r="R21" i="1"/>
  <c r="V21" i="1"/>
  <c r="Z21" i="1"/>
  <c r="AC21" i="1"/>
  <c r="R22" i="1"/>
  <c r="V22" i="1"/>
  <c r="Z22" i="1"/>
  <c r="AC22" i="1"/>
  <c r="R23" i="1"/>
  <c r="V23" i="1"/>
  <c r="AC23" i="1"/>
  <c r="R24" i="1"/>
  <c r="V24" i="1"/>
  <c r="Z24" i="1"/>
  <c r="AC24" i="1"/>
  <c r="R25" i="1"/>
  <c r="V25" i="1"/>
  <c r="Z25" i="1"/>
  <c r="AC25" i="1"/>
  <c r="R26" i="1"/>
  <c r="V26" i="1"/>
  <c r="Z26" i="1"/>
  <c r="AC26" i="1"/>
  <c r="R27" i="1"/>
  <c r="V27" i="1"/>
  <c r="AC27" i="1"/>
  <c r="R28" i="1"/>
  <c r="V28" i="1"/>
  <c r="AC28" i="1"/>
  <c r="R29" i="1"/>
  <c r="V29" i="1"/>
  <c r="Z29" i="1"/>
  <c r="AC29" i="1"/>
  <c r="R30" i="1"/>
  <c r="V30" i="1"/>
  <c r="Z30" i="1"/>
  <c r="AC30" i="1"/>
  <c r="R31" i="1"/>
  <c r="V31" i="1"/>
  <c r="AC31" i="1"/>
  <c r="R32" i="1"/>
  <c r="V32" i="1"/>
  <c r="AC32" i="1"/>
  <c r="R33" i="1"/>
  <c r="V33" i="1"/>
  <c r="AC33" i="1"/>
  <c r="R34" i="1"/>
  <c r="V34" i="1"/>
  <c r="AC34" i="1"/>
  <c r="R35" i="1"/>
  <c r="V35" i="1"/>
  <c r="Z35" i="1"/>
  <c r="AC35" i="1"/>
  <c r="R36" i="1"/>
  <c r="V36" i="1"/>
  <c r="Z36" i="1"/>
  <c r="AC36" i="1"/>
  <c r="R37" i="1"/>
  <c r="V37" i="1"/>
  <c r="Z37" i="1"/>
  <c r="AC37" i="1"/>
  <c r="R38" i="1"/>
  <c r="V38" i="1"/>
  <c r="Z38" i="1"/>
  <c r="AC38" i="1"/>
  <c r="R39" i="1"/>
  <c r="V39" i="1"/>
  <c r="AC39" i="1"/>
  <c r="R40" i="1"/>
  <c r="V40" i="1"/>
  <c r="Z40" i="1"/>
  <c r="AC40" i="1"/>
  <c r="R41" i="1"/>
  <c r="V41" i="1"/>
  <c r="Z41" i="1"/>
  <c r="AC41" i="1"/>
  <c r="R42" i="1"/>
  <c r="V42" i="1"/>
  <c r="Z42" i="1"/>
  <c r="AC42" i="1"/>
  <c r="R43" i="1"/>
  <c r="V43" i="1"/>
  <c r="AC43" i="1"/>
  <c r="R44" i="1"/>
  <c r="V44" i="1"/>
  <c r="AC44" i="1"/>
  <c r="R45" i="1"/>
  <c r="V45" i="1"/>
  <c r="Z45" i="1"/>
  <c r="AC45" i="1"/>
  <c r="R46" i="1"/>
  <c r="V46" i="1"/>
  <c r="Z46" i="1"/>
  <c r="AC46" i="1"/>
  <c r="R47" i="1"/>
  <c r="V47" i="1"/>
  <c r="AC47" i="1"/>
  <c r="R48" i="1"/>
  <c r="V48" i="1"/>
  <c r="AC48" i="1"/>
  <c r="R49" i="1"/>
  <c r="V49" i="1"/>
  <c r="AC49" i="1"/>
  <c r="R50" i="1"/>
  <c r="V50" i="1"/>
  <c r="AC50" i="1"/>
  <c r="R51" i="1"/>
  <c r="V51" i="1"/>
  <c r="Z51" i="1"/>
  <c r="AC51" i="1"/>
  <c r="R52" i="1"/>
  <c r="V52" i="1"/>
  <c r="Z52" i="1"/>
  <c r="AC52" i="1"/>
  <c r="R53" i="1"/>
  <c r="V53" i="1"/>
  <c r="Z53" i="1"/>
  <c r="AC53" i="1"/>
  <c r="R54" i="1"/>
  <c r="V54" i="1"/>
  <c r="Z54" i="1"/>
  <c r="AC54" i="1"/>
  <c r="R55" i="1"/>
  <c r="V55" i="1"/>
  <c r="AC55" i="1"/>
  <c r="R56" i="1"/>
  <c r="V56" i="1"/>
  <c r="Z56" i="1"/>
  <c r="AC56" i="1"/>
  <c r="R57" i="1"/>
  <c r="V57" i="1"/>
  <c r="Z57" i="1"/>
  <c r="AC57" i="1"/>
  <c r="R58" i="1"/>
  <c r="V58" i="1"/>
  <c r="Z58" i="1"/>
  <c r="AC58" i="1"/>
  <c r="R59" i="1"/>
  <c r="V59" i="1"/>
  <c r="AC59" i="1"/>
  <c r="R60" i="1"/>
  <c r="V60" i="1"/>
  <c r="AC60" i="1"/>
  <c r="R61" i="1"/>
  <c r="V61" i="1"/>
  <c r="Z61" i="1"/>
  <c r="AC61" i="1"/>
  <c r="R62" i="1"/>
  <c r="V62" i="1"/>
  <c r="Z62" i="1"/>
  <c r="AC62" i="1"/>
  <c r="R63" i="1"/>
  <c r="V63" i="1"/>
  <c r="AC63" i="1"/>
  <c r="R64" i="1"/>
  <c r="V64" i="1"/>
  <c r="AC64" i="1"/>
  <c r="R65" i="1"/>
  <c r="V65" i="1"/>
  <c r="AC65" i="1"/>
  <c r="R66" i="1"/>
  <c r="V66" i="1"/>
  <c r="AC66" i="1"/>
  <c r="R67" i="1"/>
  <c r="V67" i="1"/>
  <c r="Z67" i="1"/>
  <c r="AC67" i="1"/>
  <c r="R68" i="1"/>
  <c r="V68" i="1"/>
  <c r="Z68" i="1"/>
  <c r="AC68" i="1"/>
  <c r="R69" i="1"/>
  <c r="V69" i="1"/>
  <c r="Z69" i="1"/>
  <c r="AC69" i="1"/>
  <c r="R70" i="1"/>
  <c r="V70" i="1"/>
  <c r="Z70" i="1"/>
  <c r="AC70" i="1"/>
  <c r="R71" i="1"/>
  <c r="V71" i="1"/>
  <c r="AC71" i="1"/>
  <c r="R72" i="1"/>
  <c r="V72" i="1"/>
  <c r="Z72" i="1"/>
  <c r="AC72" i="1"/>
  <c r="R73" i="1"/>
  <c r="V73" i="1"/>
  <c r="Z73" i="1"/>
  <c r="AC73" i="1"/>
  <c r="R74" i="1"/>
  <c r="V74" i="1"/>
  <c r="Z74" i="1"/>
  <c r="AC74" i="1"/>
  <c r="R75" i="1"/>
  <c r="V75" i="1"/>
  <c r="AC75" i="1"/>
  <c r="R76" i="1"/>
  <c r="V76" i="1"/>
  <c r="AC76" i="1"/>
  <c r="R77" i="1"/>
  <c r="V77" i="1"/>
  <c r="Z77" i="1"/>
  <c r="AC77" i="1"/>
  <c r="R78" i="1"/>
  <c r="V78" i="1"/>
  <c r="Z78" i="1"/>
  <c r="AC78" i="1"/>
  <c r="R79" i="1"/>
  <c r="V79" i="1"/>
  <c r="AC79" i="1"/>
  <c r="R80" i="1"/>
  <c r="V80" i="1"/>
  <c r="AC80" i="1"/>
  <c r="R81" i="1"/>
  <c r="V81" i="1"/>
  <c r="AC81" i="1"/>
  <c r="R82" i="1"/>
  <c r="V82" i="1"/>
  <c r="AC82" i="1"/>
  <c r="R83" i="1"/>
  <c r="V83" i="1"/>
  <c r="Z83" i="1"/>
  <c r="AC83" i="1"/>
  <c r="R84" i="1"/>
  <c r="V84" i="1"/>
  <c r="Z84" i="1"/>
  <c r="AC84" i="1"/>
  <c r="R85" i="1"/>
  <c r="V85" i="1"/>
  <c r="Z85" i="1"/>
  <c r="AC85" i="1"/>
  <c r="R86" i="1"/>
  <c r="V86" i="1"/>
  <c r="Z86" i="1"/>
  <c r="AC86" i="1"/>
  <c r="R87" i="1"/>
  <c r="V87" i="1"/>
  <c r="AC87" i="1"/>
  <c r="R88" i="1"/>
  <c r="V88" i="1"/>
  <c r="Z88" i="1"/>
  <c r="AC88" i="1"/>
  <c r="R89" i="1"/>
  <c r="V89" i="1"/>
  <c r="Z89" i="1"/>
  <c r="AC89" i="1"/>
  <c r="R90" i="1"/>
  <c r="V90" i="1"/>
  <c r="Z90" i="1"/>
  <c r="AC90" i="1"/>
  <c r="R91" i="1"/>
  <c r="V91" i="1"/>
  <c r="AC91" i="1"/>
  <c r="R92" i="1"/>
  <c r="V92" i="1"/>
  <c r="AC92" i="1"/>
  <c r="R93" i="1"/>
  <c r="V93" i="1"/>
  <c r="Z93" i="1"/>
  <c r="AC93" i="1"/>
  <c r="R94" i="1"/>
  <c r="V94" i="1"/>
  <c r="Z94" i="1"/>
  <c r="AC94" i="1"/>
  <c r="R95" i="1"/>
  <c r="V95" i="1"/>
  <c r="AC95" i="1"/>
  <c r="R96" i="1"/>
  <c r="V96" i="1"/>
  <c r="AC96" i="1"/>
  <c r="R97" i="1"/>
  <c r="V97" i="1"/>
  <c r="AC97" i="1"/>
  <c r="R98" i="1"/>
  <c r="V98" i="1"/>
  <c r="AC98" i="1"/>
  <c r="R99" i="1"/>
  <c r="V99" i="1"/>
  <c r="Z99" i="1"/>
  <c r="AC99" i="1"/>
  <c r="R100" i="1"/>
  <c r="V100" i="1"/>
  <c r="Z100" i="1"/>
  <c r="AC100" i="1"/>
  <c r="R101" i="1"/>
  <c r="V101" i="1"/>
  <c r="Z101" i="1"/>
  <c r="AC101" i="1"/>
  <c r="R102" i="1"/>
  <c r="V102" i="1"/>
  <c r="Z102" i="1"/>
  <c r="AC102" i="1"/>
  <c r="R103" i="1"/>
  <c r="V103" i="1"/>
  <c r="AC103" i="1"/>
  <c r="R104" i="1"/>
  <c r="V104" i="1"/>
  <c r="Z104" i="1"/>
  <c r="AC104" i="1"/>
  <c r="R105" i="1"/>
  <c r="V105" i="1"/>
  <c r="Z105" i="1"/>
  <c r="AC105" i="1"/>
  <c r="R106" i="1"/>
  <c r="V106" i="1"/>
  <c r="Z106" i="1"/>
  <c r="AC106" i="1"/>
  <c r="R107" i="1"/>
  <c r="V107" i="1"/>
  <c r="AC107" i="1"/>
  <c r="R108" i="1"/>
  <c r="V108" i="1"/>
  <c r="AC108" i="1"/>
  <c r="R109" i="1"/>
  <c r="V109" i="1"/>
  <c r="Z109" i="1"/>
  <c r="AC109" i="1"/>
  <c r="R110" i="1"/>
  <c r="V110" i="1"/>
  <c r="Z110" i="1"/>
  <c r="AC110" i="1"/>
  <c r="R111" i="1"/>
  <c r="V111" i="1"/>
  <c r="AC111" i="1"/>
  <c r="R112" i="1"/>
  <c r="V112" i="1"/>
  <c r="AC112" i="1"/>
  <c r="R113" i="1"/>
  <c r="V113" i="1"/>
  <c r="AC113" i="1"/>
  <c r="R114" i="1"/>
  <c r="V114" i="1"/>
  <c r="AC114" i="1"/>
  <c r="R115" i="1"/>
  <c r="V115" i="1"/>
  <c r="Z115" i="1"/>
  <c r="AC115" i="1"/>
  <c r="R116" i="1"/>
  <c r="V116" i="1"/>
  <c r="Z116" i="1"/>
  <c r="AC116" i="1"/>
  <c r="R117" i="1"/>
  <c r="V117" i="1"/>
  <c r="Z117" i="1"/>
  <c r="AC117" i="1"/>
  <c r="R118" i="1"/>
  <c r="V118" i="1"/>
  <c r="Z118" i="1"/>
  <c r="AC118" i="1"/>
  <c r="R119" i="1"/>
  <c r="V119" i="1"/>
  <c r="AC119" i="1"/>
  <c r="R120" i="1"/>
  <c r="V120" i="1"/>
  <c r="Z120" i="1"/>
  <c r="AC120" i="1"/>
  <c r="R121" i="1"/>
  <c r="V121" i="1"/>
  <c r="Z121" i="1"/>
  <c r="AC121" i="1"/>
  <c r="R122" i="1"/>
  <c r="V122" i="1"/>
  <c r="Z122" i="1"/>
  <c r="AC122" i="1"/>
  <c r="R123" i="1"/>
  <c r="V123" i="1"/>
  <c r="AC123" i="1"/>
  <c r="R124" i="1"/>
  <c r="V124" i="1"/>
  <c r="AC124" i="1"/>
  <c r="R125" i="1"/>
  <c r="V125" i="1"/>
  <c r="Z125" i="1"/>
  <c r="AC125" i="1"/>
  <c r="R126" i="1"/>
  <c r="V126" i="1"/>
  <c r="Z126" i="1"/>
  <c r="AC126" i="1"/>
  <c r="R127" i="1"/>
  <c r="V127" i="1"/>
  <c r="AC127" i="1"/>
  <c r="R128" i="1"/>
  <c r="V128" i="1"/>
  <c r="AC128" i="1"/>
  <c r="R129" i="1"/>
  <c r="V129" i="1"/>
  <c r="AC129" i="1"/>
  <c r="R130" i="1"/>
  <c r="V130" i="1"/>
  <c r="AC130" i="1"/>
  <c r="R131" i="1"/>
  <c r="V131" i="1"/>
  <c r="Z131" i="1"/>
  <c r="AC131" i="1"/>
  <c r="R132" i="1"/>
  <c r="V132" i="1"/>
  <c r="Z132" i="1"/>
  <c r="AC132" i="1"/>
  <c r="R133" i="1"/>
  <c r="V133" i="1"/>
  <c r="Z133" i="1"/>
  <c r="AC133" i="1"/>
  <c r="R134" i="1"/>
  <c r="V134" i="1"/>
  <c r="Z134" i="1"/>
  <c r="AC134" i="1"/>
  <c r="R135" i="1"/>
  <c r="V135" i="1"/>
  <c r="AC135" i="1"/>
  <c r="R136" i="1"/>
  <c r="V136" i="1"/>
  <c r="Z136" i="1"/>
  <c r="AC136" i="1"/>
  <c r="R137" i="1"/>
  <c r="V137" i="1"/>
  <c r="Z137" i="1"/>
  <c r="AC137" i="1"/>
  <c r="R138" i="1"/>
  <c r="V138" i="1"/>
  <c r="Z138" i="1"/>
  <c r="AC138" i="1"/>
  <c r="R139" i="1"/>
  <c r="V139" i="1"/>
  <c r="AC139" i="1"/>
  <c r="R140" i="1"/>
  <c r="V140" i="1"/>
  <c r="AC140" i="1"/>
  <c r="R141" i="1"/>
  <c r="V141" i="1"/>
  <c r="Z141" i="1"/>
  <c r="AC141" i="1"/>
  <c r="R142" i="1"/>
  <c r="V142" i="1"/>
  <c r="Z142" i="1"/>
  <c r="AC142" i="1"/>
  <c r="R143" i="1"/>
  <c r="V143" i="1"/>
  <c r="AC143" i="1"/>
  <c r="R144" i="1"/>
  <c r="V144" i="1"/>
  <c r="AC144" i="1"/>
  <c r="R145" i="1"/>
  <c r="V145" i="1"/>
  <c r="AC145" i="1"/>
  <c r="R146" i="1"/>
  <c r="V146" i="1"/>
  <c r="AC146" i="1"/>
  <c r="R147" i="1"/>
  <c r="V147" i="1"/>
  <c r="Z147" i="1"/>
  <c r="AC147" i="1"/>
  <c r="R148" i="1"/>
  <c r="V148" i="1"/>
  <c r="Z148" i="1"/>
  <c r="AC148" i="1"/>
  <c r="R149" i="1"/>
  <c r="V149" i="1"/>
  <c r="Z149" i="1"/>
  <c r="AC149" i="1"/>
  <c r="R150" i="1"/>
  <c r="V150" i="1"/>
  <c r="Z150" i="1"/>
  <c r="AC150" i="1"/>
  <c r="R151" i="1"/>
  <c r="V151" i="1"/>
  <c r="AC151" i="1"/>
  <c r="R152" i="1"/>
  <c r="V152" i="1"/>
  <c r="Z152" i="1"/>
  <c r="AC152" i="1"/>
  <c r="R153" i="1"/>
  <c r="V153" i="1"/>
  <c r="Z153" i="1"/>
  <c r="AC153" i="1"/>
  <c r="R154" i="1"/>
  <c r="V154" i="1"/>
  <c r="Z154" i="1"/>
  <c r="AC154" i="1"/>
  <c r="R155" i="1"/>
  <c r="V155" i="1"/>
  <c r="AC155" i="1"/>
  <c r="R156" i="1"/>
  <c r="V156" i="1"/>
  <c r="AC156" i="1"/>
  <c r="R157" i="1"/>
  <c r="V157" i="1"/>
  <c r="Z157" i="1"/>
  <c r="AC157" i="1"/>
  <c r="R158" i="1"/>
  <c r="V158" i="1"/>
  <c r="Z158" i="1"/>
  <c r="AC158" i="1"/>
  <c r="R159" i="1"/>
  <c r="V159" i="1"/>
  <c r="AC159" i="1"/>
  <c r="R160" i="1"/>
  <c r="V160" i="1"/>
  <c r="AC160" i="1"/>
  <c r="R161" i="1"/>
  <c r="V161" i="1"/>
  <c r="AC161" i="1"/>
  <c r="R162" i="1"/>
  <c r="V162" i="1"/>
  <c r="AC162" i="1"/>
  <c r="R163" i="1"/>
  <c r="V163" i="1"/>
  <c r="Z163" i="1"/>
  <c r="AC163" i="1"/>
  <c r="R164" i="1"/>
  <c r="V164" i="1"/>
  <c r="Z164" i="1"/>
  <c r="AC164" i="1"/>
  <c r="R165" i="1"/>
  <c r="V165" i="1"/>
  <c r="Z165" i="1"/>
  <c r="AC165" i="1"/>
  <c r="R166" i="1"/>
  <c r="V166" i="1"/>
  <c r="Z166" i="1"/>
  <c r="AC166" i="1"/>
  <c r="R167" i="1"/>
  <c r="V167" i="1"/>
  <c r="AC167" i="1"/>
  <c r="R168" i="1"/>
  <c r="V168" i="1"/>
  <c r="Z168" i="1"/>
  <c r="AC168" i="1"/>
  <c r="R169" i="1"/>
  <c r="V169" i="1"/>
  <c r="Z169" i="1"/>
  <c r="AC169" i="1"/>
  <c r="R170" i="1"/>
  <c r="V170" i="1"/>
  <c r="Z170" i="1"/>
  <c r="AC170" i="1"/>
  <c r="R171" i="1"/>
  <c r="V171" i="1"/>
  <c r="AC171" i="1"/>
  <c r="R172" i="1"/>
  <c r="V172" i="1"/>
  <c r="AC172" i="1"/>
  <c r="R173" i="1"/>
  <c r="V173" i="1"/>
  <c r="Z173" i="1"/>
  <c r="AC173" i="1"/>
  <c r="R174" i="1"/>
  <c r="V174" i="1"/>
  <c r="Z174" i="1"/>
  <c r="AC174" i="1"/>
  <c r="R175" i="1"/>
  <c r="V175" i="1"/>
  <c r="AC175" i="1"/>
  <c r="R176" i="1"/>
  <c r="V176" i="1"/>
  <c r="AC176" i="1"/>
  <c r="R177" i="1"/>
  <c r="V177" i="1"/>
  <c r="AC177" i="1"/>
  <c r="R178" i="1"/>
  <c r="V178" i="1"/>
  <c r="AC178" i="1"/>
  <c r="R179" i="1"/>
  <c r="V179" i="1"/>
  <c r="Z179" i="1"/>
  <c r="AC179" i="1"/>
  <c r="R180" i="1"/>
  <c r="V180" i="1"/>
  <c r="Z180" i="1"/>
  <c r="AC180" i="1"/>
  <c r="R181" i="1"/>
  <c r="V181" i="1"/>
  <c r="Z181" i="1"/>
  <c r="AC181" i="1"/>
  <c r="R182" i="1"/>
  <c r="V182" i="1"/>
  <c r="Z182" i="1"/>
  <c r="AC182" i="1"/>
  <c r="R183" i="1"/>
  <c r="V183" i="1"/>
  <c r="AC183" i="1"/>
  <c r="R184" i="1"/>
  <c r="V184" i="1"/>
  <c r="Z184" i="1"/>
  <c r="AC184" i="1"/>
  <c r="R185" i="1"/>
  <c r="V185" i="1"/>
  <c r="Z185" i="1"/>
  <c r="AC185" i="1"/>
  <c r="R186" i="1"/>
  <c r="V186" i="1"/>
  <c r="Z186" i="1"/>
  <c r="AC186" i="1"/>
  <c r="R187" i="1"/>
  <c r="V187" i="1"/>
  <c r="AC187" i="1"/>
  <c r="R188" i="1"/>
  <c r="V188" i="1"/>
  <c r="AC188" i="1"/>
  <c r="R189" i="1"/>
  <c r="V189" i="1"/>
  <c r="Z189" i="1"/>
  <c r="AC189" i="1"/>
  <c r="R190" i="1"/>
  <c r="V190" i="1"/>
  <c r="Z190" i="1"/>
  <c r="AC190" i="1"/>
  <c r="R191" i="1"/>
  <c r="V191" i="1"/>
  <c r="AC191" i="1"/>
  <c r="R192" i="1"/>
  <c r="V192" i="1"/>
  <c r="AC192" i="1"/>
  <c r="R193" i="1"/>
  <c r="V193" i="1"/>
  <c r="AC193" i="1"/>
  <c r="R194" i="1"/>
  <c r="V194" i="1"/>
  <c r="AC194" i="1"/>
  <c r="R195" i="1"/>
  <c r="V195" i="1"/>
  <c r="Z195" i="1"/>
  <c r="AC195" i="1"/>
  <c r="R196" i="1"/>
  <c r="V196" i="1"/>
  <c r="Z196" i="1"/>
  <c r="AC196" i="1"/>
  <c r="R197" i="1"/>
  <c r="V197" i="1"/>
  <c r="Z197" i="1"/>
  <c r="AC197" i="1"/>
  <c r="R198" i="1"/>
  <c r="V198" i="1"/>
  <c r="Z198" i="1"/>
  <c r="AC198" i="1"/>
  <c r="R199" i="1"/>
  <c r="V199" i="1"/>
  <c r="AC199" i="1"/>
  <c r="R200" i="1"/>
  <c r="V200" i="1"/>
  <c r="Z200" i="1"/>
  <c r="AC200" i="1"/>
  <c r="R201" i="1"/>
  <c r="V201" i="1"/>
  <c r="Z201" i="1"/>
  <c r="AC201" i="1"/>
  <c r="R202" i="1"/>
  <c r="V202" i="1"/>
  <c r="Z202" i="1"/>
  <c r="AC202" i="1"/>
  <c r="R203" i="1"/>
  <c r="V203" i="1"/>
  <c r="AC203" i="1"/>
  <c r="R204" i="1"/>
  <c r="V204" i="1"/>
  <c r="AC204" i="1"/>
  <c r="R205" i="1"/>
  <c r="V205" i="1"/>
  <c r="Z205" i="1"/>
  <c r="AC205" i="1"/>
  <c r="R206" i="1"/>
  <c r="V206" i="1"/>
  <c r="Z206" i="1"/>
  <c r="AC206" i="1"/>
  <c r="R207" i="1"/>
  <c r="V207" i="1"/>
  <c r="AC207" i="1"/>
  <c r="R208" i="1"/>
  <c r="V208" i="1"/>
  <c r="AC208" i="1"/>
  <c r="R209" i="1"/>
  <c r="V209" i="1"/>
  <c r="AC209" i="1"/>
  <c r="R210" i="1"/>
  <c r="V210" i="1"/>
  <c r="AC210" i="1"/>
  <c r="R211" i="1"/>
  <c r="V211" i="1"/>
  <c r="Z211" i="1"/>
  <c r="AC211" i="1"/>
  <c r="R212" i="1"/>
  <c r="V212" i="1"/>
  <c r="Z212" i="1"/>
  <c r="AC212" i="1"/>
  <c r="R213" i="1"/>
  <c r="V213" i="1"/>
  <c r="Z213" i="1"/>
  <c r="AC213" i="1"/>
  <c r="R214" i="1"/>
  <c r="V214" i="1"/>
  <c r="Z214" i="1"/>
  <c r="AC214" i="1"/>
  <c r="R215" i="1"/>
  <c r="V215" i="1"/>
  <c r="AC215" i="1"/>
  <c r="R216" i="1"/>
  <c r="V216" i="1"/>
  <c r="Z216" i="1"/>
  <c r="AC216" i="1"/>
  <c r="R217" i="1"/>
  <c r="V217" i="1"/>
  <c r="Z217" i="1"/>
  <c r="AC217" i="1"/>
  <c r="R218" i="1"/>
  <c r="V218" i="1"/>
  <c r="Z218" i="1"/>
  <c r="AC218" i="1"/>
  <c r="R219" i="1"/>
  <c r="V219" i="1"/>
  <c r="AC219" i="1"/>
  <c r="R220" i="1"/>
  <c r="V220" i="1"/>
  <c r="AC220" i="1"/>
  <c r="R221" i="1"/>
  <c r="V221" i="1"/>
  <c r="Z221" i="1"/>
  <c r="AC221" i="1"/>
  <c r="R222" i="1"/>
  <c r="V222" i="1"/>
  <c r="Z222" i="1"/>
  <c r="AC222" i="1"/>
  <c r="R223" i="1"/>
  <c r="V223" i="1"/>
  <c r="AC223" i="1"/>
  <c r="R224" i="1"/>
  <c r="V224" i="1"/>
  <c r="AC224" i="1"/>
  <c r="R225" i="1"/>
  <c r="V225" i="1"/>
  <c r="AC225" i="1"/>
  <c r="R226" i="1"/>
  <c r="V226" i="1"/>
  <c r="AC226" i="1"/>
  <c r="R227" i="1"/>
  <c r="V227" i="1"/>
  <c r="Z227" i="1"/>
  <c r="AC227" i="1"/>
  <c r="R228" i="1"/>
  <c r="V228" i="1"/>
  <c r="Z228" i="1"/>
  <c r="AC228" i="1"/>
  <c r="R229" i="1"/>
  <c r="V229" i="1"/>
  <c r="Z229" i="1"/>
  <c r="AC229" i="1"/>
  <c r="R230" i="1"/>
  <c r="V230" i="1"/>
  <c r="Z230" i="1"/>
  <c r="AC230" i="1"/>
  <c r="R231" i="1"/>
  <c r="V231" i="1"/>
  <c r="AC231" i="1"/>
  <c r="R232" i="1"/>
  <c r="V232" i="1"/>
  <c r="Z232" i="1"/>
  <c r="AC232" i="1"/>
  <c r="R233" i="1"/>
  <c r="V233" i="1"/>
  <c r="Z233" i="1"/>
  <c r="AC233" i="1"/>
  <c r="R234" i="1"/>
  <c r="V234" i="1"/>
  <c r="Z234" i="1"/>
  <c r="AC234" i="1"/>
  <c r="R235" i="1"/>
  <c r="V235" i="1"/>
  <c r="AC235" i="1"/>
  <c r="R236" i="1"/>
  <c r="V236" i="1"/>
  <c r="AC236" i="1"/>
  <c r="R237" i="1"/>
  <c r="V237" i="1"/>
  <c r="Z237" i="1"/>
  <c r="AC237" i="1"/>
  <c r="R238" i="1"/>
  <c r="V238" i="1"/>
  <c r="Z238" i="1"/>
  <c r="AC238" i="1"/>
  <c r="R239" i="1"/>
  <c r="V239" i="1"/>
  <c r="AC239" i="1"/>
  <c r="R240" i="1"/>
  <c r="V240" i="1"/>
  <c r="AC240" i="1"/>
  <c r="R241" i="1"/>
  <c r="V241" i="1"/>
  <c r="AC241" i="1"/>
  <c r="R242" i="1"/>
  <c r="V242" i="1"/>
  <c r="AC242" i="1"/>
  <c r="R243" i="1"/>
  <c r="V243" i="1"/>
  <c r="Z243" i="1"/>
  <c r="AC243" i="1"/>
  <c r="R244" i="1"/>
  <c r="V244" i="1"/>
  <c r="Z244" i="1"/>
  <c r="AC244" i="1"/>
  <c r="R245" i="1"/>
  <c r="V245" i="1"/>
  <c r="Z245" i="1"/>
  <c r="AC245" i="1"/>
  <c r="R246" i="1"/>
  <c r="V246" i="1"/>
  <c r="Z246" i="1"/>
  <c r="AC246" i="1"/>
  <c r="R247" i="1"/>
  <c r="V247" i="1"/>
  <c r="AC247" i="1"/>
  <c r="R248" i="1"/>
  <c r="V248" i="1"/>
  <c r="Z248" i="1"/>
  <c r="AC248" i="1"/>
  <c r="R249" i="1"/>
  <c r="V249" i="1"/>
  <c r="Z249" i="1"/>
  <c r="AC249" i="1"/>
  <c r="R250" i="1"/>
  <c r="V250" i="1"/>
  <c r="Z250" i="1"/>
  <c r="AC250" i="1"/>
  <c r="R251" i="1"/>
  <c r="V251" i="1"/>
  <c r="AC251" i="1"/>
  <c r="R252" i="1"/>
  <c r="V252" i="1"/>
  <c r="AC252" i="1"/>
  <c r="R253" i="1"/>
  <c r="V253" i="1"/>
  <c r="Z253" i="1"/>
  <c r="AC253" i="1"/>
  <c r="R254" i="1"/>
  <c r="V254" i="1"/>
  <c r="Z254" i="1"/>
  <c r="AC254" i="1"/>
  <c r="R255" i="1"/>
  <c r="V255" i="1"/>
  <c r="AC255" i="1"/>
  <c r="R256" i="1"/>
  <c r="V256" i="1"/>
  <c r="AC256" i="1"/>
  <c r="R257" i="1"/>
  <c r="V257" i="1"/>
  <c r="AC257" i="1"/>
  <c r="R258" i="1"/>
  <c r="V258" i="1"/>
  <c r="AC258" i="1"/>
  <c r="R259" i="1"/>
  <c r="V259" i="1"/>
  <c r="Z259" i="1"/>
  <c r="AC259" i="1"/>
  <c r="R260" i="1"/>
  <c r="V260" i="1"/>
  <c r="Z260" i="1"/>
  <c r="AC260" i="1"/>
  <c r="R267" i="1"/>
  <c r="V267" i="1"/>
  <c r="Z267" i="1"/>
  <c r="AC267" i="1"/>
  <c r="R268" i="1"/>
  <c r="V268" i="1"/>
  <c r="Z268" i="1"/>
  <c r="AC268" i="1"/>
  <c r="R269" i="1"/>
  <c r="V269" i="1"/>
  <c r="AC269" i="1"/>
  <c r="R270" i="1"/>
  <c r="V270" i="1"/>
  <c r="Z270" i="1"/>
  <c r="AC270" i="1"/>
  <c r="R271" i="1"/>
  <c r="V271" i="1"/>
  <c r="Z271" i="1"/>
  <c r="AC271" i="1"/>
  <c r="R272" i="1"/>
  <c r="V272" i="1"/>
  <c r="Z272" i="1"/>
  <c r="AC272" i="1"/>
  <c r="R273" i="1"/>
  <c r="V273" i="1"/>
  <c r="AC273" i="1"/>
  <c r="R274" i="1"/>
  <c r="V274" i="1"/>
  <c r="AC274" i="1"/>
  <c r="R275" i="1"/>
  <c r="V275" i="1"/>
  <c r="Z275" i="1"/>
  <c r="AC275" i="1"/>
  <c r="R276" i="1"/>
  <c r="V276" i="1"/>
  <c r="Z276" i="1"/>
  <c r="AC276" i="1"/>
  <c r="R277" i="1"/>
  <c r="V277" i="1"/>
  <c r="AC277" i="1"/>
  <c r="R278" i="1"/>
  <c r="V278" i="1"/>
  <c r="AC278" i="1"/>
  <c r="R279" i="1"/>
  <c r="V279" i="1"/>
  <c r="AC279" i="1"/>
  <c r="R280" i="1"/>
  <c r="V280" i="1"/>
  <c r="AC280" i="1"/>
  <c r="R281" i="1"/>
  <c r="V281" i="1"/>
  <c r="Z281" i="1"/>
  <c r="AC281" i="1"/>
  <c r="R282" i="1"/>
  <c r="V282" i="1"/>
  <c r="Z282" i="1"/>
  <c r="AC282" i="1"/>
  <c r="R283" i="1"/>
  <c r="V283" i="1"/>
  <c r="Z283" i="1"/>
  <c r="AC283" i="1"/>
  <c r="R284" i="1"/>
  <c r="V284" i="1"/>
  <c r="Z284" i="1"/>
  <c r="AC284" i="1"/>
  <c r="R285" i="1"/>
  <c r="V285" i="1"/>
  <c r="AC285" i="1"/>
  <c r="R286" i="1"/>
  <c r="V286" i="1"/>
  <c r="Z286" i="1"/>
  <c r="AC286" i="1"/>
  <c r="R287" i="1"/>
  <c r="V287" i="1"/>
  <c r="Z287" i="1"/>
  <c r="AC287" i="1"/>
  <c r="R288" i="1"/>
  <c r="V288" i="1"/>
  <c r="Z288" i="1"/>
  <c r="AC288" i="1"/>
  <c r="R289" i="1"/>
  <c r="V289" i="1"/>
  <c r="AC289" i="1"/>
  <c r="R290" i="1"/>
  <c r="V290" i="1"/>
  <c r="AC290" i="1"/>
  <c r="R291" i="1"/>
  <c r="V291" i="1"/>
  <c r="Z291" i="1"/>
  <c r="AC291" i="1"/>
  <c r="R292" i="1"/>
  <c r="V292" i="1"/>
  <c r="Z292" i="1"/>
  <c r="AC292" i="1"/>
  <c r="R293" i="1"/>
  <c r="V293" i="1"/>
  <c r="AC293" i="1"/>
  <c r="R294" i="1"/>
  <c r="V294" i="1"/>
  <c r="AC294" i="1"/>
  <c r="R295" i="1"/>
  <c r="V295" i="1"/>
  <c r="AC295" i="1"/>
  <c r="R296" i="1"/>
  <c r="V296" i="1"/>
  <c r="AC296" i="1"/>
  <c r="R297" i="1"/>
  <c r="V297" i="1"/>
  <c r="Z297" i="1"/>
  <c r="AC297" i="1"/>
  <c r="R298" i="1"/>
  <c r="V298" i="1"/>
  <c r="Z298" i="1"/>
  <c r="AC298" i="1"/>
  <c r="R299" i="1"/>
  <c r="V299" i="1"/>
  <c r="Z299" i="1"/>
  <c r="AC299" i="1"/>
  <c r="R300" i="1"/>
  <c r="V300" i="1"/>
  <c r="Z300" i="1"/>
  <c r="AC300" i="1"/>
  <c r="R301" i="1"/>
  <c r="V301" i="1"/>
  <c r="AC301" i="1"/>
  <c r="R302" i="1"/>
  <c r="V302" i="1"/>
  <c r="Z302" i="1"/>
  <c r="AC302" i="1"/>
  <c r="R303" i="1"/>
  <c r="V303" i="1"/>
  <c r="Z303" i="1"/>
  <c r="AC303" i="1"/>
  <c r="R304" i="1"/>
  <c r="V304" i="1"/>
  <c r="Z304" i="1"/>
  <c r="AC304" i="1"/>
  <c r="R305" i="1"/>
  <c r="V305" i="1"/>
  <c r="AC305" i="1"/>
  <c r="R306" i="1"/>
  <c r="V306" i="1"/>
  <c r="AC306" i="1"/>
  <c r="R307" i="1"/>
  <c r="V307" i="1"/>
  <c r="Z307" i="1"/>
  <c r="AC307" i="1"/>
  <c r="R308" i="1"/>
  <c r="V308" i="1"/>
  <c r="Z308" i="1"/>
  <c r="AC308" i="1"/>
  <c r="R309" i="1"/>
  <c r="V309" i="1"/>
  <c r="AC309" i="1"/>
  <c r="R310" i="1"/>
  <c r="V310" i="1"/>
  <c r="AC310" i="1"/>
  <c r="R311" i="1"/>
  <c r="V311" i="1"/>
  <c r="AC311" i="1"/>
  <c r="R312" i="1"/>
  <c r="V312" i="1"/>
  <c r="AC312" i="1"/>
  <c r="R313" i="1"/>
  <c r="V313" i="1"/>
  <c r="Z313" i="1"/>
  <c r="AC313" i="1"/>
  <c r="R314" i="1"/>
  <c r="V314" i="1"/>
  <c r="Z314" i="1"/>
  <c r="AC314" i="1"/>
  <c r="R315" i="1"/>
  <c r="V315" i="1"/>
  <c r="Z315" i="1"/>
  <c r="AC315" i="1"/>
  <c r="R316" i="1"/>
  <c r="V316" i="1"/>
  <c r="Z316" i="1"/>
  <c r="AC316" i="1"/>
  <c r="R317" i="1"/>
  <c r="V317" i="1"/>
  <c r="AC317" i="1"/>
  <c r="R318" i="1"/>
  <c r="V318" i="1"/>
  <c r="Z318" i="1"/>
  <c r="AC318" i="1"/>
  <c r="R319" i="1"/>
  <c r="V319" i="1"/>
  <c r="Z319" i="1"/>
  <c r="AC319" i="1"/>
  <c r="R320" i="1"/>
  <c r="V320" i="1"/>
  <c r="Z320" i="1"/>
  <c r="AC320" i="1"/>
  <c r="R321" i="1"/>
  <c r="V321" i="1"/>
  <c r="AC321" i="1"/>
  <c r="R322" i="1"/>
  <c r="V322" i="1"/>
  <c r="AC322" i="1"/>
  <c r="R323" i="1"/>
  <c r="V323" i="1"/>
  <c r="Z323" i="1"/>
  <c r="AC323" i="1"/>
  <c r="R324" i="1"/>
  <c r="V324" i="1"/>
  <c r="Z324" i="1"/>
  <c r="AC324" i="1"/>
  <c r="R325" i="1"/>
  <c r="V325" i="1"/>
  <c r="AC325" i="1"/>
  <c r="R326" i="1"/>
  <c r="V326" i="1"/>
  <c r="AC326" i="1"/>
  <c r="R327" i="1"/>
  <c r="V327" i="1"/>
  <c r="AC327" i="1"/>
  <c r="R328" i="1"/>
  <c r="V328" i="1"/>
  <c r="AC328" i="1"/>
  <c r="R329" i="1"/>
  <c r="V329" i="1"/>
  <c r="Z329" i="1"/>
  <c r="AC329" i="1"/>
  <c r="R330" i="1"/>
  <c r="V330" i="1"/>
  <c r="Z330" i="1"/>
  <c r="AC330" i="1"/>
  <c r="R331" i="1"/>
  <c r="V331" i="1"/>
  <c r="Z331" i="1"/>
  <c r="AC331" i="1"/>
  <c r="R332" i="1"/>
  <c r="V332" i="1"/>
  <c r="Z332" i="1"/>
  <c r="AC332" i="1"/>
  <c r="R333" i="1"/>
  <c r="V333" i="1"/>
  <c r="AC333" i="1"/>
  <c r="R334" i="1"/>
  <c r="V334" i="1"/>
  <c r="Z334" i="1"/>
  <c r="AC334" i="1"/>
  <c r="R335" i="1"/>
  <c r="V335" i="1"/>
  <c r="Z335" i="1"/>
  <c r="AC335" i="1"/>
  <c r="R336" i="1"/>
  <c r="V336" i="1"/>
  <c r="Z336" i="1"/>
  <c r="AC336" i="1"/>
  <c r="R337" i="1"/>
  <c r="V337" i="1"/>
  <c r="AC337" i="1"/>
  <c r="R338" i="1"/>
  <c r="V338" i="1"/>
  <c r="AC338" i="1"/>
  <c r="R339" i="1"/>
  <c r="V339" i="1"/>
  <c r="Z339" i="1"/>
  <c r="AC339" i="1"/>
  <c r="R340" i="1"/>
  <c r="V340" i="1"/>
  <c r="Z340" i="1"/>
  <c r="AC340" i="1"/>
  <c r="R341" i="1"/>
  <c r="V341" i="1"/>
  <c r="AC341" i="1"/>
  <c r="R342" i="1"/>
  <c r="V342" i="1"/>
  <c r="AC342" i="1"/>
  <c r="R343" i="1"/>
  <c r="V343" i="1"/>
  <c r="AC343" i="1"/>
  <c r="R344" i="1"/>
  <c r="V344" i="1"/>
  <c r="AC344" i="1"/>
  <c r="R345" i="1"/>
  <c r="V345" i="1"/>
  <c r="Z345" i="1"/>
  <c r="AC345" i="1"/>
  <c r="R346" i="1"/>
  <c r="V346" i="1"/>
  <c r="Z346" i="1"/>
  <c r="AC346" i="1"/>
  <c r="R347" i="1"/>
  <c r="V347" i="1"/>
  <c r="Z347" i="1"/>
  <c r="AC347" i="1"/>
  <c r="R348" i="1"/>
  <c r="V348" i="1"/>
  <c r="Z348" i="1"/>
  <c r="AC348" i="1"/>
  <c r="R349" i="1"/>
  <c r="V349" i="1"/>
  <c r="AC349" i="1"/>
  <c r="R350" i="1"/>
  <c r="V350" i="1"/>
  <c r="Z350" i="1"/>
  <c r="AC350" i="1"/>
  <c r="R351" i="1"/>
  <c r="V351" i="1"/>
  <c r="Z351" i="1"/>
  <c r="AC351" i="1"/>
  <c r="R352" i="1"/>
  <c r="V352" i="1"/>
  <c r="Z352" i="1"/>
  <c r="AC352" i="1"/>
  <c r="R353" i="1"/>
  <c r="V353" i="1"/>
  <c r="AC353" i="1"/>
  <c r="R354" i="1"/>
  <c r="V354" i="1"/>
  <c r="AC354" i="1"/>
  <c r="R355" i="1"/>
  <c r="V355" i="1"/>
  <c r="Z355" i="1"/>
  <c r="AC355" i="1"/>
  <c r="R356" i="1"/>
  <c r="V356" i="1"/>
  <c r="Z356" i="1"/>
  <c r="AC356" i="1"/>
  <c r="R357" i="1"/>
  <c r="V357" i="1"/>
  <c r="AC357" i="1"/>
  <c r="R358" i="1"/>
  <c r="V358" i="1"/>
  <c r="AC358" i="1"/>
  <c r="R359" i="1"/>
  <c r="V359" i="1"/>
  <c r="AC359" i="1"/>
  <c r="R360" i="1"/>
  <c r="V360" i="1"/>
  <c r="AC360" i="1"/>
  <c r="R361" i="1"/>
  <c r="V361" i="1"/>
  <c r="Z361" i="1"/>
  <c r="AC361" i="1"/>
  <c r="R362" i="1"/>
  <c r="V362" i="1"/>
  <c r="Z362" i="1"/>
  <c r="AC362" i="1"/>
  <c r="R363" i="1"/>
  <c r="V363" i="1"/>
  <c r="Z363" i="1"/>
  <c r="AC363" i="1"/>
  <c r="R364" i="1"/>
  <c r="V364" i="1"/>
  <c r="Z364" i="1"/>
  <c r="AC364" i="1"/>
  <c r="R365" i="1"/>
  <c r="V365" i="1"/>
  <c r="AC365" i="1"/>
  <c r="R366" i="1"/>
  <c r="V366" i="1"/>
  <c r="Z366" i="1"/>
  <c r="AC366" i="1"/>
  <c r="R367" i="1"/>
  <c r="V367" i="1"/>
  <c r="Z367" i="1"/>
  <c r="AC367" i="1"/>
  <c r="R368" i="1"/>
  <c r="V368" i="1"/>
  <c r="Z368" i="1"/>
  <c r="AC368" i="1"/>
  <c r="R369" i="1"/>
  <c r="V369" i="1"/>
  <c r="AC369" i="1"/>
  <c r="R370" i="1"/>
  <c r="V370" i="1"/>
  <c r="AC370" i="1"/>
  <c r="R371" i="1"/>
  <c r="V371" i="1"/>
  <c r="Z371" i="1"/>
  <c r="AC371" i="1"/>
  <c r="R372" i="1"/>
  <c r="V372" i="1"/>
  <c r="Z372" i="1"/>
  <c r="AC372" i="1"/>
  <c r="R373" i="1"/>
  <c r="V373" i="1"/>
  <c r="AC373" i="1"/>
  <c r="R374" i="1"/>
  <c r="V374" i="1"/>
  <c r="AC374" i="1"/>
  <c r="B6" i="9"/>
  <c r="B7" i="9"/>
  <c r="B8" i="9"/>
  <c r="B9" i="9"/>
  <c r="B10" i="9"/>
  <c r="B11" i="9"/>
  <c r="B7" i="5"/>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 i="1"/>
  <c r="B33" i="5" l="1"/>
  <c r="C8" i="9"/>
  <c r="C64" i="5"/>
  <c r="F52" i="16"/>
  <c r="E52" i="16"/>
  <c r="C75" i="5"/>
  <c r="B32" i="5"/>
  <c r="B37" i="5"/>
  <c r="B34" i="5"/>
  <c r="B31" i="5"/>
  <c r="B36" i="5"/>
  <c r="C86" i="5"/>
  <c r="C10" i="9"/>
  <c r="C7" i="9"/>
  <c r="C11" i="9"/>
  <c r="C9" i="9"/>
  <c r="C6" i="9"/>
  <c r="B4" i="5"/>
  <c r="B5" i="5"/>
  <c r="B8" i="5"/>
  <c r="B9" i="5"/>
  <c r="B3" i="5"/>
  <c r="B6" i="5"/>
  <c r="B38" i="5" l="1"/>
  <c r="C32" i="5" s="1"/>
  <c r="B10" i="5"/>
  <c r="C6" i="5" s="1"/>
  <c r="C35" i="5" l="1"/>
  <c r="C34" i="5"/>
  <c r="C37" i="5"/>
  <c r="C33" i="5"/>
  <c r="C31" i="5"/>
  <c r="C36" i="5"/>
  <c r="C9" i="5"/>
  <c r="C4" i="5"/>
  <c r="C3" i="5"/>
  <c r="C5" i="5"/>
  <c r="C8" i="5"/>
  <c r="C7" i="5"/>
  <c r="C38" i="5" l="1"/>
  <c r="C10"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<sst xmlns="http://schemas.openxmlformats.org/spreadsheetml/2006/main" count="5026" uniqueCount="175">
  <si>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</si>
  <si>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</si>
  <si>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</si>
  <si>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</si>
  <si>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</si>
  <si>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</si>
  <si>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</si>
  <si>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</si>
  <si>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</si>
  <si>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</si>
  <si>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</si>
  <si>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</si>
  <si>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</si>
  <si>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</si>
  <si>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</si>
  <si>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</si>
  <si>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</si>
  <si>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</si>
  <si>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</si>
  <si>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</si>
  <si>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</si>
  <si>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</si>
  <si>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</si>
  <si>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</si>
  <si>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</si>
  <si>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</si>
  <si>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</si>
  <si>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</si>
  <si>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</si>
  <si>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</si>
  <si>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</si>
  <si>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</si>
  <si>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</si>
  <si>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</si>
  <si>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</si>
  <si>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</si>
  <si>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</si>
  <si>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</si>
  <si>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</si>
  <si>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</si>
  <si>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</si>
  <si>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</si>
  <si>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</si>
  <si>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</si>
  <si>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</si>
  <si>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</si>
  <si>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</si>
  <si>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</si>
  <si>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INFO</t>
  </si>
  <si>
    <t>Food Products</t>
  </si>
  <si>
    <t>Clothing &amp; Misc</t>
  </si>
  <si>
    <t>Housing &amp; Misc</t>
  </si>
  <si>
    <t>Health and personal Care</t>
  </si>
  <si>
    <t>Education and Entertainment</t>
  </si>
  <si>
    <t>Miscellaneuos</t>
  </si>
  <si>
    <t xml:space="preserve">General </t>
  </si>
  <si>
    <t>Category</t>
  </si>
  <si>
    <t>Index_Value</t>
  </si>
  <si>
    <t>Contribution_%</t>
  </si>
  <si>
    <t>Highlight the reason why the year has the highest inflation (based on research).</t>
  </si>
  <si>
    <t>Total</t>
  </si>
  <si>
    <t>Total (Food Products)</t>
  </si>
  <si>
    <t>Total (Clothing &amp; MISC)</t>
  </si>
  <si>
    <t>Total (Housing &amp; MISC)</t>
  </si>
  <si>
    <t>Total (Health &amp; Personal Care)</t>
  </si>
  <si>
    <t>Total Edu &amp; Ent</t>
  </si>
  <si>
    <t>Total (MISC)</t>
  </si>
  <si>
    <t>Row Labels</t>
  </si>
  <si>
    <t>Grand Total</t>
  </si>
  <si>
    <t>Problem Statement:</t>
  </si>
  <si>
    <t>You are working with the National Statistical Office which is equipped to release inflation numbers in India. As an analyst, you are provided with CPI data and are equipped to find out insights from the data. Your senior wants you to find key trends and deep dive into the data to answer the following questions -</t>
  </si>
  <si>
    <t>Which broader category has the highest contribution towards CPI calculation</t>
  </si>
  <si>
    <t>Contribution is calculated by evaluating the underlying index values for broader category and should add to 100% when contribution from different broader categories are added.</t>
  </si>
  <si>
    <t>2. A trend of Y-o-Y increase in CPI (rural + urban) inflation starting 2017 for the entire basket of products combined.</t>
  </si>
  <si>
    <t>Create a graph depicting the growth rate Y-o-Y and identify the year with highest inflation rate</t>
  </si>
  <si>
    <t>3. With India's retail inflation reaching a 3-month high of 5.55% in November 2023, largely due to a sharp rise in food prices. Analyze the following for 12 months ending May’23</t>
  </si>
  <si>
    <t>Investigate trends in the prices of broader food bucket category and evaluate month-on-month changes. Highlight month with highest and lowest food inflation</t>
  </si>
  <si>
    <t>Identify the absolute changes in inflation over the same 12 months period and identify the biggest individual category contributor (only within broader food category) towards inflation</t>
  </si>
  <si>
    <t>4. Investigate how the onset and progression of the COVID-19 pandemic affected inflation rates in India. Analyze the Impact of key pandemic milestone (first lockdown) on the CPI inflation %, specially focus on categories like healthcare, food, and essential services.</t>
  </si>
  <si>
    <t>5. Investigate how major global economic events (like imported crude oil price fluctuations) have influenced India's inflation. This can include an analysis of imported goods and their price trends.</t>
  </si>
  <si>
    <t>For the purpose of this analysis, focus only on the imported oil price fluctuations for years 2021 to 2023 (Month-on-month)</t>
  </si>
  <si>
    <r>
      <t xml:space="preserve">1. Based on the </t>
    </r>
    <r>
      <rPr>
        <i/>
        <sz val="11"/>
        <color theme="1"/>
        <rFont val="Calibri"/>
        <charset val="134"/>
        <scheme val="minor"/>
      </rPr>
      <t>latest</t>
    </r>
    <r>
      <rPr>
        <sz val="11"/>
        <color theme="1"/>
        <rFont val="Calibri"/>
        <charset val="134"/>
        <scheme val="minor"/>
      </rPr>
      <t xml:space="preserve"> month’s data, identify the contribution of different broader categories (food, energy, transportation, education, etc.) towards the CPI basket. Broader categories (buckets) can be created by combining similar categories into one bucket; Ex.: Meals, Beverages, Cereals, can be clubbed to create “Food” category, etc.</t>
    </r>
  </si>
  <si>
    <r>
      <t>Hint:</t>
    </r>
    <r>
      <rPr>
        <sz val="11"/>
        <color theme="1"/>
        <rFont val="Calibri"/>
        <charset val="134"/>
        <scheme val="minor"/>
      </rPr>
      <t xml:space="preserve"> You can consider Mar’20 as the onset of covid, and can compare the inflation trend before and after Mar’20 to see if there is a change in inflation % before and after.</t>
    </r>
  </si>
  <si>
    <r>
      <t>Identify trends in oil price change with change in inflation prices of all the categories and identify category whose inflation prices strongly changes with fluctuations in imported oil price (</t>
    </r>
    <r>
      <rPr>
        <b/>
        <sz val="11"/>
        <color theme="1"/>
        <rFont val="Calibri"/>
        <charset val="134"/>
        <scheme val="minor"/>
      </rPr>
      <t>Hint:</t>
    </r>
    <r>
      <rPr>
        <sz val="11"/>
        <color theme="1"/>
        <rFont val="Calibri"/>
        <charset val="134"/>
        <scheme val="minor"/>
      </rPr>
      <t xml:space="preserve"> you can use =correl function)</t>
    </r>
  </si>
  <si>
    <t>(All)</t>
  </si>
  <si>
    <t>Average of Total (Food Products)</t>
  </si>
  <si>
    <t>Average of Total (Clothing &amp; MISC)</t>
  </si>
  <si>
    <t>Average of Total (Housing &amp; MISC)</t>
  </si>
  <si>
    <t>Average of Total (Health &amp; Personal Care)</t>
  </si>
  <si>
    <t>Average of Transport and communication</t>
  </si>
  <si>
    <t>Average of Total Edu &amp; Ent</t>
  </si>
  <si>
    <t>Average of Total (MISC)</t>
  </si>
  <si>
    <t>Total Average Contribution for each Categories (2013-2023) All Sectors Combined</t>
  </si>
  <si>
    <t>Latest Months Data Contribution ( May, 2023) All Sectors Combined</t>
  </si>
  <si>
    <t>Rural + Urban</t>
  </si>
  <si>
    <t>General Index</t>
  </si>
  <si>
    <t>YoY Inflation (%)</t>
  </si>
  <si>
    <t>Latest Months Data Contribution ( May, 2023) Rural Sector</t>
  </si>
  <si>
    <t>Latest Months Data Contribution ( May, 2023) Rural+Urban Sector</t>
  </si>
  <si>
    <t>Latest Months Data Contribution ( May, 2023) Urban Sector</t>
  </si>
  <si>
    <t>Date</t>
  </si>
  <si>
    <t>Food Index</t>
  </si>
  <si>
    <t>MoM Inflation (%)</t>
  </si>
  <si>
    <t>Start (Jun 2022)</t>
  </si>
  <si>
    <t>End (May 2023)</t>
  </si>
  <si>
    <t>Absolute Change</t>
  </si>
  <si>
    <t>Percentage Change (%)</t>
  </si>
  <si>
    <t xml:space="preserve">Food subcategory changes </t>
  </si>
  <si>
    <t>Biggest Individual Category Contributor</t>
  </si>
  <si>
    <t xml:space="preserve">Max MoM </t>
  </si>
  <si>
    <t xml:space="preserve">Month for Max </t>
  </si>
  <si>
    <t>Min MoM</t>
  </si>
  <si>
    <t>Month for Min</t>
  </si>
  <si>
    <t>MoM Inflation</t>
  </si>
  <si>
    <t>YoY Inflation</t>
  </si>
  <si>
    <t>March,2019 - Feb,2020</t>
  </si>
  <si>
    <t xml:space="preserve">Post Covid </t>
  </si>
  <si>
    <t>April,2020 - March,2021</t>
  </si>
  <si>
    <t>Timline</t>
  </si>
  <si>
    <t>Pre- Covid</t>
  </si>
  <si>
    <t>Period</t>
  </si>
  <si>
    <t>YoY (%)</t>
  </si>
  <si>
    <t>MoM (%)</t>
  </si>
  <si>
    <r>
      <rPr>
        <u/>
        <sz val="11"/>
        <color theme="1"/>
        <rFont val="Calibri"/>
        <family val="2"/>
        <scheme val="minor"/>
      </rPr>
      <t>/\</t>
    </r>
    <r>
      <rPr>
        <sz val="11"/>
        <color theme="1"/>
        <rFont val="Calibri"/>
        <charset val="134"/>
        <scheme val="minor"/>
      </rPr>
      <t>YoY (%)</t>
    </r>
  </si>
  <si>
    <r>
      <rPr>
        <u/>
        <sz val="11"/>
        <color theme="1"/>
        <rFont val="Calibri"/>
        <family val="2"/>
        <scheme val="minor"/>
      </rPr>
      <t>/\</t>
    </r>
    <r>
      <rPr>
        <sz val="11"/>
        <color theme="1"/>
        <rFont val="Calibri"/>
        <family val="2"/>
        <scheme val="minor"/>
      </rPr>
      <t>MoM</t>
    </r>
    <r>
      <rPr>
        <sz val="11"/>
        <color theme="1"/>
        <rFont val="Calibri"/>
        <charset val="134"/>
        <scheme val="minor"/>
      </rPr>
      <t xml:space="preserve"> (%)</t>
    </r>
  </si>
  <si>
    <t>RURAL+URBAN</t>
  </si>
  <si>
    <t>https://www.indexmundi.com/commodities/?commodity=crude-oil-brent&amp;months=60&amp;currency=inr</t>
  </si>
  <si>
    <t>Categories</t>
  </si>
  <si>
    <t xml:space="preserve"> Crude Oil </t>
  </si>
  <si>
    <t>Fuel</t>
  </si>
  <si>
    <t xml:space="preserve"> Transport</t>
  </si>
  <si>
    <t xml:space="preserve"> Cereals and products </t>
  </si>
  <si>
    <t>Correlation with Crude Oil</t>
  </si>
  <si>
    <t>RURAL</t>
  </si>
  <si>
    <t>URBAN</t>
  </si>
  <si>
    <t>CPI Index_Value</t>
  </si>
  <si>
    <t>House Index</t>
  </si>
  <si>
    <t>Health Index</t>
  </si>
  <si>
    <t xml:space="preserve">Household </t>
  </si>
  <si>
    <t>Period definitions used</t>
  </si>
  <si>
    <t>Pre: 2019-03-01 → 2020-02-01</t>
  </si>
  <si>
    <t>Post: 2020-04-01 → 2021-03-01</t>
  </si>
  <si>
    <t>Summary table (averages)</t>
  </si>
  <si>
    <t>Pre YoY mean (%)</t>
  </si>
  <si>
    <t>Post YoY mean (%)</t>
  </si>
  <si>
    <t>Δ YoY (Post−Pre) (pp)</t>
  </si>
  <si>
    <t>Pre MoM mean (%)</t>
  </si>
  <si>
    <t>Post MoM mean (%)</t>
  </si>
  <si>
    <t>Δ MoM (pp)</t>
  </si>
  <si>
    <t>Food Index (unweighted avg of food items)</t>
  </si>
  <si>
    <t>Household goods &amp; services</t>
  </si>
  <si>
    <t>Toatl</t>
  </si>
  <si>
    <t>FOOD INDEX</t>
  </si>
  <si>
    <t>Transport</t>
  </si>
  <si>
    <t>Food Product</t>
  </si>
  <si>
    <t xml:space="preserve">House </t>
  </si>
  <si>
    <t xml:space="preserve">Rural </t>
  </si>
  <si>
    <t>Contribution to CPI (Latest Month)</t>
  </si>
  <si>
    <t xml:space="preserve">YoY CPI Inflation - 2017 Onwards </t>
  </si>
  <si>
    <t>Month-on-Month CPI: Food Products (June,22-May,23)</t>
  </si>
  <si>
    <t>CPI Inflation : Pre- Covid Vs Post- Covid</t>
  </si>
  <si>
    <t xml:space="preserve">CPI Inflation : Crude Oil CPI Influence </t>
  </si>
  <si>
    <t>Yes/No</t>
  </si>
  <si>
    <t>John28 Sunil34 Meera30 Arjun41 Neha25</t>
  </si>
  <si>
    <t>Name</t>
  </si>
  <si>
    <t>John</t>
  </si>
  <si>
    <t>Sunil</t>
  </si>
  <si>
    <t>Meera</t>
  </si>
  <si>
    <t>Arjun</t>
  </si>
  <si>
    <t>Neha</t>
  </si>
  <si>
    <t>Age</t>
  </si>
  <si>
    <t>&gt;=30</t>
  </si>
  <si>
    <t>Snr</t>
  </si>
  <si>
    <t>else  jnr</t>
  </si>
  <si>
    <t>Conact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</si>
</sst>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
    <numFmt numFmtId="165" formatCode="0.0%"/>
    <numFmt numFmtId="166" formatCode="yyyy/mm"/>
    <numFmt numFmtId="167" formatCode="yyyy\/mm"/>
    <numFmt numFmtId="168" formatCode="[$-14009]yyyy/mm/dd;@"/>
    <numFmt numFmtId="169" formatCode="yyyy\-mm\-dd;@"/>
    <numFmt numFmtId="170" formatCode="0.0000"/>
  </numFmts>
  <fonts count="2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3.5"/>
      <color theme="1"/>
      <name val="Calibri"/>
      <charset val="134"/>
      <scheme val="minor"/>
    </font>
    <font>
      <b/>
      <sz val="11"/>
      <color indexed="8"/>
      <name val="Calibri"/>
      <charset val="134"/>
    </font>
    <font>
      <sz val="11"/>
      <color indexed="8"/>
      <name val="Calibri"/>
      <charset val="134"/>
    </font>
    <font>
      <sz val="12"/>
      <color theme="1"/>
      <name val="Calibri"/>
      <charset val="134"/>
      <scheme val="minor"/>
    </font>
    <font>
      <sz val="14"/>
      <color theme="1"/>
      <name val="Aharoni"/>
      <charset val="177"/>
    </font>
    <font>
      <b/>
      <sz val="11"/>
      <color theme="1"/>
      <name val="Calibri"/>
      <family val="2"/>
      <scheme val="minor"/>
    </font>
    <font>
      <b/>
      <sz val="14"/>
      <color rgb="FF00B050"/>
      <name val="Calibri"/>
      <family val="2"/>
      <scheme val="minor"/>
    </font>
    <font>
      <i/>
      <sz val="11"/>
      <color theme="1"/>
      <name val="Calibri"/>
      <charset val="134"/>
      <scheme val="minor"/>
    </font>
    <font>
      <b/>
      <sz val="11"/>
      <color theme="1"/>
      <name val="Calibri"/>
      <charset val="134"/>
      <scheme val="minor"/>
    </font>
    <font>
      <b/>
      <sz val="12"/>
      <color theme="1"/>
      <name val="Calibri"/>
      <family val="2"/>
      <scheme val="minor"/>
    </font>
    <font>
      <sz val="11"/>
      <color rgb="FF000000"/>
      <name val="Calibri"/>
      <charset val="134"/>
      <scheme val="minor"/>
    </font>
    <font>
      <sz val="11"/>
      <color theme="1"/>
      <name val="Calibri"/>
      <charset val="134"/>
      <scheme val="minor"/>
    </font>
    <font>
      <b/>
      <sz val="14"/>
      <color theme="1"/>
      <name val="Calibri"/>
      <family val="2"/>
      <scheme val="minor"/>
    </font>
    <font>
      <sz val="11"/>
      <color rgb="FF000000"/>
      <name val="Calibri"/>
      <family val="2"/>
      <scheme val="minor"/>
    </font>
    <font>
      <u/>
      <sz val="11"/>
      <color theme="1"/>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rgb="FF00B0F0"/>
        <bgColor indexed="64"/>
      </patternFill>
    </fill>
    <fill>
      <patternFill patternType="solid">
        <fgColor rgb="FFFFFF00"/>
        <bgColor indexed="64"/>
      </patternFill>
    </fill>
  </fills>
  <borders count="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style="thin">
        <color auto="1"/>
      </bottom>
      <diagonal/>
    </border>
  </borders>
  <cellStyleXfs count="2">
    <xf numFmtId="0" fontId="0" fillId="0" borderId="0">
      <alignment vertical="center"/>
    </xf>
    <xf numFmtId="9" fontId="22" fillId="0" borderId="0" applyFont="0" applyFill="0" applyBorder="0" applyAlignment="0" applyProtection="0"/>
  </cellStyleXfs>
  <cellXfs count="141">
    <xf numFmtId="0" fontId="0" fillId="0" borderId="0" xfId="0">
      <alignment vertical="center"/>
    </xf>
    <xf numFmtId="0" fontId="11" fillId="0" borderId="0" xfId="0" applyFont="1">
      <alignment vertical="center"/>
    </xf>
    <xf numFmtId="0" fontId="0" fillId="0" borderId="0" xfId="0" applyAlignment="1">
      <alignment horizontal="left" vertical="center" indent="1"/>
    </xf>
    <xf numFmtId="0" fontId="12" fillId="0" borderId="1" xfId="0" applyFont="1" applyBorder="1">
      <alignment vertical="center"/>
    </xf>
    <xf numFmtId="0" fontId="13" fillId="0" borderId="0" xfId="0" applyFont="1">
      <alignment vertical="center"/>
    </xf>
    <xf numFmtId="0" fontId="14" fillId="0" borderId="1" xfId="0" applyFont="1" applyBorder="1" applyAlignment="1">
      <alignment horizontal="left" vertical="center"/>
    </xf>
    <xf numFmtId="2" fontId="13" fillId="0" borderId="1" xfId="0" applyNumberFormat="1" applyFont="1" applyBorder="1">
      <alignment vertical="center"/>
    </xf>
    <xf numFmtId="0" fontId="0" fillId="0" borderId="0" xfId="0" applyAlignment="1">
      <alignment horizontal="left" vertical="center"/>
    </xf>
    <xf numFmtId="2" fontId="0" fillId="0" borderId="1" xfId="0" applyNumberFormat="1" applyBorder="1">
      <alignment vertical="center"/>
    </xf>
    <xf numFmtId="1" fontId="0" fillId="0" borderId="0" xfId="0" applyNumberFormat="1" applyAlignment="1">
      <alignment horizontal="left" vertical="center"/>
    </xf>
    <xf numFmtId="0" fontId="15" fillId="0" borderId="0" xfId="0" applyFont="1">
      <alignment vertical="center"/>
    </xf>
    <xf numFmtId="0" fontId="0" fillId="0" borderId="0" xfId="0" pivotButton="1">
      <alignment vertical="center"/>
    </xf>
    <xf numFmtId="0" fontId="0" fillId="0" borderId="1" xfId="0" applyBorder="1">
      <alignment vertical="center"/>
    </xf>
    <xf numFmtId="0" fontId="0" fillId="0" borderId="0" xfId="0" applyAlignment="1">
      <alignment horizontal="left" vertical="center" indent="2"/>
    </xf>
    <xf numFmtId="0" fontId="19" fillId="0" borderId="0" xfId="0" applyFont="1" applyAlignment="1">
      <alignment horizontal="left" vertical="center" indent="1"/>
    </xf>
    <xf numFmtId="0" fontId="10" fillId="0" borderId="1" xfId="0" applyFont="1" applyBorder="1">
      <alignment vertical="center"/>
    </xf>
    <xf numFmtId="0" fontId="20" fillId="0" borderId="0" xfId="0" applyFont="1">
      <alignment vertical="center"/>
    </xf>
    <xf numFmtId="0" fontId="17" fillId="0" borderId="3" xfId="0" applyFont="1" applyBorder="1">
      <alignment vertical="center"/>
    </xf>
    <xf numFmtId="0" fontId="17" fillId="0" borderId="4" xfId="0" applyFont="1" applyBorder="1">
      <alignment vertical="center"/>
    </xf>
    <xf numFmtId="164" fontId="0" fillId="0" borderId="0" xfId="0" applyNumberFormat="1">
      <alignment vertical="center"/>
    </xf>
    <xf numFmtId="0" fontId="9" fillId="0" borderId="1" xfId="0" applyFont="1" applyBorder="1" applyAlignment="1">
      <alignment horizontal="left" vertical="center"/>
    </xf>
    <xf numFmtId="0" fontId="0" fillId="0" borderId="1" xfId="0" applyBorder="1" applyAlignment="1">
      <alignment horizontal="left" vertical="center"/>
    </xf>
    <xf numFmtId="2" fontId="0" fillId="0" borderId="1" xfId="0" applyNumberFormat="1" applyBorder="1" applyAlignment="1">
      <alignment horizontal="left" vertical="center"/>
    </xf>
    <xf numFmtId="0" fontId="15" fillId="0" borderId="1" xfId="0" applyFont="1" applyBorder="1" applyAlignment="1">
      <alignment horizontal="center" vertical="center"/>
    </xf>
    <xf numFmtId="0" fontId="15" fillId="0" borderId="1" xfId="0" applyFont="1" applyBorder="1">
      <alignment vertical="center"/>
    </xf>
    <xf numFmtId="0" fontId="16" fillId="0" borderId="1" xfId="0" applyFont="1" applyBorder="1" applyAlignment="1">
      <alignment horizontal="left" vertical="center"/>
    </xf>
    <xf numFmtId="1" fontId="0" fillId="0" borderId="1" xfId="0" applyNumberFormat="1" applyBorder="1" applyAlignment="1">
      <alignment horizontal="left" vertical="center"/>
    </xf>
    <xf numFmtId="0" fontId="21" fillId="0" borderId="1" xfId="0" applyFont="1" applyBorder="1">
      <alignment vertical="center"/>
    </xf>
    <xf numFmtId="2" fontId="9" fillId="0" borderId="1" xfId="0" applyNumberFormat="1" applyFont="1" applyBorder="1" applyAlignment="1">
      <alignment horizontal="left" vertical="center"/>
    </xf>
    <xf numFmtId="2" fontId="10" fillId="0" borderId="1" xfId="0" applyNumberFormat="1" applyFont="1" applyBorder="1">
      <alignment vertical="center"/>
    </xf>
    <xf numFmtId="165" fontId="0" fillId="0" borderId="1" xfId="1" applyNumberFormat="1" applyFont="1" applyBorder="1" applyAlignment="1">
      <alignment vertical="center"/>
    </xf>
    <xf numFmtId="165" fontId="0" fillId="0" borderId="1" xfId="0" applyNumberFormat="1" applyBorder="1">
      <alignment vertical="center"/>
    </xf>
    <xf numFmtId="2" fontId="0" fillId="0" borderId="0" xfId="0" applyNumberFormat="1">
      <alignment vertical="center"/>
    </xf>
    <xf numFmtId="164" fontId="0" fillId="0" borderId="1" xfId="0" applyNumberFormat="1" applyBorder="1">
      <alignment vertical="center"/>
    </xf>
    <xf numFmtId="0" fontId="16" fillId="0" borderId="1" xfId="0" applyFont="1" applyBorder="1">
      <alignment vertical="center"/>
    </xf>
    <xf numFmtId="0" fontId="23" fillId="0" borderId="1" xfId="0" applyFont="1" applyBorder="1">
      <alignment vertical="center"/>
    </xf>
    <xf numFmtId="0" fontId="8" fillId="0" borderId="1" xfId="0" applyFont="1" applyBorder="1">
      <alignment vertical="center"/>
    </xf>
    <xf numFmtId="166" fontId="0" fillId="0" borderId="1" xfId="0" applyNumberFormat="1" applyBorder="1">
      <alignment vertical="center"/>
    </xf>
    <xf numFmtId="0" fontId="16" fillId="0" borderId="1" xfId="0" applyFont="1" applyBorder="1" applyAlignment="1">
      <alignment vertical="center" wrapText="1"/>
    </xf>
    <xf numFmtId="10" fontId="0" fillId="0" borderId="1" xfId="1" applyNumberFormat="1" applyFont="1" applyBorder="1" applyAlignment="1">
      <alignment vertical="center"/>
    </xf>
    <xf numFmtId="0" fontId="8" fillId="0" borderId="1" xfId="0" applyFont="1" applyBorder="1" applyAlignment="1">
      <alignment vertical="center" wrapText="1"/>
    </xf>
    <xf numFmtId="164" fontId="0" fillId="0" borderId="1" xfId="0" applyNumberFormat="1" applyBorder="1" applyAlignment="1">
      <alignment horizontal="left" vertical="center"/>
    </xf>
    <xf numFmtId="2" fontId="0" fillId="0" borderId="1" xfId="0" applyNumberFormat="1" applyBorder="1" applyAlignment="1">
      <alignment horizontal="right" vertical="center"/>
    </xf>
    <xf numFmtId="167" fontId="0" fillId="0" borderId="1" xfId="0" applyNumberFormat="1" applyBorder="1" applyAlignment="1">
      <alignment horizontal="right" vertical="center"/>
    </xf>
    <xf numFmtId="167" fontId="0" fillId="0" borderId="1" xfId="0" applyNumberFormat="1" applyBorder="1">
      <alignment vertical="center"/>
    </xf>
    <xf numFmtId="0" fontId="0" fillId="2" borderId="0" xfId="0" applyFill="1">
      <alignment vertical="center"/>
    </xf>
    <xf numFmtId="166" fontId="0" fillId="0" borderId="0" xfId="0" applyNumberFormat="1">
      <alignment vertical="center"/>
    </xf>
    <xf numFmtId="166" fontId="0" fillId="2" borderId="0" xfId="0" applyNumberFormat="1" applyFill="1">
      <alignment vertical="center"/>
    </xf>
    <xf numFmtId="164" fontId="0" fillId="2" borderId="0" xfId="0" applyNumberFormat="1" applyFill="1">
      <alignment vertical="center"/>
    </xf>
    <xf numFmtId="164" fontId="0" fillId="0" borderId="1" xfId="1" applyNumberFormat="1" applyFont="1" applyBorder="1" applyAlignment="1">
      <alignment vertical="center"/>
    </xf>
    <xf numFmtId="0" fontId="7" fillId="0" borderId="1" xfId="0" applyFont="1" applyBorder="1">
      <alignment vertical="center"/>
    </xf>
    <xf numFmtId="0" fontId="7" fillId="0" borderId="1" xfId="0" applyFont="1" applyBorder="1" applyAlignment="1">
      <alignment horizontal="left" vertical="center"/>
    </xf>
    <xf numFmtId="168" fontId="0" fillId="0" borderId="1" xfId="0" applyNumberFormat="1" applyBorder="1" applyAlignment="1">
      <alignment horizontal="left" vertical="center"/>
    </xf>
    <xf numFmtId="17" fontId="7" fillId="0" borderId="1" xfId="0" applyNumberFormat="1" applyFont="1" applyBorder="1" applyAlignment="1">
      <alignment vertical="center" wrapText="1"/>
    </xf>
    <xf numFmtId="0" fontId="7" fillId="0" borderId="1" xfId="0" applyFont="1" applyBorder="1" applyAlignment="1">
      <alignment vertical="center" wrapText="1"/>
    </xf>
    <xf numFmtId="0" fontId="24" fillId="0" borderId="1" xfId="0" applyFont="1" applyBorder="1">
      <alignment vertical="center"/>
    </xf>
    <xf numFmtId="0" fontId="6" fillId="0" borderId="1" xfId="0" applyFont="1" applyBorder="1">
      <alignment vertical="center"/>
    </xf>
    <xf numFmtId="17" fontId="6" fillId="0" borderId="1" xfId="0" applyNumberFormat="1" applyFont="1" applyBorder="1" applyAlignment="1">
      <alignment vertical="center" wrapText="1"/>
    </xf>
    <xf numFmtId="0" fontId="0" fillId="0" borderId="1" xfId="0" applyBorder="1" applyAlignment="1">
      <alignment horizontal="right" vertical="center"/>
    </xf>
    <xf numFmtId="0" fontId="6" fillId="0" borderId="1" xfId="0" applyFont="1" applyBorder="1" applyAlignment="1">
      <alignment horizontal="right" vertical="center"/>
    </xf>
    <xf numFmtId="0" fontId="23" fillId="0" borderId="0" xfId="0" applyFont="1">
      <alignment vertical="center"/>
    </xf>
    <xf numFmtId="169" fontId="0" fillId="0" borderId="1" xfId="0" applyNumberFormat="1" applyBorder="1">
      <alignment vertical="center"/>
    </xf>
    <xf numFmtId="0" fontId="6" fillId="0" borderId="0" xfId="0" applyFont="1" applyAlignment="1">
      <alignment horizontal="left" vertical="center" indent="1"/>
    </xf>
    <xf numFmtId="0" fontId="6" fillId="0" borderId="0" xfId="0" applyFont="1" applyAlignment="1">
      <alignment horizontal="left" vertical="center" indent="2"/>
    </xf>
    <xf numFmtId="4" fontId="0" fillId="0" borderId="0" xfId="0" applyNumberFormat="1">
      <alignment vertical="center"/>
    </xf>
    <xf numFmtId="10" fontId="0" fillId="0" borderId="0" xfId="0" applyNumberFormat="1">
      <alignment vertical="center"/>
    </xf>
    <xf numFmtId="0" fontId="21" fillId="0" borderId="1" xfId="0" applyFont="1" applyBorder="1" applyAlignment="1">
      <alignment horizontal="right" vertical="center"/>
    </xf>
    <xf numFmtId="2" fontId="0" fillId="0" borderId="1" xfId="1" applyNumberFormat="1" applyFont="1" applyBorder="1" applyAlignment="1">
      <alignment vertical="center"/>
    </xf>
    <xf numFmtId="169" fontId="0" fillId="0" borderId="0" xfId="0" applyNumberFormat="1">
      <alignment vertical="center"/>
    </xf>
    <xf numFmtId="2" fontId="0" fillId="0" borderId="0" xfId="1" applyNumberFormat="1" applyFont="1" applyBorder="1" applyAlignment="1">
      <alignment vertical="center"/>
    </xf>
    <xf numFmtId="0" fontId="0" fillId="0" borderId="1" xfId="0" applyBorder="1" applyAlignment="1">
      <alignment vertical="center" wrapText="1"/>
    </xf>
    <xf numFmtId="170" fontId="0" fillId="0" borderId="1" xfId="0" applyNumberFormat="1" applyBorder="1">
      <alignment vertical="center"/>
    </xf>
    <xf numFmtId="0" fontId="0" fillId="0" borderId="0" xfId="0" applyAlignment="1">
      <alignment vertical="center" wrapText="1"/>
    </xf>
    <xf numFmtId="170" fontId="0" fillId="0" borderId="0" xfId="0" applyNumberFormat="1">
      <alignment vertical="center"/>
    </xf>
    <xf numFmtId="0" fontId="0" fillId="0" borderId="7" xfId="0" applyBorder="1" applyAlignment="1">
      <alignment vertical="center" wrapText="1"/>
    </xf>
    <xf numFmtId="0" fontId="5" fillId="0" borderId="1" xfId="0" applyFont="1" applyBorder="1" applyAlignment="1">
      <alignment horizontal="left" vertical="center" wrapText="1"/>
    </xf>
    <xf numFmtId="0" fontId="16" fillId="0" borderId="8" xfId="0" applyFont="1" applyBorder="1" applyAlignment="1">
      <alignment vertical="center" wrapText="1"/>
    </xf>
    <xf numFmtId="0" fontId="0" fillId="3" borderId="0" xfId="0" applyFill="1">
      <alignment vertical="center"/>
    </xf>
    <xf numFmtId="0" fontId="5" fillId="0" borderId="1" xfId="0" applyFont="1" applyBorder="1" applyAlignment="1">
      <alignment horizontal="left" vertical="center"/>
    </xf>
    <xf numFmtId="14" fontId="0" fillId="0" borderId="1" xfId="0" applyNumberFormat="1" applyBorder="1" applyAlignment="1">
      <alignment horizontal="left" vertical="center"/>
    </xf>
    <xf numFmtId="168" fontId="0" fillId="0" borderId="0" xfId="0" applyNumberFormat="1" applyAlignment="1">
      <alignment horizontal="left" vertical="center"/>
    </xf>
    <xf numFmtId="0" fontId="21" fillId="0" borderId="0" xfId="0" applyFont="1">
      <alignment vertical="center"/>
    </xf>
    <xf numFmtId="0" fontId="0" fillId="3" borderId="0" xfId="0" applyFill="1" applyAlignment="1">
      <alignment horizontal="left" vertical="center"/>
    </xf>
    <xf numFmtId="1" fontId="0" fillId="3" borderId="0" xfId="0" applyNumberFormat="1" applyFill="1" applyAlignment="1">
      <alignment horizontal="left" vertical="center"/>
    </xf>
    <xf numFmtId="168" fontId="0" fillId="3" borderId="0" xfId="0" applyNumberFormat="1" applyFill="1" applyAlignment="1">
      <alignment horizontal="left" vertical="center"/>
    </xf>
    <xf numFmtId="0" fontId="21" fillId="3" borderId="0" xfId="0" applyFont="1" applyFill="1">
      <alignment vertical="center"/>
    </xf>
    <xf numFmtId="2" fontId="0" fillId="3" borderId="0" xfId="0" applyNumberFormat="1" applyFill="1">
      <alignment vertical="center"/>
    </xf>
    <xf numFmtId="17" fontId="23" fillId="0" borderId="0" xfId="0" applyNumberFormat="1" applyFont="1">
      <alignment vertical="center"/>
    </xf>
    <xf numFmtId="0" fontId="23" fillId="0" borderId="0" xfId="0" applyFont="1" applyAlignment="1">
      <alignment horizontal="left" vertical="center"/>
    </xf>
    <xf numFmtId="0" fontId="5" fillId="0" borderId="1" xfId="0" applyFont="1" applyBorder="1">
      <alignment vertical="center"/>
    </xf>
    <xf numFmtId="168" fontId="0" fillId="0" borderId="1" xfId="0" applyNumberFormat="1" applyBorder="1">
      <alignment vertical="center"/>
    </xf>
    <xf numFmtId="0" fontId="16" fillId="0" borderId="8" xfId="0" applyFont="1" applyBorder="1" applyAlignment="1">
      <alignment horizontal="left" vertical="center"/>
    </xf>
    <xf numFmtId="168" fontId="6" fillId="0" borderId="1" xfId="0" applyNumberFormat="1" applyFont="1" applyBorder="1">
      <alignment vertical="center"/>
    </xf>
    <xf numFmtId="168" fontId="0" fillId="0" borderId="0" xfId="0" applyNumberFormat="1">
      <alignment vertical="center"/>
    </xf>
    <xf numFmtId="168" fontId="0" fillId="3" borderId="0" xfId="0" applyNumberFormat="1" applyFill="1">
      <alignment vertical="center"/>
    </xf>
    <xf numFmtId="168" fontId="5" fillId="0" borderId="1" xfId="0" applyNumberFormat="1" applyFont="1" applyBorder="1">
      <alignment vertical="center"/>
    </xf>
    <xf numFmtId="168" fontId="0" fillId="0" borderId="1" xfId="0" applyNumberFormat="1" applyBorder="1" applyAlignment="1">
      <alignment horizontal="right" vertical="center"/>
    </xf>
    <xf numFmtId="0" fontId="0" fillId="0" borderId="0" xfId="0" applyAlignment="1">
      <alignment horizontal="right" vertical="center"/>
    </xf>
    <xf numFmtId="0" fontId="16" fillId="0" borderId="0" xfId="0" applyFont="1">
      <alignment vertical="center"/>
    </xf>
    <xf numFmtId="0" fontId="21" fillId="0" borderId="8" xfId="0" applyFont="1" applyBorder="1" applyAlignment="1">
      <alignment horizontal="right" vertical="center"/>
    </xf>
    <xf numFmtId="0" fontId="0" fillId="0" borderId="7" xfId="0" applyBorder="1" applyAlignment="1">
      <alignment horizontal="right" vertical="center"/>
    </xf>
    <xf numFmtId="0" fontId="21" fillId="0" borderId="8" xfId="0" applyFont="1" applyBorder="1">
      <alignment vertical="center"/>
    </xf>
    <xf numFmtId="0" fontId="0" fillId="0" borderId="7" xfId="0" applyBorder="1" applyAlignment="1">
      <alignment horizontal="left" vertical="center"/>
    </xf>
    <xf numFmtId="0" fontId="9" fillId="0" borderId="1" xfId="0" applyFont="1" applyBorder="1">
      <alignment vertical="center"/>
    </xf>
    <xf numFmtId="0" fontId="4" fillId="0" borderId="1" xfId="0" applyFont="1" applyBorder="1" applyAlignment="1">
      <alignment horizontal="left" vertical="center"/>
    </xf>
    <xf numFmtId="0" fontId="7" fillId="0" borderId="0" xfId="0" applyFont="1">
      <alignment vertical="center"/>
    </xf>
    <xf numFmtId="0" fontId="7" fillId="0" borderId="0" xfId="0" applyFont="1" applyAlignment="1">
      <alignment vertical="center" wrapText="1"/>
    </xf>
    <xf numFmtId="2" fontId="0" fillId="0" borderId="0" xfId="0" applyNumberFormat="1" applyAlignment="1">
      <alignment horizontal="center" vertical="center"/>
    </xf>
    <xf numFmtId="0" fontId="3" fillId="0" borderId="1" xfId="0" applyFont="1" applyBorder="1">
      <alignment vertical="center"/>
    </xf>
    <xf numFmtId="0" fontId="7" fillId="4" borderId="0" xfId="0" applyFont="1" applyFill="1">
      <alignment vertical="center"/>
    </xf>
    <xf numFmtId="0" fontId="7" fillId="4" borderId="0" xfId="0" applyFont="1" applyFill="1" applyAlignment="1">
      <alignment vertical="center" wrapText="1"/>
    </xf>
    <xf numFmtId="2" fontId="0" fillId="4" borderId="0" xfId="0" applyNumberFormat="1" applyFill="1">
      <alignment vertical="center"/>
    </xf>
    <xf numFmtId="2" fontId="0" fillId="4" borderId="0" xfId="0" applyNumberFormat="1" applyFill="1" applyAlignment="1">
      <alignment horizontal="center" vertical="center"/>
    </xf>
    <xf numFmtId="0" fontId="0" fillId="4" borderId="0" xfId="0" applyFill="1">
      <alignment vertical="center"/>
    </xf>
    <xf numFmtId="2" fontId="0" fillId="0" borderId="1" xfId="0" applyNumberFormat="1" applyBorder="1" applyAlignment="1">
      <alignment horizontal="center" vertical="center"/>
    </xf>
    <xf numFmtId="0" fontId="20" fillId="0" borderId="1" xfId="0" applyFont="1" applyBorder="1" applyAlignment="1">
      <alignment vertical="center" wrapText="1"/>
    </xf>
    <xf numFmtId="0" fontId="3" fillId="0" borderId="1" xfId="0" applyFont="1" applyBorder="1" applyAlignment="1">
      <alignment horizontal="left" vertical="center"/>
    </xf>
    <xf numFmtId="0" fontId="20" fillId="0" borderId="1" xfId="0" applyFont="1" applyBorder="1">
      <alignment vertical="center"/>
    </xf>
    <xf numFmtId="2" fontId="0" fillId="0" borderId="0" xfId="0" applyNumberFormat="1" applyAlignment="1">
      <alignment horizontal="left" vertical="center"/>
    </xf>
    <xf numFmtId="0" fontId="8" fillId="0" borderId="6" xfId="0" applyFont="1" applyBorder="1" applyAlignment="1">
      <alignment vertical="center" wrapText="1"/>
    </xf>
    <xf numFmtId="0" fontId="0" fillId="0" borderId="6" xfId="0" applyBorder="1">
      <alignment vertical="center"/>
    </xf>
    <xf numFmtId="0" fontId="16" fillId="0" borderId="0" xfId="0" applyFont="1" applyAlignment="1">
      <alignment horizontal="left" vertical="center"/>
    </xf>
    <xf numFmtId="164" fontId="0" fillId="0" borderId="0" xfId="0" applyNumberFormat="1" applyAlignment="1">
      <alignment horizontal="center" vertical="center"/>
    </xf>
    <xf numFmtId="0" fontId="20" fillId="0" borderId="0" xfId="0" applyFont="1" applyAlignment="1">
      <alignment horizontal="left" vertical="center"/>
    </xf>
    <xf numFmtId="0" fontId="2" fillId="0" borderId="1" xfId="0" applyFont="1" applyBorder="1">
      <alignment vertical="center"/>
    </xf>
    <xf numFmtId="0" fontId="2" fillId="0" borderId="0" xfId="0" applyFont="1">
      <alignment vertical="center"/>
    </xf>
    <xf numFmtId="0" fontId="4" fillId="0" borderId="6" xfId="0" applyFont="1" applyBorder="1" applyAlignment="1">
      <alignment horizontal="left" vertical="center"/>
    </xf>
    <xf numFmtId="0" fontId="17" fillId="0" borderId="1" xfId="0" applyFont="1" applyBorder="1">
      <alignment vertical="center"/>
    </xf>
    <xf numFmtId="0" fontId="23" fillId="4" borderId="0" xfId="0" applyFont="1" applyFill="1" applyAlignment="1">
      <alignment horizontal="center" vertical="center"/>
    </xf>
    <xf numFmtId="0" fontId="23" fillId="4" borderId="0" xfId="0" applyFont="1" applyFill="1" applyAlignment="1">
      <alignment horizontal="left" vertical="center"/>
    </xf>
    <xf numFmtId="0" fontId="15" fillId="0" borderId="1" xfId="0" applyFont="1" applyBorder="1" applyAlignment="1">
      <alignment horizontal="center" vertical="center"/>
    </xf>
    <xf numFmtId="0" fontId="17" fillId="0" borderId="0" xfId="0" applyFont="1" applyAlignment="1">
      <alignment horizontal="center" vertical="center"/>
    </xf>
    <xf numFmtId="0" fontId="17" fillId="0" borderId="2" xfId="0" applyFont="1" applyBorder="1" applyAlignment="1">
      <alignment horizontal="center" vertical="center"/>
    </xf>
    <xf numFmtId="0" fontId="0" fillId="0" borderId="0" xfId="0" applyAlignment="1">
      <alignment horizontal="center" vertical="center"/>
    </xf>
    <xf numFmtId="2" fontId="0" fillId="0" borderId="5" xfId="0" applyNumberFormat="1" applyBorder="1" applyAlignment="1">
      <alignment horizontal="center" vertical="center"/>
    </xf>
    <xf numFmtId="2" fontId="0" fillId="0" borderId="6" xfId="0" applyNumberFormat="1" applyBorder="1" applyAlignment="1">
      <alignment horizontal="center" vertical="center"/>
    </xf>
    <xf numFmtId="164" fontId="0" fillId="0" borderId="5" xfId="0" applyNumberFormat="1" applyBorder="1" applyAlignment="1">
      <alignment horizontal="center" vertical="center"/>
    </xf>
    <xf numFmtId="164" fontId="0" fillId="0" borderId="6" xfId="0" applyNumberFormat="1" applyBorder="1" applyAlignment="1">
      <alignment horizontal="center" vertical="center"/>
    </xf>
    <xf numFmtId="0" fontId="0" fillId="0" borderId="0" xfId="0" applyAlignment="1">
      <alignment horizontal="left" vertical="center"/>
    </xf>
    <xf numFmtId="0" fontId="1" fillId="0" borderId="0" xfId="0" applyFont="1">
      <alignment vertical="center"/>
    </xf>
    <xf numFmtId="0" fontId="1" fillId="0" borderId="1" xfId="0" applyFont="1" applyBorder="1">
      <alignment vertical="center"/>
    </xf>
  </cellXfs>
  <cellStyles count="2">
    <cellStyle name="Normal" xfId="0" builtinId="0"/>
    <cellStyle name="Percent" xfId="1" builtinId="5"/>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9.7660298804269685E-2"/>
          <c:y val="0.19141402154134032"/>
          <c:w val="0.87195820793989987"/>
          <c:h val="0.42414658098906677"/>
        </c:manualLayout>
      </c:layout>
      <c:barChart>
        <c:barDir val="col"/>
        <c:grouping val="stacked"/>
        <c:varyColors val="0"/>
        <c:ser>
          <c:idx val="0"/>
          <c:order val="0"/>
          <c:tx>
            <c:strRef>
              <c:f>'Q1'!$C$2</c:f>
              <c:strCache>
                <c:ptCount val="1"/>
                <c:pt idx="0">
                  <c:v>Contribution_%</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dLbl>
              <c:idx val="0"/>
              <c:layout>
                <c:manualLayout>
                  <c:x val="-2.5317618575235149E-17"/>
                  <c:y val="-0.230452710740838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6D-4CFE-B899-F00B5D3BD0AC}"/>
                </c:ext>
              </c:extLst>
            </c:dLbl>
            <c:dLbl>
              <c:idx val="1"/>
              <c:layout>
                <c:manualLayout>
                  <c:x val="0"/>
                  <c:y val="-9.679013851115209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6D-4CFE-B899-F00B5D3BD0AC}"/>
                </c:ext>
              </c:extLst>
            </c:dLbl>
            <c:dLbl>
              <c:idx val="2"/>
              <c:layout>
                <c:manualLayout>
                  <c:x val="-5.5239078646964947E-3"/>
                  <c:y val="-9.218108429633532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6D-4CFE-B899-F00B5D3BD0AC}"/>
                </c:ext>
              </c:extLst>
            </c:dLbl>
            <c:dLbl>
              <c:idx val="3"/>
              <c:layout>
                <c:manualLayout>
                  <c:x val="-1.012704743009406E-16"/>
                  <c:y val="-8.296297586670180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F6D-4CFE-B899-F00B5D3BD0AC}"/>
                </c:ext>
              </c:extLst>
            </c:dLbl>
            <c:dLbl>
              <c:idx val="4"/>
              <c:layout>
                <c:manualLayout>
                  <c:x val="-2.7619539323482218E-3"/>
                  <c:y val="-7.374486743706834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F6D-4CFE-B899-F00B5D3BD0AC}"/>
                </c:ext>
              </c:extLst>
            </c:dLbl>
            <c:dLbl>
              <c:idx val="5"/>
              <c:layout>
                <c:manualLayout>
                  <c:x val="0"/>
                  <c:y val="-8.296297586670180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F6D-4CFE-B899-F00B5D3BD0AC}"/>
                </c:ext>
              </c:extLst>
            </c:dLbl>
            <c:dLbl>
              <c:idx val="6"/>
              <c:layout>
                <c:manualLayout>
                  <c:x val="1.012704743009406E-16"/>
                  <c:y val="-9.679013851115209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F6D-4CFE-B899-F00B5D3BD0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'Q1'!$A$3:$A$9</c:f>
              <c:strCache>
                <c:ptCount val="7"/>
                <c:pt idx="0">
                  <c:v>Food Products</c:v>
                </c:pt>
                <c:pt idx="1">
                  <c:v>Clothing &amp; Misc</c:v>
                </c:pt>
                <c:pt idx="2">
                  <c:v>Housing &amp; Misc</c:v>
                </c:pt>
                <c:pt idx="3">
                  <c:v>Health and personal Care</c:v>
                </c:pt>
                <c:pt idx="4">
                  <c:v>Transport and communication</c:v>
                </c:pt>
                <c:pt idx="5">
                  <c:v>Education and Entertainment</c:v>
                </c:pt>
                <c:pt idx="6">
                  <c:v>Miscellaneuos</c:v>
                </c:pt>
              </c:strCache>
            </c:strRef>
          </c:cat>
          <c:val>
            <c:numRef>
              <c:f>'Q1'!$C$3:$C$9</c:f>
              <c:numCache>
                <c:formatCode>0.00</c:formatCode>
                <c:ptCount val="7"/>
                <c:pt idx="0">
                  <c:v>50.390697602116049</c:v>
                </c:pt>
                <c:pt idx="1">
                  <c:v>11.608633960842635</c:v>
                </c:pt>
                <c:pt idx="2">
                  <c:v>11.387449064501311</c:v>
                </c:pt>
                <c:pt idx="3">
                  <c:v>7.506069548693314</c:v>
                </c:pt>
                <c:pt idx="4">
                  <c:v>3.5123053765716041</c:v>
                </c:pt>
                <c:pt idx="5">
                  <c:v>7.5958233324974742</c:v>
                </c:pt>
                <c:pt idx="6">
                  <c:v>7.9990211147776158</c:v>
                </c:pt>
              </c:numCache>
            </c:numRef>
          </c:val>
          <c:extLst>
            <c:ext xmlns:c16="http://schemas.microsoft.com/office/drawing/2014/chart" uri="{C3380CC4-5D6E-409C-BE32-E72D297353CC}">
              <c16:uniqueId val="{00000000-F574-4627-91B0-68E5EFB2C05D}"/>
            </c:ext>
          </c:extLst>
        </c:ser>
        <c:dLbls>
          <c:dLblPos val="ctr"/>
          <c:showLegendKey val="0"/>
          <c:showVal val="1"/>
          <c:showCatName val="0"/>
          <c:showSerName val="0"/>
          <c:showPercent val="0"/>
          <c:showBubbleSize val="0"/>
        </c:dLbls>
        <c:gapWidth val="150"/>
        <c:overlap val="100"/>
        <c:axId val="642000719"/>
        <c:axId val="642002383"/>
      </c:barChart>
      <c:catAx>
        <c:axId val="6420007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2002383"/>
        <c:crosses val="autoZero"/>
        <c:auto val="1"/>
        <c:lblAlgn val="ctr"/>
        <c:lblOffset val="100"/>
        <c:noMultiLvlLbl val="0"/>
      </c:catAx>
      <c:valAx>
        <c:axId val="6420023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20007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4289158035186174"/>
          <c:y val="8.2486386498732186E-3"/>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'Q1'!$C$2</c:f>
              <c:strCache>
                <c:ptCount val="1"/>
                <c:pt idx="0">
                  <c:v>Contribution_%</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F865-4730-B423-76DFE22C825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865-4730-B423-76DFE22C825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F865-4730-B423-76DFE22C8253}"/>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F865-4730-B423-76DFE22C8253}"/>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F865-4730-B423-76DFE22C8253}"/>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F865-4730-B423-76DFE22C8253}"/>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865-4730-B423-76DFE22C825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2-F865-4730-B423-76DFE22C8253}"/>
                </c:ext>
              </c:extLst>
            </c:dLbl>
            <c:dLbl>
              <c:idx val="1"/>
              <c:layout>
                <c:manualLayout>
                  <c:x val="-4.8525808852635931E-2"/>
                  <c:y val="-4.124319324936609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865-4730-B423-76DFE22C8253}"/>
                </c:ext>
              </c:extLst>
            </c:dLbl>
            <c:dLbl>
              <c:idx val="2"/>
              <c:layout>
                <c:manualLayout>
                  <c:x val="-4.3673227967372316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865-4730-B423-76DFE22C8253}"/>
                </c:ext>
              </c:extLst>
            </c:dLbl>
            <c:dLbl>
              <c:idx val="3"/>
              <c:layout>
                <c:manualLayout>
                  <c:x val="-7.2788713278953865E-2"/>
                  <c:y val="4.12431932493660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865-4730-B423-76DFE22C8253}"/>
                </c:ext>
              </c:extLst>
            </c:dLbl>
            <c:dLbl>
              <c:idx val="4"/>
              <c:layout>
                <c:manualLayout>
                  <c:x val="-8.734645593474466E-2"/>
                  <c:y val="-2.062159662468304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865-4730-B423-76DFE22C8253}"/>
                </c:ext>
              </c:extLst>
            </c:dLbl>
            <c:dLbl>
              <c:idx val="5"/>
              <c:layout>
                <c:manualLayout>
                  <c:x val="-3.6394356639476953E-2"/>
                  <c:y val="-7.42377478488589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865-4730-B423-76DFE22C8253}"/>
                </c:ext>
              </c:extLst>
            </c:dLbl>
            <c:dLbl>
              <c:idx val="6"/>
              <c:layout>
                <c:manualLayout>
                  <c:x val="0.28387598178792006"/>
                  <c:y val="-1.64972772997464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865-4730-B423-76DFE22C8253}"/>
                </c:ext>
              </c:extLst>
            </c:dLbl>
            <c:spPr>
              <a:noFill/>
              <a:ln>
                <a:noFill/>
              </a:ln>
              <a:effectLst/>
            </c:sp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'Q1'!$A$3:$A$9</c:f>
              <c:strCache>
                <c:ptCount val="7"/>
                <c:pt idx="0">
                  <c:v>Food Products</c:v>
                </c:pt>
                <c:pt idx="1">
                  <c:v>Clothing &amp; Misc</c:v>
                </c:pt>
                <c:pt idx="2">
                  <c:v>Housing &amp; Misc</c:v>
                </c:pt>
                <c:pt idx="3">
                  <c:v>Health and personal Care</c:v>
                </c:pt>
                <c:pt idx="4">
                  <c:v>Transport and communication</c:v>
                </c:pt>
                <c:pt idx="5">
                  <c:v>Education and Entertainment</c:v>
                </c:pt>
                <c:pt idx="6">
                  <c:v>Miscellaneuos</c:v>
                </c:pt>
              </c:strCache>
            </c:strRef>
          </c:cat>
          <c:val>
            <c:numRef>
              <c:f>'Q1'!$C$3:$C$9</c:f>
              <c:numCache>
                <c:formatCode>0.00</c:formatCode>
                <c:ptCount val="7"/>
                <c:pt idx="0">
                  <c:v>50.390697602116049</c:v>
                </c:pt>
                <c:pt idx="1">
                  <c:v>11.608633960842635</c:v>
                </c:pt>
                <c:pt idx="2">
                  <c:v>11.387449064501311</c:v>
                </c:pt>
                <c:pt idx="3">
                  <c:v>7.506069548693314</c:v>
                </c:pt>
                <c:pt idx="4">
                  <c:v>3.5123053765716041</c:v>
                </c:pt>
                <c:pt idx="5">
                  <c:v>7.5958233324974742</c:v>
                </c:pt>
                <c:pt idx="6">
                  <c:v>7.9990211147776158</c:v>
                </c:pt>
              </c:numCache>
            </c:numRef>
          </c:val>
          <c:extLst>
            <c:ext xmlns:c16="http://schemas.microsoft.com/office/drawing/2014/chart" uri="{C3380CC4-5D6E-409C-BE32-E72D297353CC}">
              <c16:uniqueId val="{00000000-F865-4730-B423-76DFE22C8253}"/>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4765204988160237"/>
          <c:y val="1.415213658260446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v>Contribution</c:v>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F356-48D1-BAD0-AC3DD254A5F7}"/>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F356-48D1-BAD0-AC3DD254A5F7}"/>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F356-48D1-BAD0-AC3DD254A5F7}"/>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F356-48D1-BAD0-AC3DD254A5F7}"/>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F356-48D1-BAD0-AC3DD254A5F7}"/>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F356-48D1-BAD0-AC3DD254A5F7}"/>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F356-48D1-BAD0-AC3DD254A5F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D-F356-48D1-BAD0-AC3DD254A5F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E-F356-48D1-BAD0-AC3DD254A5F7}"/>
                </c:ext>
              </c:extLst>
            </c:dLbl>
            <c:dLbl>
              <c:idx val="2"/>
              <c:layout>
                <c:manualLayout>
                  <c:x val="-5.8238002360091252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56-48D1-BAD0-AC3DD254A5F7}"/>
                </c:ext>
              </c:extLst>
            </c:dLbl>
            <c:dLbl>
              <c:idx val="3"/>
              <c:layout>
                <c:manualLayout>
                  <c:x val="-4.1598573114350876E-2"/>
                  <c:y val="4.71737886086815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56-48D1-BAD0-AC3DD254A5F7}"/>
                </c:ext>
              </c:extLst>
            </c:dLbl>
            <c:dLbl>
              <c:idx val="4"/>
              <c:layout>
                <c:manualLayout>
                  <c:x val="-0.11092952830493566"/>
                  <c:y val="-5.189116746954973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56-48D1-BAD0-AC3DD254A5F7}"/>
                </c:ext>
              </c:extLst>
            </c:dLbl>
            <c:dLbl>
              <c:idx val="5"/>
              <c:layout>
                <c:manualLayout>
                  <c:x val="-2.7732382076233915E-2"/>
                  <c:y val="-6.60433040521541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56-48D1-BAD0-AC3DD254A5F7}"/>
                </c:ext>
              </c:extLst>
            </c:dLbl>
            <c:dLbl>
              <c:idx val="6"/>
              <c:layout>
                <c:manualLayout>
                  <c:x val="0.36329420519866429"/>
                  <c:y val="-2.35868943043407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56-48D1-BAD0-AC3DD254A5F7}"/>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'Q1'!$A$31:$A$37</c:f>
              <c:strCache>
                <c:ptCount val="7"/>
                <c:pt idx="0">
                  <c:v>Food Products</c:v>
                </c:pt>
                <c:pt idx="1">
                  <c:v>Clothing &amp; Misc</c:v>
                </c:pt>
                <c:pt idx="2">
                  <c:v>Housing &amp; Misc</c:v>
                </c:pt>
                <c:pt idx="3">
                  <c:v>Health and personal Care</c:v>
                </c:pt>
                <c:pt idx="4">
                  <c:v>Transport and communication</c:v>
                </c:pt>
                <c:pt idx="5">
                  <c:v>Education and Entertainment</c:v>
                </c:pt>
                <c:pt idx="6">
                  <c:v>Miscellaneuos</c:v>
                </c:pt>
              </c:strCache>
            </c:strRef>
          </c:cat>
          <c:val>
            <c:numRef>
              <c:f>'Q1'!$C$31:$C$37</c:f>
              <c:numCache>
                <c:formatCode>0.00</c:formatCode>
                <c:ptCount val="7"/>
                <c:pt idx="0">
                  <c:v>49.756160578755292</c:v>
                </c:pt>
                <c:pt idx="1">
                  <c:v>11.855009742811314</c:v>
                </c:pt>
                <c:pt idx="2">
                  <c:v>11.226661212127736</c:v>
                </c:pt>
                <c:pt idx="3">
                  <c:v>7.9765454826010984</c:v>
                </c:pt>
                <c:pt idx="4">
                  <c:v>3.55190962690236</c:v>
                </c:pt>
                <c:pt idx="5">
                  <c:v>7.5100388635898767</c:v>
                </c:pt>
                <c:pt idx="6">
                  <c:v>8.1236744932123273</c:v>
                </c:pt>
              </c:numCache>
            </c:numRef>
          </c:val>
          <c:extLst>
            <c:ext xmlns:c16="http://schemas.microsoft.com/office/drawing/2014/chart" uri="{C3380CC4-5D6E-409C-BE32-E72D297353CC}">
              <c16:uniqueId val="{00000007-F356-48D1-BAD0-AC3DD254A5F7}"/>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Contribution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'Q1'!$A$31:$A$37</c:f>
              <c:strCache>
                <c:ptCount val="7"/>
                <c:pt idx="0">
                  <c:v>Food Products</c:v>
                </c:pt>
                <c:pt idx="1">
                  <c:v>Clothing &amp; Misc</c:v>
                </c:pt>
                <c:pt idx="2">
                  <c:v>Housing &amp; Misc</c:v>
                </c:pt>
                <c:pt idx="3">
                  <c:v>Health and personal Care</c:v>
                </c:pt>
                <c:pt idx="4">
                  <c:v>Transport and communication</c:v>
                </c:pt>
                <c:pt idx="5">
                  <c:v>Education and Entertainment</c:v>
                </c:pt>
                <c:pt idx="6">
                  <c:v>Miscellaneuos</c:v>
                </c:pt>
              </c:strCache>
            </c:strRef>
          </c:cat>
          <c:val>
            <c:numRef>
              <c:f>'Q1'!$C$31:$C$37</c:f>
              <c:numCache>
                <c:formatCode>0.00</c:formatCode>
                <c:ptCount val="7"/>
                <c:pt idx="0">
                  <c:v>49.756160578755292</c:v>
                </c:pt>
                <c:pt idx="1">
                  <c:v>11.855009742811314</c:v>
                </c:pt>
                <c:pt idx="2">
                  <c:v>11.226661212127736</c:v>
                </c:pt>
                <c:pt idx="3">
                  <c:v>7.9765454826010984</c:v>
                </c:pt>
                <c:pt idx="4">
                  <c:v>3.55190962690236</c:v>
                </c:pt>
                <c:pt idx="5">
                  <c:v>7.5100388635898767</c:v>
                </c:pt>
                <c:pt idx="6">
                  <c:v>8.1236744932123273</c:v>
                </c:pt>
              </c:numCache>
            </c:numRef>
          </c:val>
          <c:extLst>
            <c:ext xmlns:c16="http://schemas.microsoft.com/office/drawing/2014/chart" uri="{C3380CC4-5D6E-409C-BE32-E72D297353CC}">
              <c16:uniqueId val="{00000000-8E73-4BD0-9B2E-AF4D56F4C44E}"/>
            </c:ext>
          </c:extLst>
        </c:ser>
        <c:dLbls>
          <c:dLblPos val="outEnd"/>
          <c:showLegendKey val="0"/>
          <c:showVal val="1"/>
          <c:showCatName val="0"/>
          <c:showSerName val="0"/>
          <c:showPercent val="0"/>
          <c:showBubbleSize val="0"/>
        </c:dLbls>
        <c:gapWidth val="219"/>
        <c:overlap val="-27"/>
        <c:axId val="852030671"/>
        <c:axId val="852032335"/>
      </c:barChart>
      <c:catAx>
        <c:axId val="85203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032335"/>
        <c:crosses val="autoZero"/>
        <c:auto val="1"/>
        <c:lblAlgn val="ctr"/>
        <c:lblOffset val="100"/>
        <c:noMultiLvlLbl val="0"/>
      </c:catAx>
      <c:valAx>
        <c:axId val="8520323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0306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Contribution Rural Sector</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'Q1'!$A$57:$A$63</c:f>
              <c:strCache>
                <c:ptCount val="7"/>
                <c:pt idx="0">
                  <c:v>Food Products</c:v>
                </c:pt>
                <c:pt idx="1">
                  <c:v>Clothing &amp; Misc</c:v>
                </c:pt>
                <c:pt idx="2">
                  <c:v>Housing &amp; Misc</c:v>
                </c:pt>
                <c:pt idx="3">
                  <c:v>Health and personal Care</c:v>
                </c:pt>
                <c:pt idx="4">
                  <c:v>Transport and communication</c:v>
                </c:pt>
                <c:pt idx="5">
                  <c:v>Education and Entertainment</c:v>
                </c:pt>
                <c:pt idx="6">
                  <c:v>Miscellaneuos</c:v>
                </c:pt>
              </c:strCache>
            </c:strRef>
          </c:cat>
          <c:val>
            <c:numRef>
              <c:f>'Q1'!$C$57:$C$63</c:f>
              <c:numCache>
                <c:formatCode>0.0%</c:formatCode>
                <c:ptCount val="7"/>
                <c:pt idx="0">
                  <c:v>0.49389290757969412</c:v>
                </c:pt>
                <c:pt idx="1">
                  <c:v>0.12287491510440809</c:v>
                </c:pt>
                <c:pt idx="2">
                  <c:v>0.10813811839027175</c:v>
                </c:pt>
                <c:pt idx="3">
                  <c:v>8.0357046603637294E-2</c:v>
                </c:pt>
                <c:pt idx="4">
                  <c:v>3.6588652558726176E-2</c:v>
                </c:pt>
                <c:pt idx="5">
                  <c:v>7.6346740548290756E-2</c:v>
                </c:pt>
                <c:pt idx="6">
                  <c:v>8.1801619214971782E-2</c:v>
                </c:pt>
              </c:numCache>
            </c:numRef>
          </c:val>
          <c:extLst>
            <c:ext xmlns:c16="http://schemas.microsoft.com/office/drawing/2014/chart" uri="{C3380CC4-5D6E-409C-BE32-E72D297353CC}">
              <c16:uniqueId val="{00000001-D0C3-4A53-9CF9-D9AC1E6683C7}"/>
            </c:ext>
          </c:extLst>
        </c:ser>
        <c:dLbls>
          <c:dLblPos val="outEnd"/>
          <c:showLegendKey val="0"/>
          <c:showVal val="1"/>
          <c:showCatName val="0"/>
          <c:showSerName val="0"/>
          <c:showPercent val="0"/>
          <c:showBubbleSize val="0"/>
        </c:dLbls>
        <c:gapWidth val="219"/>
        <c:overlap val="-27"/>
        <c:axId val="35094559"/>
        <c:axId val="35089151"/>
      </c:barChart>
      <c:catAx>
        <c:axId val="35094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9151"/>
        <c:crosses val="autoZero"/>
        <c:auto val="1"/>
        <c:lblAlgn val="ctr"/>
        <c:lblOffset val="100"/>
        <c:noMultiLvlLbl val="0"/>
      </c:catAx>
      <c:valAx>
        <c:axId val="35089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CPI</a:t>
                </a:r>
                <a:r>
                  <a:rPr lang="en-IN" baseline="0"/>
                  <a:t> Contribution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4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CPI Contribution: Rural+Urban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Contribution Rural+Urban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'Q1'!$A$68:$A$74</c:f>
              <c:strCache>
                <c:ptCount val="7"/>
                <c:pt idx="0">
                  <c:v>Food Products</c:v>
                </c:pt>
                <c:pt idx="1">
                  <c:v>Clothing &amp; Misc</c:v>
                </c:pt>
                <c:pt idx="2">
                  <c:v>Housing &amp; Misc</c:v>
                </c:pt>
                <c:pt idx="3">
                  <c:v>Health and personal Care</c:v>
                </c:pt>
                <c:pt idx="4">
                  <c:v>Transport and communication</c:v>
                </c:pt>
                <c:pt idx="5">
                  <c:v>Education and Entertainment</c:v>
                </c:pt>
                <c:pt idx="6">
                  <c:v>Miscellaneuos</c:v>
                </c:pt>
              </c:strCache>
            </c:strRef>
          </c:cat>
          <c:val>
            <c:numRef>
              <c:f>'Q1'!$C$68:$C$74</c:f>
              <c:numCache>
                <c:formatCode>0.0%</c:formatCode>
                <c:ptCount val="7"/>
                <c:pt idx="0">
                  <c:v>0.49563853557923682</c:v>
                </c:pt>
                <c:pt idx="1">
                  <c:v>0.11885527672739772</c:v>
                </c:pt>
                <c:pt idx="2">
                  <c:v>0.11464420763148846</c:v>
                </c:pt>
                <c:pt idx="3">
                  <c:v>7.9688037126160183E-2</c:v>
                </c:pt>
                <c:pt idx="4">
                  <c:v>3.5407356479889997E-2</c:v>
                </c:pt>
                <c:pt idx="5">
                  <c:v>7.4832416638019914E-2</c:v>
                </c:pt>
                <c:pt idx="6">
                  <c:v>8.0934169817806795E-2</c:v>
                </c:pt>
              </c:numCache>
            </c:numRef>
          </c:val>
          <c:extLst>
            <c:ext xmlns:c16="http://schemas.microsoft.com/office/drawing/2014/chart" uri="{C3380CC4-5D6E-409C-BE32-E72D297353CC}">
              <c16:uniqueId val="{00000000-29D8-4346-9B79-8041570CB213}"/>
            </c:ext>
          </c:extLst>
        </c:ser>
        <c:dLbls>
          <c:dLblPos val="outEnd"/>
          <c:showLegendKey val="0"/>
          <c:showVal val="1"/>
          <c:showCatName val="0"/>
          <c:showSerName val="0"/>
          <c:showPercent val="0"/>
          <c:showBubbleSize val="0"/>
        </c:dLbls>
        <c:gapWidth val="219"/>
        <c:overlap val="-27"/>
        <c:axId val="36909359"/>
        <c:axId val="36912687"/>
      </c:barChart>
      <c:catAx>
        <c:axId val="36909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2687"/>
        <c:crosses val="autoZero"/>
        <c:auto val="1"/>
        <c:lblAlgn val="ctr"/>
        <c:lblOffset val="100"/>
        <c:noMultiLvlLbl val="0"/>
      </c:catAx>
      <c:valAx>
        <c:axId val="36912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CPI</a:t>
                </a:r>
                <a:r>
                  <a:rPr lang="en-US" baseline="0"/>
                  <a:t> Contribution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093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Contribution Urban Sector </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'Q1'!$A$79:$A$85</c:f>
              <c:strCache>
                <c:ptCount val="7"/>
                <c:pt idx="0">
                  <c:v>Food Products</c:v>
                </c:pt>
                <c:pt idx="1">
                  <c:v>Clothing &amp; Misc</c:v>
                </c:pt>
                <c:pt idx="2">
                  <c:v>Housing &amp; Misc</c:v>
                </c:pt>
                <c:pt idx="3">
                  <c:v>Health and personal Care</c:v>
                </c:pt>
                <c:pt idx="4">
                  <c:v>Transport and communication</c:v>
                </c:pt>
                <c:pt idx="5">
                  <c:v>Education and Entertainment</c:v>
                </c:pt>
                <c:pt idx="6">
                  <c:v>Miscellaneuos</c:v>
                </c:pt>
              </c:strCache>
            </c:strRef>
          </c:cat>
          <c:val>
            <c:numRef>
              <c:f>'Q1'!$C$79:$C$85</c:f>
              <c:numCache>
                <c:formatCode>0.0%</c:formatCode>
                <c:ptCount val="7"/>
                <c:pt idx="0">
                  <c:v>0.50315671529229233</c:v>
                </c:pt>
                <c:pt idx="1">
                  <c:v>0.11392186860307267</c:v>
                </c:pt>
                <c:pt idx="2">
                  <c:v>0.11400805878170181</c:v>
                </c:pt>
                <c:pt idx="3">
                  <c:v>7.9251869249499007E-2</c:v>
                </c:pt>
                <c:pt idx="4">
                  <c:v>3.4562261630287229E-2</c:v>
                </c:pt>
                <c:pt idx="5">
                  <c:v>7.4123553621064875E-2</c:v>
                </c:pt>
                <c:pt idx="6">
                  <c:v>8.0975672822081901E-2</c:v>
                </c:pt>
              </c:numCache>
            </c:numRef>
          </c:val>
          <c:extLst>
            <c:ext xmlns:c16="http://schemas.microsoft.com/office/drawing/2014/chart" uri="{C3380CC4-5D6E-409C-BE32-E72D297353CC}">
              <c16:uniqueId val="{00000002-769F-4FE3-B3F7-B78B04BFDDED}"/>
            </c:ext>
          </c:extLst>
        </c:ser>
        <c:dLbls>
          <c:dLblPos val="outEnd"/>
          <c:showLegendKey val="0"/>
          <c:showVal val="1"/>
          <c:showCatName val="0"/>
          <c:showSerName val="0"/>
          <c:showPercent val="0"/>
          <c:showBubbleSize val="0"/>
        </c:dLbls>
        <c:gapWidth val="219"/>
        <c:overlap val="-27"/>
        <c:axId val="36909359"/>
        <c:axId val="36912687"/>
      </c:barChart>
      <c:catAx>
        <c:axId val="36909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2687"/>
        <c:crosses val="autoZero"/>
        <c:auto val="1"/>
        <c:lblAlgn val="ctr"/>
        <c:lblOffset val="100"/>
        <c:noMultiLvlLbl val="0"/>
      </c:catAx>
      <c:valAx>
        <c:axId val="36912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CPI</a:t>
                </a:r>
                <a:r>
                  <a:rPr lang="en-IN" baseline="0"/>
                  <a:t> Contribution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093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CPI Contribution: Rural+Urban Sector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'Q1'!$A$68</c:f>
              <c:strCache>
                <c:ptCount val="1"/>
                <c:pt idx="0">
                  <c:v>Food Products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'Q1'!$C$68</c:f>
              <c:numCache>
                <c:formatCode>0.0%</c:formatCode>
                <c:ptCount val="1"/>
                <c:pt idx="0">
                  <c:v>0.49563853557923682</c:v>
                </c:pt>
              </c:numCache>
            </c:numRef>
          </c:val>
          <c:extLst>
            <c:ext xmlns:c16="http://schemas.microsoft.com/office/drawing/2014/chart" uri="{C3380CC4-5D6E-409C-BE32-E72D297353CC}">
              <c16:uniqueId val="{00000000-4345-4E9F-9E68-82531F91E98A}"/>
            </c:ext>
          </c:extLst>
        </c:ser>
        <c:ser>
          <c:idx val="1"/>
          <c:order val="1"/>
          <c:tx>
            <c:strRef>
              <c:f>'Q1'!$A$69</c:f>
              <c:strCache>
                <c:ptCount val="1"/>
                <c:pt idx="0">
                  <c:v>Clothing &amp; Misc</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'Q1'!$C$69</c:f>
              <c:numCache>
                <c:formatCode>0.0%</c:formatCode>
                <c:ptCount val="1"/>
                <c:pt idx="0">
                  <c:v>0.11885527672739772</c:v>
                </c:pt>
              </c:numCache>
            </c:numRef>
          </c:val>
          <c:extLst>
            <c:ext xmlns:c16="http://schemas.microsoft.com/office/drawing/2014/chart" uri="{C3380CC4-5D6E-409C-BE32-E72D297353CC}">
              <c16:uniqueId val="{00000001-4345-4E9F-9E68-82531F91E98A}"/>
            </c:ext>
          </c:extLst>
        </c:ser>
        <c:ser>
          <c:idx val="2"/>
          <c:order val="2"/>
          <c:tx>
            <c:strRef>
              <c:f>'Q1'!$A$70</c:f>
              <c:strCache>
                <c:ptCount val="1"/>
                <c:pt idx="0">
                  <c:v>Housing &amp; Misc</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'Q1'!$C$70</c:f>
              <c:numCache>
                <c:formatCode>0.0%</c:formatCode>
                <c:ptCount val="1"/>
                <c:pt idx="0">
                  <c:v>0.11464420763148846</c:v>
                </c:pt>
              </c:numCache>
            </c:numRef>
          </c:val>
          <c:extLst>
            <c:ext xmlns:c16="http://schemas.microsoft.com/office/drawing/2014/chart" uri="{C3380CC4-5D6E-409C-BE32-E72D297353CC}">
              <c16:uniqueId val="{00000002-4345-4E9F-9E68-82531F91E98A}"/>
            </c:ext>
          </c:extLst>
        </c:ser>
        <c:ser>
          <c:idx val="3"/>
          <c:order val="3"/>
          <c:tx>
            <c:strRef>
              <c:f>'Q1'!$A$71</c:f>
              <c:strCache>
                <c:ptCount val="1"/>
                <c:pt idx="0">
                  <c:v>Health and personal Care</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'Q1'!$C$71</c:f>
              <c:numCache>
                <c:formatCode>0.0%</c:formatCode>
                <c:ptCount val="1"/>
                <c:pt idx="0">
                  <c:v>7.9688037126160183E-2</c:v>
                </c:pt>
              </c:numCache>
            </c:numRef>
          </c:val>
          <c:extLst>
            <c:ext xmlns:c16="http://schemas.microsoft.com/office/drawing/2014/chart" uri="{C3380CC4-5D6E-409C-BE32-E72D297353CC}">
              <c16:uniqueId val="{00000003-4345-4E9F-9E68-82531F91E98A}"/>
            </c:ext>
          </c:extLst>
        </c:ser>
        <c:ser>
          <c:idx val="4"/>
          <c:order val="4"/>
          <c:tx>
            <c:strRef>
              <c:f>'Q1'!$A$72</c:f>
              <c:strCache>
                <c:ptCount val="1"/>
                <c:pt idx="0">
                  <c:v>Transport and communication</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'Q1'!$C$72</c:f>
              <c:numCache>
                <c:formatCode>0.0%</c:formatCode>
                <c:ptCount val="1"/>
                <c:pt idx="0">
                  <c:v>3.5407356479889997E-2</c:v>
                </c:pt>
              </c:numCache>
            </c:numRef>
          </c:val>
          <c:extLst>
            <c:ext xmlns:c16="http://schemas.microsoft.com/office/drawing/2014/chart" uri="{C3380CC4-5D6E-409C-BE32-E72D297353CC}">
              <c16:uniqueId val="{00000004-4345-4E9F-9E68-82531F91E98A}"/>
            </c:ext>
          </c:extLst>
        </c:ser>
        <c:ser>
          <c:idx val="5"/>
          <c:order val="5"/>
          <c:tx>
            <c:strRef>
              <c:f>'Q1'!$A$73</c:f>
              <c:strCache>
                <c:ptCount val="1"/>
                <c:pt idx="0">
                  <c:v>Education and Entertainment</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'Q1'!$C$73</c:f>
              <c:numCache>
                <c:formatCode>0.0%</c:formatCode>
                <c:ptCount val="1"/>
                <c:pt idx="0">
                  <c:v>7.4832416638019914E-2</c:v>
                </c:pt>
              </c:numCache>
            </c:numRef>
          </c:val>
          <c:extLst>
            <c:ext xmlns:c16="http://schemas.microsoft.com/office/drawing/2014/chart" uri="{C3380CC4-5D6E-409C-BE32-E72D297353CC}">
              <c16:uniqueId val="{00000005-4345-4E9F-9E68-82531F91E98A}"/>
            </c:ext>
          </c:extLst>
        </c:ser>
        <c:ser>
          <c:idx val="6"/>
          <c:order val="6"/>
          <c:tx>
            <c:strRef>
              <c:f>'Q1'!$A$74</c:f>
              <c:strCache>
                <c:ptCount val="1"/>
                <c:pt idx="0">
                  <c:v>Miscellaneuos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'Q1'!$C$74</c:f>
              <c:numCache>
                <c:formatCode>0.0%</c:formatCode>
                <c:ptCount val="1"/>
                <c:pt idx="0">
                  <c:v>8.0934169817806795E-2</c:v>
                </c:pt>
              </c:numCache>
            </c:numRef>
          </c:val>
          <c:extLst>
            <c:ext xmlns:c16="http://schemas.microsoft.com/office/drawing/2014/chart" uri="{C3380CC4-5D6E-409C-BE32-E72D297353CC}">
              <c16:uniqueId val="{00000006-4345-4E9F-9E68-82531F91E98A}"/>
            </c:ext>
          </c:extLst>
        </c:ser>
        <c:dLbls>
          <c:showLegendKey val="0"/>
          <c:showVal val="1"/>
          <c:showCatName val="0"/>
          <c:showSerName val="0"/>
          <c:showPercent val="0"/>
          <c:showBubbleSize val="0"/>
        </c:dLbls>
        <c:gapWidth val="50"/>
        <c:overlap val="100"/>
        <c:axId val="36909359"/>
        <c:axId val="36912687"/>
      </c:barChart>
      <c:catAx>
        <c:axId val="3690935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2687"/>
        <c:crosses val="autoZero"/>
        <c:auto val="1"/>
        <c:lblAlgn val="ctr"/>
        <c:lblOffset val="100"/>
        <c:noMultiLvlLbl val="0"/>
      </c:catAx>
      <c:valAx>
        <c:axId val="36912687"/>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CPI Contribution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0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CPI Contribution: Rural Sector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'Q1'!$A$57</c:f>
              <c:strCache>
                <c:ptCount val="1"/>
                <c:pt idx="0">
                  <c:v>Food Products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'Q1'!$C$57</c:f>
              <c:numCache>
                <c:formatCode>0.0%</c:formatCode>
                <c:ptCount val="1"/>
                <c:pt idx="0">
                  <c:v>0.49389290757969412</c:v>
                </c:pt>
              </c:numCache>
            </c:numRef>
          </c:val>
          <c:extLst>
            <c:ext xmlns:c16="http://schemas.microsoft.com/office/drawing/2014/chart" uri="{C3380CC4-5D6E-409C-BE32-E72D297353CC}">
              <c16:uniqueId val="{00000000-237A-479A-831D-4DF6A903DD50}"/>
            </c:ext>
          </c:extLst>
        </c:ser>
        <c:ser>
          <c:idx val="1"/>
          <c:order val="1"/>
          <c:tx>
            <c:strRef>
              <c:f>'Q1'!$A$58</c:f>
              <c:strCache>
                <c:ptCount val="1"/>
                <c:pt idx="0">
                  <c:v>Clothing &amp; Misc</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'Q1'!$C$58</c:f>
              <c:numCache>
                <c:formatCode>0.0%</c:formatCode>
                <c:ptCount val="1"/>
                <c:pt idx="0">
                  <c:v>0.12287491510440809</c:v>
                </c:pt>
              </c:numCache>
            </c:numRef>
          </c:val>
          <c:extLst>
            <c:ext xmlns:c16="http://schemas.microsoft.com/office/drawing/2014/chart" uri="{C3380CC4-5D6E-409C-BE32-E72D297353CC}">
              <c16:uniqueId val="{00000001-237A-479A-831D-4DF6A903DD50}"/>
            </c:ext>
          </c:extLst>
        </c:ser>
        <c:ser>
          <c:idx val="2"/>
          <c:order val="2"/>
          <c:tx>
            <c:strRef>
              <c:f>'Q1'!$A$59</c:f>
              <c:strCache>
                <c:ptCount val="1"/>
                <c:pt idx="0">
                  <c:v>Housing &amp; Misc</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'Q1'!$C$59</c:f>
              <c:numCache>
                <c:formatCode>0.0%</c:formatCode>
                <c:ptCount val="1"/>
                <c:pt idx="0">
                  <c:v>0.10813811839027175</c:v>
                </c:pt>
              </c:numCache>
            </c:numRef>
          </c:val>
          <c:extLst>
            <c:ext xmlns:c16="http://schemas.microsoft.com/office/drawing/2014/chart" uri="{C3380CC4-5D6E-409C-BE32-E72D297353CC}">
              <c16:uniqueId val="{00000002-237A-479A-831D-4DF6A903DD50}"/>
            </c:ext>
          </c:extLst>
        </c:ser>
        <c:ser>
          <c:idx val="3"/>
          <c:order val="3"/>
          <c:tx>
            <c:strRef>
              <c:f>'Q1'!$A$60</c:f>
              <c:strCache>
                <c:ptCount val="1"/>
                <c:pt idx="0">
                  <c:v>Health and personal Care</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'Q1'!$C$60</c:f>
              <c:numCache>
                <c:formatCode>0.0%</c:formatCode>
                <c:ptCount val="1"/>
                <c:pt idx="0">
                  <c:v>8.0357046603637294E-2</c:v>
                </c:pt>
              </c:numCache>
            </c:numRef>
          </c:val>
          <c:extLst>
            <c:ext xmlns:c16="http://schemas.microsoft.com/office/drawing/2014/chart" uri="{C3380CC4-5D6E-409C-BE32-E72D297353CC}">
              <c16:uniqueId val="{00000003-237A-479A-831D-4DF6A903DD50}"/>
            </c:ext>
          </c:extLst>
        </c:ser>
        <c:ser>
          <c:idx val="4"/>
          <c:order val="4"/>
          <c:tx>
            <c:strRef>
              <c:f>'Q1'!$A$61</c:f>
              <c:strCache>
                <c:ptCount val="1"/>
                <c:pt idx="0">
                  <c:v>Transport and communication</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'Q1'!$C$61</c:f>
              <c:numCache>
                <c:formatCode>0.0%</c:formatCode>
                <c:ptCount val="1"/>
                <c:pt idx="0">
                  <c:v>3.6588652558726176E-2</c:v>
                </c:pt>
              </c:numCache>
            </c:numRef>
          </c:val>
          <c:extLst>
            <c:ext xmlns:c16="http://schemas.microsoft.com/office/drawing/2014/chart" uri="{C3380CC4-5D6E-409C-BE32-E72D297353CC}">
              <c16:uniqueId val="{00000004-237A-479A-831D-4DF6A903DD50}"/>
            </c:ext>
          </c:extLst>
        </c:ser>
        <c:ser>
          <c:idx val="5"/>
          <c:order val="5"/>
          <c:tx>
            <c:strRef>
              <c:f>'Q1'!$A$62</c:f>
              <c:strCache>
                <c:ptCount val="1"/>
                <c:pt idx="0">
                  <c:v>Education and Entertainment</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'Q1'!$C$62</c:f>
              <c:numCache>
                <c:formatCode>0.0%</c:formatCode>
                <c:ptCount val="1"/>
                <c:pt idx="0">
                  <c:v>7.6346740548290756E-2</c:v>
                </c:pt>
              </c:numCache>
            </c:numRef>
          </c:val>
          <c:extLst>
            <c:ext xmlns:c16="http://schemas.microsoft.com/office/drawing/2014/chart" uri="{C3380CC4-5D6E-409C-BE32-E72D297353CC}">
              <c16:uniqueId val="{00000005-237A-479A-831D-4DF6A903DD50}"/>
            </c:ext>
          </c:extLst>
        </c:ser>
        <c:ser>
          <c:idx val="6"/>
          <c:order val="6"/>
          <c:tx>
            <c:strRef>
              <c:f>'Q1'!$A$63</c:f>
              <c:strCache>
                <c:ptCount val="1"/>
                <c:pt idx="0">
                  <c:v>Miscellaneuos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'Q1'!$C$63</c:f>
              <c:numCache>
                <c:formatCode>0.0%</c:formatCode>
                <c:ptCount val="1"/>
                <c:pt idx="0">
                  <c:v>8.1801619214971782E-2</c:v>
                </c:pt>
              </c:numCache>
            </c:numRef>
          </c:val>
          <c:extLst>
            <c:ext xmlns:c16="http://schemas.microsoft.com/office/drawing/2014/chart" uri="{C3380CC4-5D6E-409C-BE32-E72D297353CC}">
              <c16:uniqueId val="{00000006-237A-479A-831D-4DF6A903DD50}"/>
            </c:ext>
          </c:extLst>
        </c:ser>
        <c:dLbls>
          <c:dLblPos val="ctr"/>
          <c:showLegendKey val="0"/>
          <c:showVal val="1"/>
          <c:showCatName val="0"/>
          <c:showSerName val="0"/>
          <c:showPercent val="0"/>
          <c:showBubbleSize val="0"/>
        </c:dLbls>
        <c:gapWidth val="50"/>
        <c:overlap val="100"/>
        <c:axId val="1915216239"/>
        <c:axId val="1915201263"/>
      </c:barChart>
      <c:catAx>
        <c:axId val="191521623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201263"/>
        <c:crosses val="autoZero"/>
        <c:auto val="1"/>
        <c:lblAlgn val="ctr"/>
        <c:lblOffset val="100"/>
        <c:noMultiLvlLbl val="0"/>
      </c:catAx>
      <c:valAx>
        <c:axId val="191520126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Contribution</a:t>
                </a:r>
                <a:r>
                  <a:rPr lang="en-IN" baseline="0"/>
                  <a:t> (%)</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21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CPI Contriburion: urban sector</a:t>
            </a:r>
            <a:r>
              <a:rPr lang="en-IN" baseline="0"/>
              <a:t> </a:t>
            </a: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'Q1'!$A$79</c:f>
              <c:strCache>
                <c:ptCount val="1"/>
                <c:pt idx="0">
                  <c:v>Food Products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'Q1'!$C$79</c:f>
              <c:numCache>
                <c:formatCode>0.0%</c:formatCode>
                <c:ptCount val="1"/>
                <c:pt idx="0">
                  <c:v>0.50315671529229233</c:v>
                </c:pt>
              </c:numCache>
            </c:numRef>
          </c:val>
          <c:extLst>
            <c:ext xmlns:c16="http://schemas.microsoft.com/office/drawing/2014/chart" uri="{C3380CC4-5D6E-409C-BE32-E72D297353CC}">
              <c16:uniqueId val="{00000000-BA4E-473F-8119-4EEC47C13ECE}"/>
            </c:ext>
          </c:extLst>
        </c:ser>
        <c:ser>
          <c:idx val="1"/>
          <c:order val="1"/>
          <c:tx>
            <c:strRef>
              <c:f>'Q1'!$A$80</c:f>
              <c:strCache>
                <c:ptCount val="1"/>
                <c:pt idx="0">
                  <c:v>Clothing &amp; Misc</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'Q1'!$C$80</c:f>
              <c:numCache>
                <c:formatCode>0.0%</c:formatCode>
                <c:ptCount val="1"/>
                <c:pt idx="0">
                  <c:v>0.11392186860307267</c:v>
                </c:pt>
              </c:numCache>
            </c:numRef>
          </c:val>
          <c:extLst>
            <c:ext xmlns:c16="http://schemas.microsoft.com/office/drawing/2014/chart" uri="{C3380CC4-5D6E-409C-BE32-E72D297353CC}">
              <c16:uniqueId val="{00000001-BA4E-473F-8119-4EEC47C13ECE}"/>
            </c:ext>
          </c:extLst>
        </c:ser>
        <c:ser>
          <c:idx val="2"/>
          <c:order val="2"/>
          <c:tx>
            <c:strRef>
              <c:f>'Q1'!$A$81</c:f>
              <c:strCache>
                <c:ptCount val="1"/>
                <c:pt idx="0">
                  <c:v>Housing &amp; Misc</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'Q1'!$C$81</c:f>
              <c:numCache>
                <c:formatCode>0.0%</c:formatCode>
                <c:ptCount val="1"/>
                <c:pt idx="0">
                  <c:v>0.11400805878170181</c:v>
                </c:pt>
              </c:numCache>
            </c:numRef>
          </c:val>
          <c:extLst>
            <c:ext xmlns:c16="http://schemas.microsoft.com/office/drawing/2014/chart" uri="{C3380CC4-5D6E-409C-BE32-E72D297353CC}">
              <c16:uniqueId val="{00000002-BA4E-473F-8119-4EEC47C13ECE}"/>
            </c:ext>
          </c:extLst>
        </c:ser>
        <c:ser>
          <c:idx val="3"/>
          <c:order val="3"/>
          <c:tx>
            <c:strRef>
              <c:f>'Q1'!$A$82</c:f>
              <c:strCache>
                <c:ptCount val="1"/>
                <c:pt idx="0">
                  <c:v>Health and personal Care</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'Q1'!$C$82</c:f>
              <c:numCache>
                <c:formatCode>0.0%</c:formatCode>
                <c:ptCount val="1"/>
                <c:pt idx="0">
                  <c:v>7.9251869249499007E-2</c:v>
                </c:pt>
              </c:numCache>
            </c:numRef>
          </c:val>
          <c:extLst>
            <c:ext xmlns:c16="http://schemas.microsoft.com/office/drawing/2014/chart" uri="{C3380CC4-5D6E-409C-BE32-E72D297353CC}">
              <c16:uniqueId val="{00000003-BA4E-473F-8119-4EEC47C13ECE}"/>
            </c:ext>
          </c:extLst>
        </c:ser>
        <c:ser>
          <c:idx val="4"/>
          <c:order val="4"/>
          <c:tx>
            <c:strRef>
              <c:f>'Q1'!$A$83</c:f>
              <c:strCache>
                <c:ptCount val="1"/>
                <c:pt idx="0">
                  <c:v>Transport and communication</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'Q1'!$C$83</c:f>
              <c:numCache>
                <c:formatCode>0.0%</c:formatCode>
                <c:ptCount val="1"/>
                <c:pt idx="0">
                  <c:v>3.4562261630287229E-2</c:v>
                </c:pt>
              </c:numCache>
            </c:numRef>
          </c:val>
          <c:extLst>
            <c:ext xmlns:c16="http://schemas.microsoft.com/office/drawing/2014/chart" uri="{C3380CC4-5D6E-409C-BE32-E72D297353CC}">
              <c16:uniqueId val="{00000004-BA4E-473F-8119-4EEC47C13ECE}"/>
            </c:ext>
          </c:extLst>
        </c:ser>
        <c:ser>
          <c:idx val="5"/>
          <c:order val="5"/>
          <c:tx>
            <c:strRef>
              <c:f>'Q1'!$A$84</c:f>
              <c:strCache>
                <c:ptCount val="1"/>
                <c:pt idx="0">
                  <c:v>Education and Entertainment</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'Q1'!$C$84</c:f>
              <c:numCache>
                <c:formatCode>0.0%</c:formatCode>
                <c:ptCount val="1"/>
                <c:pt idx="0">
                  <c:v>7.4123553621064875E-2</c:v>
                </c:pt>
              </c:numCache>
            </c:numRef>
          </c:val>
          <c:extLst>
            <c:ext xmlns:c16="http://schemas.microsoft.com/office/drawing/2014/chart" uri="{C3380CC4-5D6E-409C-BE32-E72D297353CC}">
              <c16:uniqueId val="{00000005-BA4E-473F-8119-4EEC47C13ECE}"/>
            </c:ext>
          </c:extLst>
        </c:ser>
        <c:ser>
          <c:idx val="6"/>
          <c:order val="6"/>
          <c:tx>
            <c:strRef>
              <c:f>'Q1'!$A$85</c:f>
              <c:strCache>
                <c:ptCount val="1"/>
                <c:pt idx="0">
                  <c:v>Miscellaneuos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'Q1'!$C$85</c:f>
              <c:numCache>
                <c:formatCode>0.0%</c:formatCode>
                <c:ptCount val="1"/>
                <c:pt idx="0">
                  <c:v>8.0975672822081901E-2</c:v>
                </c:pt>
              </c:numCache>
            </c:numRef>
          </c:val>
          <c:extLst>
            <c:ext xmlns:c16="http://schemas.microsoft.com/office/drawing/2014/chart" uri="{C3380CC4-5D6E-409C-BE32-E72D297353CC}">
              <c16:uniqueId val="{00000006-BA4E-473F-8119-4EEC47C13ECE}"/>
            </c:ext>
          </c:extLst>
        </c:ser>
        <c:dLbls>
          <c:dLblPos val="ctr"/>
          <c:showLegendKey val="0"/>
          <c:showVal val="1"/>
          <c:showCatName val="0"/>
          <c:showSerName val="0"/>
          <c:showPercent val="0"/>
          <c:showBubbleSize val="0"/>
        </c:dLbls>
        <c:gapWidth val="50"/>
        <c:overlap val="100"/>
        <c:axId val="1906272751"/>
        <c:axId val="1906273999"/>
      </c:barChart>
      <c:catAx>
        <c:axId val="190627275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273999"/>
        <c:crosses val="autoZero"/>
        <c:auto val="1"/>
        <c:lblAlgn val="ctr"/>
        <c:lblOffset val="100"/>
        <c:noMultiLvlLbl val="0"/>
      </c:catAx>
      <c:valAx>
        <c:axId val="1906273999"/>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Contribution</a:t>
                </a:r>
                <a:r>
                  <a:rPr lang="en-IN" baseline="0"/>
                  <a:t> (%)</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27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YoY CPI Inflation (Rural</a:t>
            </a:r>
            <a:r>
              <a:rPr lang="en-US" baseline="0"/>
              <a:t>+URBAN)- 2017 Onwards</a:t>
            </a:r>
            <a:r>
              <a:rPr lang="en-US"/>
              <a:t>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v>YoY Inflation Rate (%)</c:v>
          </c:tx>
          <c:spPr>
            <a:ln w="34925" cap="rnd">
              <a:solidFill>
                <a:schemeClr val="lt1"/>
              </a:solidFill>
              <a:round/>
            </a:ln>
            <a:effectLst>
              <a:outerShdw dist="25400" dir="2700000" algn="tl" rotWithShape="0">
                <a:schemeClr val="accent1"/>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numRef>
              <c:f>'Q2'!$A$6:$A$11</c:f>
              <c:numCache>
                <c:formatCode>General</c:formatCode>
                <c:ptCount val="6"/>
                <c:pt idx="0">
                  <c:v>2018</c:v>
                </c:pt>
                <c:pt idx="1">
                  <c:v>2019</c:v>
                </c:pt>
                <c:pt idx="2">
                  <c:v>2020</c:v>
                </c:pt>
                <c:pt idx="3">
                  <c:v>2021</c:v>
                </c:pt>
                <c:pt idx="4">
                  <c:v>2022</c:v>
                </c:pt>
                <c:pt idx="5">
                  <c:v>2023</c:v>
                </c:pt>
              </c:numCache>
            </c:numRef>
          </c:cat>
          <c:val>
            <c:numRef>
              <c:f>'Q2'!$C$6:$C$11</c:f>
              <c:numCache>
                <c:formatCode>0.00</c:formatCode>
                <c:ptCount val="6"/>
                <c:pt idx="0">
                  <c:v>3.9513108614232255</c:v>
                </c:pt>
                <c:pt idx="1">
                  <c:v>3.8961038961038952</c:v>
                </c:pt>
                <c:pt idx="2">
                  <c:v>6.3795712484237193</c:v>
                </c:pt>
                <c:pt idx="3">
                  <c:v>5.2668752988220868</c:v>
                </c:pt>
                <c:pt idx="4">
                  <c:v>6.6219354838709474</c:v>
                </c:pt>
                <c:pt idx="5">
                  <c:v>3.1774615161196791</c:v>
                </c:pt>
              </c:numCache>
            </c:numRef>
          </c:val>
          <c:smooth val="0"/>
          <c:extLst>
            <c:ext xmlns:c16="http://schemas.microsoft.com/office/drawing/2014/chart" uri="{C3380CC4-5D6E-409C-BE32-E72D297353CC}">
              <c16:uniqueId val="{00000003-1A85-410E-A158-FD8178F4BC84}"/>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745068832"/>
        <c:axId val="1745069312"/>
      </c:lineChart>
      <c:catAx>
        <c:axId val="17450688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Year</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45069312"/>
        <c:crosses val="autoZero"/>
        <c:auto val="1"/>
        <c:lblAlgn val="ctr"/>
        <c:lblOffset val="100"/>
        <c:noMultiLvlLbl val="0"/>
      </c:catAx>
      <c:valAx>
        <c:axId val="174506931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YoY Inflation Rate</a:t>
                </a:r>
                <a:r>
                  <a:rPr lang="en-US" baseline="0"/>
                  <a:t> (%)</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45068832"/>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YoY CPI Inflation (Rural)- 2017 Onwards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1"/>
          <c:order val="0"/>
          <c:tx>
            <c:v>YoY Inflation Rate</c:v>
          </c:tx>
          <c:spPr>
            <a:ln w="34925" cap="rnd">
              <a:solidFill>
                <a:schemeClr val="lt1"/>
              </a:solidFill>
              <a:round/>
            </a:ln>
            <a:effectLst>
              <a:outerShdw dist="25400" dir="2700000" algn="tl" rotWithShape="0">
                <a:schemeClr val="accent1">
                  <a:tint val="77000"/>
                </a:schemeClr>
              </a:outerShdw>
            </a:effectLst>
          </c:spPr>
          <c:marker>
            <c:symbol val="none"/>
          </c:marker>
          <c:dLbls>
            <c:dLbl>
              <c:idx val="0"/>
              <c:layout>
                <c:manualLayout>
                  <c:x val="-4.897134305813905E-2"/>
                  <c:y val="-5.03663003663004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B3-4607-A4FB-01DE4B80611C}"/>
                </c:ext>
              </c:extLst>
            </c:dLbl>
            <c:dLbl>
              <c:idx val="1"/>
              <c:layout>
                <c:manualLayout>
                  <c:x val="-2.5288690601063854E-2"/>
                  <c:y val="3.66300366300366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8B3-4607-A4FB-01DE4B80611C}"/>
                </c:ext>
              </c:extLst>
            </c:dLbl>
            <c:dLbl>
              <c:idx val="2"/>
              <c:layout>
                <c:manualLayout>
                  <c:x val="-4.8971343058139098E-2"/>
                  <c:y val="-4.12087912087912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B3-4607-A4FB-01DE4B80611C}"/>
                </c:ext>
              </c:extLst>
            </c:dLbl>
            <c:dLbl>
              <c:idx val="3"/>
              <c:layout>
                <c:manualLayout>
                  <c:x val="-5.7852337729542243E-2"/>
                  <c:y val="4.12087912087912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B3-4607-A4FB-01DE4B80611C}"/>
                </c:ext>
              </c:extLst>
            </c:dLbl>
            <c:dLbl>
              <c:idx val="4"/>
              <c:layout>
                <c:manualLayout>
                  <c:x val="-4.6011011501004756E-2"/>
                  <c:y val="-2.74725274725274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8B3-4607-A4FB-01DE4B80611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numRef>
              <c:f>'Q2'!$A$18:$A$23</c:f>
              <c:numCache>
                <c:formatCode>General</c:formatCode>
                <c:ptCount val="6"/>
                <c:pt idx="0">
                  <c:v>2018</c:v>
                </c:pt>
                <c:pt idx="1">
                  <c:v>2019</c:v>
                </c:pt>
                <c:pt idx="2">
                  <c:v>2020</c:v>
                </c:pt>
                <c:pt idx="3">
                  <c:v>2021</c:v>
                </c:pt>
                <c:pt idx="4">
                  <c:v>2022</c:v>
                </c:pt>
                <c:pt idx="5">
                  <c:v>2023</c:v>
                </c:pt>
              </c:numCache>
            </c:numRef>
          </c:cat>
          <c:val>
            <c:numRef>
              <c:f>'Q2'!$C$18:$C$23</c:f>
              <c:numCache>
                <c:formatCode>0.00</c:formatCode>
                <c:ptCount val="6"/>
                <c:pt idx="0">
                  <c:v>3.7601376259523609</c:v>
                </c:pt>
                <c:pt idx="1">
                  <c:v>3.1609319150768624</c:v>
                </c:pt>
                <c:pt idx="2">
                  <c:v>6.4596117720726332</c:v>
                </c:pt>
                <c:pt idx="3">
                  <c:v>4.8352311939268438</c:v>
                </c:pt>
                <c:pt idx="4">
                  <c:v>6.8452993211273423</c:v>
                </c:pt>
                <c:pt idx="5">
                  <c:v>3.0931407942238045</c:v>
                </c:pt>
              </c:numCache>
            </c:numRef>
          </c:val>
          <c:smooth val="0"/>
          <c:extLst>
            <c:ext xmlns:c16="http://schemas.microsoft.com/office/drawing/2014/chart" uri="{C3380CC4-5D6E-409C-BE32-E72D297353CC}">
              <c16:uniqueId val="{00000001-E8B3-4607-A4FB-01DE4B80611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745068832"/>
        <c:axId val="1745069312"/>
      </c:lineChart>
      <c:catAx>
        <c:axId val="17450688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Year</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45069312"/>
        <c:crosses val="autoZero"/>
        <c:auto val="1"/>
        <c:lblAlgn val="ctr"/>
        <c:lblOffset val="100"/>
        <c:noMultiLvlLbl val="0"/>
      </c:catAx>
      <c:valAx>
        <c:axId val="174506931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YoY Inflation Rate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45068832"/>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YoY Inflation Rate (URban)- 2017 Onwards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v>YoY Inflation Rate</c:v>
          </c:tx>
          <c:spPr>
            <a:ln w="34925" cap="rnd">
              <a:solidFill>
                <a:schemeClr val="lt1"/>
              </a:solidFill>
              <a:round/>
            </a:ln>
            <a:effectLst>
              <a:outerShdw dist="25400" dir="2700000" algn="tl" rotWithShape="0">
                <a:schemeClr val="accent1"/>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numRef>
              <c:f>'Q2'!$A$33:$A$38</c:f>
              <c:numCache>
                <c:formatCode>General</c:formatCode>
                <c:ptCount val="6"/>
                <c:pt idx="0">
                  <c:v>2018</c:v>
                </c:pt>
                <c:pt idx="1">
                  <c:v>2019</c:v>
                </c:pt>
                <c:pt idx="2">
                  <c:v>2020</c:v>
                </c:pt>
                <c:pt idx="3">
                  <c:v>2021</c:v>
                </c:pt>
                <c:pt idx="4">
                  <c:v>2022</c:v>
                </c:pt>
                <c:pt idx="5">
                  <c:v>2023</c:v>
                </c:pt>
              </c:numCache>
            </c:numRef>
          </c:cat>
          <c:val>
            <c:numRef>
              <c:f>'Q2'!$C$33:$C$38</c:f>
              <c:numCache>
                <c:formatCode>0.00</c:formatCode>
                <c:ptCount val="6"/>
                <c:pt idx="0">
                  <c:v>4.1785918717801902</c:v>
                </c:pt>
                <c:pt idx="1">
                  <c:v>4.7752247752247836</c:v>
                </c:pt>
                <c:pt idx="2">
                  <c:v>6.3151538265954734</c:v>
                </c:pt>
                <c:pt idx="3">
                  <c:v>5.7272826920968658</c:v>
                </c:pt>
                <c:pt idx="4">
                  <c:v>6.3397439220361811</c:v>
                </c:pt>
                <c:pt idx="5">
                  <c:v>3.3167592863410458</c:v>
                </c:pt>
              </c:numCache>
            </c:numRef>
          </c:val>
          <c:smooth val="0"/>
          <c:extLst>
            <c:ext xmlns:c16="http://schemas.microsoft.com/office/drawing/2014/chart" uri="{C3380CC4-5D6E-409C-BE32-E72D297353CC}">
              <c16:uniqueId val="{00000001-2374-4596-A962-3D7C3FF2391A}"/>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929768496"/>
        <c:axId val="929769328"/>
      </c:lineChart>
      <c:catAx>
        <c:axId val="9297684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29769328"/>
        <c:crosses val="autoZero"/>
        <c:auto val="1"/>
        <c:lblAlgn val="ctr"/>
        <c:lblOffset val="100"/>
        <c:noMultiLvlLbl val="0"/>
      </c:catAx>
      <c:valAx>
        <c:axId val="92976932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YoY</a:t>
                </a:r>
                <a:r>
                  <a:rPr lang="en-IN" baseline="0"/>
                  <a:t> Inflation Rate (%)</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29768496"/>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MOM Inflation</a:t>
            </a:r>
            <a:r>
              <a:rPr lang="en-US" baseline="0"/>
              <a:t> around mar 2020 (sep 2019- Sep 2020)</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Food Products</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dLbl>
              <c:idx val="9"/>
              <c:layout>
                <c:manualLayout>
                  <c:x val="-2.3869367650629573E-2"/>
                  <c:y val="5.10849026803815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9BF-44AD-9DEB-D2D41B545A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'Q4'!$D$127:$D$139</c:f>
              <c:numCache>
                <c:formatCode>[$-14009]yyyy/mm/dd;@</c:formatCode>
                <c:ptCount val="13"/>
                <c:pt idx="0">
                  <c:v>43709</c:v>
                </c:pt>
                <c:pt idx="1">
                  <c:v>43739</c:v>
                </c:pt>
                <c:pt idx="2">
                  <c:v>43770</c:v>
                </c:pt>
                <c:pt idx="3">
                  <c:v>43800</c:v>
                </c:pt>
                <c:pt idx="4">
                  <c:v>43831</c:v>
                </c:pt>
                <c:pt idx="5">
                  <c:v>43862</c:v>
                </c:pt>
                <c:pt idx="6">
                  <c:v>43891</c:v>
                </c:pt>
                <c:pt idx="7">
                  <c:v>43922</c:v>
                </c:pt>
                <c:pt idx="8">
                  <c:v>43952</c:v>
                </c:pt>
                <c:pt idx="9">
                  <c:v>43983</c:v>
                </c:pt>
                <c:pt idx="10">
                  <c:v>44013</c:v>
                </c:pt>
                <c:pt idx="11">
                  <c:v>44044</c:v>
                </c:pt>
                <c:pt idx="12">
                  <c:v>44075</c:v>
                </c:pt>
              </c:numCache>
            </c:numRef>
          </c:cat>
          <c:val>
            <c:numRef>
              <c:f>'Q4'!$P$22:$P$34</c:f>
              <c:numCache>
                <c:formatCode>0.000</c:formatCode>
                <c:ptCount val="13"/>
                <c:pt idx="0">
                  <c:v>0.69547938400396692</c:v>
                </c:pt>
                <c:pt idx="1">
                  <c:v>1.7548805412643662</c:v>
                </c:pt>
                <c:pt idx="2">
                  <c:v>1.5514614212494868</c:v>
                </c:pt>
                <c:pt idx="3">
                  <c:v>2.1211294502796436</c:v>
                </c:pt>
                <c:pt idx="4">
                  <c:v>-0.34061310358646846</c:v>
                </c:pt>
                <c:pt idx="5">
                  <c:v>-1.7893043827905024</c:v>
                </c:pt>
                <c:pt idx="6">
                  <c:v>-1.0440122824974418</c:v>
                </c:pt>
                <c:pt idx="7">
                  <c:v>2.2464334421305758</c:v>
                </c:pt>
                <c:pt idx="8">
                  <c:v>0</c:v>
                </c:pt>
                <c:pt idx="9">
                  <c:v>0</c:v>
                </c:pt>
                <c:pt idx="10">
                  <c:v>0</c:v>
                </c:pt>
                <c:pt idx="11">
                  <c:v>1.5678750992325852</c:v>
                </c:pt>
                <c:pt idx="12">
                  <c:v>0.56015111053213396</c:v>
                </c:pt>
              </c:numCache>
            </c:numRef>
          </c:val>
          <c:smooth val="0"/>
          <c:extLst>
            <c:ext xmlns:c16="http://schemas.microsoft.com/office/drawing/2014/chart" uri="{C3380CC4-5D6E-409C-BE32-E72D297353CC}">
              <c16:uniqueId val="{00000001-F9BF-44AD-9DEB-D2D41B545ADF}"/>
            </c:ext>
          </c:extLst>
        </c:ser>
        <c:ser>
          <c:idx val="1"/>
          <c:order val="1"/>
          <c:tx>
            <c:v>Health</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dLbl>
              <c:idx val="8"/>
              <c:layout>
                <c:manualLayout>
                  <c:x val="-1.171077734225953E-2"/>
                  <c:y val="3.64970106307827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BF-44AD-9DEB-D2D41B545ADF}"/>
                </c:ext>
              </c:extLst>
            </c:dLbl>
            <c:dLbl>
              <c:idx val="9"/>
              <c:layout>
                <c:manualLayout>
                  <c:x val="-2.1989778810688313E-2"/>
                  <c:y val="-0.113028882877605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BF-44AD-9DEB-D2D41B545ADF}"/>
                </c:ext>
              </c:extLst>
            </c:dLbl>
            <c:dLbl>
              <c:idx val="10"/>
              <c:layout>
                <c:manualLayout>
                  <c:x val="-1.4647634904667861E-2"/>
                  <c:y val="5.83788487051810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9BF-44AD-9DEB-D2D41B545A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'Q4'!$D$127:$D$139</c:f>
              <c:numCache>
                <c:formatCode>[$-14009]yyyy/mm/dd;@</c:formatCode>
                <c:ptCount val="13"/>
                <c:pt idx="0">
                  <c:v>43709</c:v>
                </c:pt>
                <c:pt idx="1">
                  <c:v>43739</c:v>
                </c:pt>
                <c:pt idx="2">
                  <c:v>43770</c:v>
                </c:pt>
                <c:pt idx="3">
                  <c:v>43800</c:v>
                </c:pt>
                <c:pt idx="4">
                  <c:v>43831</c:v>
                </c:pt>
                <c:pt idx="5">
                  <c:v>43862</c:v>
                </c:pt>
                <c:pt idx="6">
                  <c:v>43891</c:v>
                </c:pt>
                <c:pt idx="7">
                  <c:v>43922</c:v>
                </c:pt>
                <c:pt idx="8">
                  <c:v>43952</c:v>
                </c:pt>
                <c:pt idx="9">
                  <c:v>43983</c:v>
                </c:pt>
                <c:pt idx="10">
                  <c:v>44013</c:v>
                </c:pt>
                <c:pt idx="11">
                  <c:v>44044</c:v>
                </c:pt>
                <c:pt idx="12">
                  <c:v>44075</c:v>
                </c:pt>
              </c:numCache>
            </c:numRef>
          </c:cat>
          <c:val>
            <c:numRef>
              <c:f>'Q4'!$F$127:$F$139</c:f>
              <c:numCache>
                <c:formatCode>0.00</c:formatCode>
                <c:ptCount val="13"/>
                <c:pt idx="0">
                  <c:v>0.33670033670033667</c:v>
                </c:pt>
                <c:pt idx="1">
                  <c:v>0.26845637583892995</c:v>
                </c:pt>
                <c:pt idx="2">
                  <c:v>0.33467202141900937</c:v>
                </c:pt>
                <c:pt idx="3">
                  <c:v>0.33355570380253502</c:v>
                </c:pt>
                <c:pt idx="4">
                  <c:v>0.53191489361700994</c:v>
                </c:pt>
                <c:pt idx="5">
                  <c:v>0.3306878306878307</c:v>
                </c:pt>
                <c:pt idx="6">
                  <c:v>0.39551746868821541</c:v>
                </c:pt>
                <c:pt idx="7">
                  <c:v>-1.0505581089954186</c:v>
                </c:pt>
                <c:pt idx="8">
                  <c:v>0</c:v>
                </c:pt>
                <c:pt idx="9">
                  <c:v>0</c:v>
                </c:pt>
                <c:pt idx="10">
                  <c:v>0</c:v>
                </c:pt>
                <c:pt idx="11">
                  <c:v>0.38860103626942638</c:v>
                </c:pt>
                <c:pt idx="12">
                  <c:v>0.38709677419354471</c:v>
                </c:pt>
              </c:numCache>
            </c:numRef>
          </c:val>
          <c:smooth val="0"/>
          <c:extLst>
            <c:ext xmlns:c16="http://schemas.microsoft.com/office/drawing/2014/chart" uri="{C3380CC4-5D6E-409C-BE32-E72D297353CC}">
              <c16:uniqueId val="{00000005-F9BF-44AD-9DEB-D2D41B545ADF}"/>
            </c:ext>
          </c:extLst>
        </c:ser>
        <c:ser>
          <c:idx val="2"/>
          <c:order val="2"/>
          <c:tx>
            <c:v>Mar-20</c:v>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'Q4'!$D$127:$D$139</c:f>
              <c:numCache>
                <c:formatCode>[$-14009]yyyy/mm/dd;@</c:formatCode>
                <c:ptCount val="13"/>
                <c:pt idx="0">
                  <c:v>43709</c:v>
                </c:pt>
                <c:pt idx="1">
                  <c:v>43739</c:v>
                </c:pt>
                <c:pt idx="2">
                  <c:v>43770</c:v>
                </c:pt>
                <c:pt idx="3">
                  <c:v>43800</c:v>
                </c:pt>
                <c:pt idx="4">
                  <c:v>43831</c:v>
                </c:pt>
                <c:pt idx="5">
                  <c:v>43862</c:v>
                </c:pt>
                <c:pt idx="6">
                  <c:v>43891</c:v>
                </c:pt>
                <c:pt idx="7">
                  <c:v>43922</c:v>
                </c:pt>
                <c:pt idx="8">
                  <c:v>43952</c:v>
                </c:pt>
                <c:pt idx="9">
                  <c:v>43983</c:v>
                </c:pt>
                <c:pt idx="10">
                  <c:v>44013</c:v>
                </c:pt>
                <c:pt idx="11">
                  <c:v>44044</c:v>
                </c:pt>
                <c:pt idx="12">
                  <c:v>44075</c:v>
                </c:pt>
              </c:numCache>
            </c:numRef>
          </c:cat>
          <c:val>
            <c:numRef>
              <c:f>'Q4'!$L$133</c:f>
              <c:numCache>
                <c:formatCode>General</c:formatCode>
                <c:ptCount val="1"/>
                <c:pt idx="0">
                  <c:v>1</c:v>
                </c:pt>
              </c:numCache>
            </c:numRef>
          </c:val>
          <c:smooth val="0"/>
          <c:extLst>
            <c:ext xmlns:c16="http://schemas.microsoft.com/office/drawing/2014/chart" uri="{C3380CC4-5D6E-409C-BE32-E72D297353CC}">
              <c16:uniqueId val="{00000006-F9BF-44AD-9DEB-D2D41B545ADF}"/>
            </c:ext>
          </c:extLst>
        </c:ser>
        <c:dLbls>
          <c:dLblPos val="t"/>
          <c:showLegendKey val="0"/>
          <c:showVal val="1"/>
          <c:showCatName val="0"/>
          <c:showSerName val="0"/>
          <c:showPercent val="0"/>
          <c:showBubbleSize val="0"/>
        </c:dLbls>
        <c:marker val="1"/>
        <c:smooth val="0"/>
        <c:axId val="2101643535"/>
        <c:axId val="2101641135"/>
      </c:lineChart>
      <c:dateAx>
        <c:axId val="210164353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Year- Month</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14009]yyyy/mm/dd;@"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01641135"/>
        <c:crosses val="autoZero"/>
        <c:auto val="1"/>
        <c:lblOffset val="100"/>
        <c:baseTimeUnit val="months"/>
      </c:dateAx>
      <c:valAx>
        <c:axId val="2101641135"/>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MoM</a:t>
                </a:r>
                <a:r>
                  <a:rPr lang="en-US" baseline="0"/>
                  <a:t> (%)</a:t>
                </a:r>
                <a:endParaRPr lang="en-US"/>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43535"/>
        <c:crossesAt val="40238"/>
        <c:crossBetween val="between"/>
      </c:valAx>
      <c:spPr>
        <a:noFill/>
        <a:ln>
          <a:noFill/>
        </a:ln>
        <a:effectLst/>
      </c:spPr>
    </c:plotArea>
    <c:legend>
      <c:legendPos val="r"/>
      <c:layout>
        <c:manualLayout>
          <c:xMode val="edge"/>
          <c:yMode val="edge"/>
          <c:x val="0.86971325170256797"/>
          <c:y val="0.4904808261111781"/>
          <c:w val="9.5044457548533301E-2"/>
          <c:h val="0.236142364042569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MoM Inflation around Mar 2020 (SEP 2019- SEP 2020)</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Food MoM (%)</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'Q4'!$D$240:$D$252</c:f>
              <c:numCache>
                <c:formatCode>[$-14009]yyyy/mm/dd;@</c:formatCode>
                <c:ptCount val="13"/>
                <c:pt idx="0">
                  <c:v>43709</c:v>
                </c:pt>
                <c:pt idx="1">
                  <c:v>43739</c:v>
                </c:pt>
                <c:pt idx="2">
                  <c:v>43770</c:v>
                </c:pt>
                <c:pt idx="3">
                  <c:v>43800</c:v>
                </c:pt>
                <c:pt idx="4">
                  <c:v>43831</c:v>
                </c:pt>
                <c:pt idx="5">
                  <c:v>43862</c:v>
                </c:pt>
                <c:pt idx="6">
                  <c:v>43891</c:v>
                </c:pt>
                <c:pt idx="7">
                  <c:v>43922</c:v>
                </c:pt>
                <c:pt idx="8">
                  <c:v>43952</c:v>
                </c:pt>
                <c:pt idx="9">
                  <c:v>43983</c:v>
                </c:pt>
                <c:pt idx="10">
                  <c:v>44013</c:v>
                </c:pt>
                <c:pt idx="11">
                  <c:v>44044</c:v>
                </c:pt>
                <c:pt idx="12">
                  <c:v>44075</c:v>
                </c:pt>
              </c:numCache>
            </c:numRef>
          </c:cat>
          <c:val>
            <c:numRef>
              <c:f>'Q4'!$P$240:$P$252</c:f>
              <c:numCache>
                <c:formatCode>0.000</c:formatCode>
                <c:ptCount val="13"/>
                <c:pt idx="0">
                  <c:v>0.88882517382265114</c:v>
                </c:pt>
                <c:pt idx="1">
                  <c:v>1.7833037300177355</c:v>
                </c:pt>
                <c:pt idx="2">
                  <c:v>1.7241379310345022</c:v>
                </c:pt>
                <c:pt idx="3">
                  <c:v>2.1821176147670203</c:v>
                </c:pt>
                <c:pt idx="4">
                  <c:v>-0.12759384863340123</c:v>
                </c:pt>
                <c:pt idx="5">
                  <c:v>-1.7818719741796516</c:v>
                </c:pt>
                <c:pt idx="6">
                  <c:v>-0.98582871226126256</c:v>
                </c:pt>
                <c:pt idx="7">
                  <c:v>1.8307251453901912</c:v>
                </c:pt>
                <c:pt idx="8">
                  <c:v>0</c:v>
                </c:pt>
                <c:pt idx="9">
                  <c:v>0</c:v>
                </c:pt>
                <c:pt idx="10">
                  <c:v>0</c:v>
                </c:pt>
                <c:pt idx="11">
                  <c:v>1.5721166711265493</c:v>
                </c:pt>
                <c:pt idx="12">
                  <c:v>0.39517881841534791</c:v>
                </c:pt>
              </c:numCache>
            </c:numRef>
          </c:val>
          <c:smooth val="0"/>
          <c:extLst>
            <c:ext xmlns:c16="http://schemas.microsoft.com/office/drawing/2014/chart" uri="{C3380CC4-5D6E-409C-BE32-E72D297353CC}">
              <c16:uniqueId val="{00000000-9B2C-44B5-96FC-2EBD28DC0424}"/>
            </c:ext>
          </c:extLst>
        </c:ser>
        <c:ser>
          <c:idx val="1"/>
          <c:order val="1"/>
          <c:tx>
            <c:v>Health MoM(%)</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'Q4'!$D$240:$D$252</c:f>
              <c:numCache>
                <c:formatCode>[$-14009]yyyy/mm/dd;@</c:formatCode>
                <c:ptCount val="13"/>
                <c:pt idx="0">
                  <c:v>43709</c:v>
                </c:pt>
                <c:pt idx="1">
                  <c:v>43739</c:v>
                </c:pt>
                <c:pt idx="2">
                  <c:v>43770</c:v>
                </c:pt>
                <c:pt idx="3">
                  <c:v>43800</c:v>
                </c:pt>
                <c:pt idx="4">
                  <c:v>43831</c:v>
                </c:pt>
                <c:pt idx="5">
                  <c:v>43862</c:v>
                </c:pt>
                <c:pt idx="6">
                  <c:v>43891</c:v>
                </c:pt>
                <c:pt idx="7">
                  <c:v>43922</c:v>
                </c:pt>
                <c:pt idx="8">
                  <c:v>43952</c:v>
                </c:pt>
                <c:pt idx="9">
                  <c:v>43983</c:v>
                </c:pt>
                <c:pt idx="10">
                  <c:v>44013</c:v>
                </c:pt>
                <c:pt idx="11">
                  <c:v>44044</c:v>
                </c:pt>
                <c:pt idx="12">
                  <c:v>44075</c:v>
                </c:pt>
              </c:numCache>
            </c:numRef>
          </c:cat>
          <c:val>
            <c:numRef>
              <c:f>'Q4'!$T$240:$T$252</c:f>
              <c:numCache>
                <c:formatCode>0.000</c:formatCode>
                <c:ptCount val="13"/>
                <c:pt idx="0">
                  <c:v>0.45841519318927121</c:v>
                </c:pt>
                <c:pt idx="1">
                  <c:v>0.19556714471967596</c:v>
                </c:pt>
                <c:pt idx="2">
                  <c:v>0.39037085230970903</c:v>
                </c:pt>
                <c:pt idx="3">
                  <c:v>0.32404406999351909</c:v>
                </c:pt>
                <c:pt idx="4">
                  <c:v>0.58139534883719457</c:v>
                </c:pt>
                <c:pt idx="5">
                  <c:v>0.32113037893384716</c:v>
                </c:pt>
                <c:pt idx="6">
                  <c:v>0.32010243277848915</c:v>
                </c:pt>
                <c:pt idx="7">
                  <c:v>-1.5315890236119831</c:v>
                </c:pt>
                <c:pt idx="8">
                  <c:v>0</c:v>
                </c:pt>
                <c:pt idx="9">
                  <c:v>0</c:v>
                </c:pt>
                <c:pt idx="10">
                  <c:v>0</c:v>
                </c:pt>
                <c:pt idx="11">
                  <c:v>0.37926675094818124</c:v>
                </c:pt>
                <c:pt idx="12">
                  <c:v>0.18891687657429654</c:v>
                </c:pt>
              </c:numCache>
            </c:numRef>
          </c:val>
          <c:smooth val="0"/>
          <c:extLst>
            <c:ext xmlns:c16="http://schemas.microsoft.com/office/drawing/2014/chart" uri="{C3380CC4-5D6E-409C-BE32-E72D297353CC}">
              <c16:uniqueId val="{00000001-9B2C-44B5-96FC-2EBD28DC0424}"/>
            </c:ext>
          </c:extLst>
        </c:ser>
        <c:dLbls>
          <c:dLblPos val="t"/>
          <c:showLegendKey val="0"/>
          <c:showVal val="1"/>
          <c:showCatName val="0"/>
          <c:showSerName val="0"/>
          <c:showPercent val="0"/>
          <c:showBubbleSize val="0"/>
        </c:dLbls>
        <c:marker val="1"/>
        <c:smooth val="0"/>
        <c:axId val="249239087"/>
        <c:axId val="249240047"/>
      </c:lineChart>
      <c:dateAx>
        <c:axId val="24923908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Year-Month</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14009]yyyy/mm/dd;@"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49240047"/>
        <c:crosses val="autoZero"/>
        <c:auto val="1"/>
        <c:lblOffset val="100"/>
        <c:baseTimeUnit val="months"/>
      </c:dateAx>
      <c:valAx>
        <c:axId val="249240047"/>
        <c:scaling>
          <c:orientation val="minMax"/>
        </c:scaling>
        <c:delete val="0"/>
        <c:axPos val="l"/>
        <c:numFmt formatCode="0.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23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MoM Inflation around Mar 2020 (SEP 2019- SEP 2020)</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Food MoM (%)</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'Q4'!$D$240:$D$252</c:f>
              <c:numCache>
                <c:formatCode>[$-14009]yyyy/mm/dd;@</c:formatCode>
                <c:ptCount val="13"/>
                <c:pt idx="0">
                  <c:v>43709</c:v>
                </c:pt>
                <c:pt idx="1">
                  <c:v>43739</c:v>
                </c:pt>
                <c:pt idx="2">
                  <c:v>43770</c:v>
                </c:pt>
                <c:pt idx="3">
                  <c:v>43800</c:v>
                </c:pt>
                <c:pt idx="4">
                  <c:v>43831</c:v>
                </c:pt>
                <c:pt idx="5">
                  <c:v>43862</c:v>
                </c:pt>
                <c:pt idx="6">
                  <c:v>43891</c:v>
                </c:pt>
                <c:pt idx="7">
                  <c:v>43922</c:v>
                </c:pt>
                <c:pt idx="8">
                  <c:v>43952</c:v>
                </c:pt>
                <c:pt idx="9">
                  <c:v>43983</c:v>
                </c:pt>
                <c:pt idx="10">
                  <c:v>44013</c:v>
                </c:pt>
                <c:pt idx="11">
                  <c:v>44044</c:v>
                </c:pt>
                <c:pt idx="12">
                  <c:v>44075</c:v>
                </c:pt>
              </c:numCache>
            </c:numRef>
          </c:cat>
          <c:val>
            <c:numRef>
              <c:f>'Q4'!$P$302:$P$314</c:f>
              <c:numCache>
                <c:formatCode>0.000</c:formatCode>
                <c:ptCount val="13"/>
                <c:pt idx="0">
                  <c:v>0.34867503486750351</c:v>
                </c:pt>
                <c:pt idx="1">
                  <c:v>1.7164697706740784</c:v>
                </c:pt>
                <c:pt idx="2">
                  <c:v>1.2980802076928177</c:v>
                </c:pt>
                <c:pt idx="3">
                  <c:v>1.9693801847980146</c:v>
                </c:pt>
                <c:pt idx="4">
                  <c:v>-0.69449037634764965</c:v>
                </c:pt>
                <c:pt idx="5">
                  <c:v>-1.7983215665378904</c:v>
                </c:pt>
                <c:pt idx="6">
                  <c:v>-1.1530113944655376</c:v>
                </c:pt>
                <c:pt idx="7">
                  <c:v>2.9001418050409353</c:v>
                </c:pt>
                <c:pt idx="8">
                  <c:v>0</c:v>
                </c:pt>
                <c:pt idx="9">
                  <c:v>0</c:v>
                </c:pt>
                <c:pt idx="10">
                  <c:v>0</c:v>
                </c:pt>
                <c:pt idx="11">
                  <c:v>1.5901862789640997</c:v>
                </c:pt>
                <c:pt idx="12">
                  <c:v>0.83056478405316347</c:v>
                </c:pt>
              </c:numCache>
            </c:numRef>
          </c:val>
          <c:smooth val="0"/>
          <c:extLst>
            <c:ext xmlns:c16="http://schemas.microsoft.com/office/drawing/2014/chart" uri="{C3380CC4-5D6E-409C-BE32-E72D297353CC}">
              <c16:uniqueId val="{00000000-66E6-4DB8-917D-346678F6DD31}"/>
            </c:ext>
          </c:extLst>
        </c:ser>
        <c:ser>
          <c:idx val="1"/>
          <c:order val="1"/>
          <c:tx>
            <c:v>Health MoM(%)</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'Q4'!$D$240:$D$252</c:f>
              <c:numCache>
                <c:formatCode>[$-14009]yyyy/mm/dd;@</c:formatCode>
                <c:ptCount val="13"/>
                <c:pt idx="0">
                  <c:v>43709</c:v>
                </c:pt>
                <c:pt idx="1">
                  <c:v>43739</c:v>
                </c:pt>
                <c:pt idx="2">
                  <c:v>43770</c:v>
                </c:pt>
                <c:pt idx="3">
                  <c:v>43800</c:v>
                </c:pt>
                <c:pt idx="4">
                  <c:v>43831</c:v>
                </c:pt>
                <c:pt idx="5">
                  <c:v>43862</c:v>
                </c:pt>
                <c:pt idx="6">
                  <c:v>43891</c:v>
                </c:pt>
                <c:pt idx="7">
                  <c:v>43922</c:v>
                </c:pt>
                <c:pt idx="8">
                  <c:v>43952</c:v>
                </c:pt>
                <c:pt idx="9">
                  <c:v>43983</c:v>
                </c:pt>
                <c:pt idx="10">
                  <c:v>44013</c:v>
                </c:pt>
                <c:pt idx="11">
                  <c:v>44044</c:v>
                </c:pt>
                <c:pt idx="12">
                  <c:v>44075</c:v>
                </c:pt>
              </c:numCache>
            </c:numRef>
          </c:cat>
          <c:val>
            <c:numRef>
              <c:f>'Q4'!$T$302:$T$314</c:f>
              <c:numCache>
                <c:formatCode>0.000</c:formatCode>
                <c:ptCount val="13"/>
                <c:pt idx="0">
                  <c:v>0.28268551236749517</c:v>
                </c:pt>
                <c:pt idx="1">
                  <c:v>0.35236081747709652</c:v>
                </c:pt>
                <c:pt idx="2">
                  <c:v>0.28089887640449834</c:v>
                </c:pt>
                <c:pt idx="3">
                  <c:v>0.28011204481791119</c:v>
                </c:pt>
                <c:pt idx="4">
                  <c:v>0.41899441340783716</c:v>
                </c:pt>
                <c:pt idx="5">
                  <c:v>0.41724617524338964</c:v>
                </c:pt>
                <c:pt idx="6">
                  <c:v>0.41551246537395725</c:v>
                </c:pt>
                <c:pt idx="7">
                  <c:v>-0.13793103448275079</c:v>
                </c:pt>
                <c:pt idx="8">
                  <c:v>0</c:v>
                </c:pt>
                <c:pt idx="9">
                  <c:v>0</c:v>
                </c:pt>
                <c:pt idx="10">
                  <c:v>0</c:v>
                </c:pt>
                <c:pt idx="11">
                  <c:v>0.40513166779202858</c:v>
                </c:pt>
                <c:pt idx="12">
                  <c:v>0.8742434431741839</c:v>
                </c:pt>
              </c:numCache>
            </c:numRef>
          </c:val>
          <c:smooth val="0"/>
          <c:extLst>
            <c:ext xmlns:c16="http://schemas.microsoft.com/office/drawing/2014/chart" uri="{C3380CC4-5D6E-409C-BE32-E72D297353CC}">
              <c16:uniqueId val="{00000001-66E6-4DB8-917D-346678F6DD31}"/>
            </c:ext>
          </c:extLst>
        </c:ser>
        <c:dLbls>
          <c:dLblPos val="t"/>
          <c:showLegendKey val="0"/>
          <c:showVal val="1"/>
          <c:showCatName val="0"/>
          <c:showSerName val="0"/>
          <c:showPercent val="0"/>
          <c:showBubbleSize val="0"/>
        </c:dLbls>
        <c:marker val="1"/>
        <c:smooth val="0"/>
        <c:axId val="249239087"/>
        <c:axId val="249240047"/>
      </c:lineChart>
      <c:dateAx>
        <c:axId val="24923908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Year-Month</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14009]yyyy/mm/dd;@"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49240047"/>
        <c:crosses val="autoZero"/>
        <c:auto val="1"/>
        <c:lblOffset val="100"/>
        <c:baseTimeUnit val="months"/>
      </c:dateAx>
      <c:valAx>
        <c:axId val="249240047"/>
        <c:scaling>
          <c:orientation val="minMax"/>
        </c:scaling>
        <c:delete val="0"/>
        <c:axPos val="l"/>
        <c:numFmt formatCode="0.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23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Average CPI of Food Products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Food Index</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'Q3'!$C$3:$C$14</c:f>
              <c:numCache>
                <c:formatCode>yyyy/mm</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'Q3'!$R$3:$R$14</c:f>
              <c:numCache>
                <c:formatCode>0.00</c:formatCode>
                <c:ptCount val="12"/>
                <c:pt idx="0">
                  <c:v>173.99230769230769</c:v>
                </c:pt>
                <c:pt idx="1">
                  <c:v>174.33076923076925</c:v>
                </c:pt>
                <c:pt idx="2">
                  <c:v>174.55384615384617</c:v>
                </c:pt>
                <c:pt idx="3">
                  <c:v>175.45384615384617</c:v>
                </c:pt>
                <c:pt idx="4">
                  <c:v>176.71538461538464</c:v>
                </c:pt>
                <c:pt idx="5">
                  <c:v>176.67692307692309</c:v>
                </c:pt>
                <c:pt idx="6">
                  <c:v>175.64615384615385</c:v>
                </c:pt>
                <c:pt idx="7">
                  <c:v>176.36153846153846</c:v>
                </c:pt>
                <c:pt idx="8">
                  <c:v>175.3153846153846</c:v>
                </c:pt>
                <c:pt idx="9">
                  <c:v>175.32307692307691</c:v>
                </c:pt>
                <c:pt idx="10">
                  <c:v>176.12307692307695</c:v>
                </c:pt>
                <c:pt idx="11">
                  <c:v>177.45384615384617</c:v>
                </c:pt>
              </c:numCache>
            </c:numRef>
          </c:val>
          <c:smooth val="0"/>
          <c:extLst>
            <c:ext xmlns:c16="http://schemas.microsoft.com/office/drawing/2014/chart" uri="{C3380CC4-5D6E-409C-BE32-E72D297353CC}">
              <c16:uniqueId val="{00000001-7366-4519-9924-6734FD0149C5}"/>
            </c:ext>
          </c:extLst>
        </c:ser>
        <c:dLbls>
          <c:dLblPos val="t"/>
          <c:showLegendKey val="0"/>
          <c:showVal val="1"/>
          <c:showCatName val="0"/>
          <c:showSerName val="0"/>
          <c:showPercent val="0"/>
          <c:showBubbleSize val="0"/>
        </c:dLbls>
        <c:marker val="1"/>
        <c:smooth val="0"/>
        <c:axId val="1954277280"/>
        <c:axId val="1954269600"/>
      </c:lineChart>
      <c:dateAx>
        <c:axId val="195427728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Year- Month</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yyyy/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54269600"/>
        <c:crosses val="autoZero"/>
        <c:auto val="1"/>
        <c:lblOffset val="100"/>
        <c:baseTimeUnit val="months"/>
      </c:dateAx>
      <c:valAx>
        <c:axId val="195426960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Food Index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27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Month-on-Month Inflation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MoM Inflation (%)</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'Q3'!$C$4:$C$14</c:f>
              <c:numCache>
                <c:formatCode>yyyy/mm</c:formatCode>
                <c:ptCount val="11"/>
                <c:pt idx="0">
                  <c:v>44743</c:v>
                </c:pt>
                <c:pt idx="1">
                  <c:v>44774</c:v>
                </c:pt>
                <c:pt idx="2">
                  <c:v>44805</c:v>
                </c:pt>
                <c:pt idx="3">
                  <c:v>44835</c:v>
                </c:pt>
                <c:pt idx="4">
                  <c:v>44866</c:v>
                </c:pt>
                <c:pt idx="5">
                  <c:v>44896</c:v>
                </c:pt>
                <c:pt idx="6">
                  <c:v>44927</c:v>
                </c:pt>
                <c:pt idx="7">
                  <c:v>44958</c:v>
                </c:pt>
                <c:pt idx="8">
                  <c:v>44986</c:v>
                </c:pt>
                <c:pt idx="9">
                  <c:v>45017</c:v>
                </c:pt>
                <c:pt idx="10">
                  <c:v>45047</c:v>
                </c:pt>
              </c:numCache>
            </c:numRef>
          </c:cat>
          <c:val>
            <c:numRef>
              <c:f>'Q3'!$S$4:$S$14</c:f>
              <c:numCache>
                <c:formatCode>0.00</c:formatCode>
                <c:ptCount val="11"/>
                <c:pt idx="0">
                  <c:v>0.19452672531943327</c:v>
                </c:pt>
                <c:pt idx="1">
                  <c:v>0.12796187618585006</c:v>
                </c:pt>
                <c:pt idx="2">
                  <c:v>0.51560021152829516</c:v>
                </c:pt>
                <c:pt idx="3">
                  <c:v>0.71901442413082706</c:v>
                </c:pt>
                <c:pt idx="4">
                  <c:v>-2.1764680276851682E-2</c:v>
                </c:pt>
                <c:pt idx="5">
                  <c:v>-0.58342041100662179</c:v>
                </c:pt>
                <c:pt idx="6">
                  <c:v>0.40728737847069707</c:v>
                </c:pt>
                <c:pt idx="7">
                  <c:v>-0.59318707201117182</c:v>
                </c:pt>
                <c:pt idx="8">
                  <c:v>4.3876968978992913E-3</c:v>
                </c:pt>
                <c:pt idx="9">
                  <c:v>0.456300456300479</c:v>
                </c:pt>
                <c:pt idx="10">
                  <c:v>0.75559049615652807</c:v>
                </c:pt>
              </c:numCache>
            </c:numRef>
          </c:val>
          <c:smooth val="0"/>
          <c:extLst>
            <c:ext xmlns:c16="http://schemas.microsoft.com/office/drawing/2014/chart" uri="{C3380CC4-5D6E-409C-BE32-E72D297353CC}">
              <c16:uniqueId val="{00000000-089B-4C50-9799-B09FF1EB2897}"/>
            </c:ext>
          </c:extLst>
        </c:ser>
        <c:dLbls>
          <c:dLblPos val="t"/>
          <c:showLegendKey val="0"/>
          <c:showVal val="1"/>
          <c:showCatName val="0"/>
          <c:showSerName val="0"/>
          <c:showPercent val="0"/>
          <c:showBubbleSize val="0"/>
        </c:dLbls>
        <c:marker val="1"/>
        <c:smooth val="0"/>
        <c:axId val="1946995168"/>
        <c:axId val="1946979328"/>
      </c:lineChart>
      <c:dateAx>
        <c:axId val="194699516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Year- Month</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yyyy/mm"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46979328"/>
        <c:crosses val="autoZero"/>
        <c:auto val="1"/>
        <c:lblOffset val="100"/>
        <c:baseTimeUnit val="months"/>
      </c:dateAx>
      <c:valAx>
        <c:axId val="194697932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Month-on-Month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9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Average CPI of Food Products </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v>Food Index</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'Q3'!$C$39:$C$50</c:f>
              <c:numCache>
                <c:formatCode>yyyy/mm</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'Q3'!$R$39:$R$50</c:f>
              <c:numCache>
                <c:formatCode>0.000</c:formatCode>
                <c:ptCount val="12"/>
                <c:pt idx="0">
                  <c:v>172.94615384615386</c:v>
                </c:pt>
                <c:pt idx="1">
                  <c:v>173.26923076923077</c:v>
                </c:pt>
                <c:pt idx="2">
                  <c:v>173.5230769230769</c:v>
                </c:pt>
                <c:pt idx="3">
                  <c:v>174.44615384615386</c:v>
                </c:pt>
                <c:pt idx="4">
                  <c:v>175.73076923076923</c:v>
                </c:pt>
                <c:pt idx="5">
                  <c:v>175.97692307692307</c:v>
                </c:pt>
                <c:pt idx="6">
                  <c:v>175.16153846153844</c:v>
                </c:pt>
                <c:pt idx="7">
                  <c:v>175.63076923076926</c:v>
                </c:pt>
                <c:pt idx="8">
                  <c:v>174.28461538461536</c:v>
                </c:pt>
                <c:pt idx="9">
                  <c:v>174.2923076923077</c:v>
                </c:pt>
                <c:pt idx="10">
                  <c:v>174.93846153846152</c:v>
                </c:pt>
                <c:pt idx="11">
                  <c:v>176.20769230769235</c:v>
                </c:pt>
              </c:numCache>
            </c:numRef>
          </c:val>
          <c:smooth val="0"/>
          <c:extLst>
            <c:ext xmlns:c16="http://schemas.microsoft.com/office/drawing/2014/chart" uri="{C3380CC4-5D6E-409C-BE32-E72D297353CC}">
              <c16:uniqueId val="{00000001-CDDF-4BDA-BF16-6E56550B9F1E}"/>
            </c:ext>
          </c:extLst>
        </c:ser>
        <c:dLbls>
          <c:dLblPos val="t"/>
          <c:showLegendKey val="0"/>
          <c:showVal val="1"/>
          <c:showCatName val="0"/>
          <c:showSerName val="0"/>
          <c:showPercent val="0"/>
          <c:showBubbleSize val="0"/>
        </c:dLbls>
        <c:marker val="1"/>
        <c:smooth val="0"/>
        <c:axId val="1954277280"/>
        <c:axId val="1954269600"/>
      </c:lineChart>
      <c:dateAx>
        <c:axId val="195427728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Year-Month</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yyyy/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54269600"/>
        <c:crosses val="autoZero"/>
        <c:auto val="1"/>
        <c:lblOffset val="100"/>
        <c:baseTimeUnit val="months"/>
      </c:dateAx>
      <c:valAx>
        <c:axId val="195426960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Food Index</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27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Month-on-Month Inflation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MoM Inflation (%)</c:v>
          </c:tx>
          <c:spPr>
            <a:ln w="28575" cap="rnd">
              <a:solidFill>
                <a:schemeClr val="accent1"/>
              </a:solidFill>
              <a:round/>
            </a:ln>
            <a:effectLst/>
          </c:spPr>
          <c:marker>
            <c:symbol val="none"/>
          </c:marker>
          <c:dLbls>
            <c:dLbl>
              <c:idx val="6"/>
              <c:layout>
                <c:manualLayout>
                  <c:x val="-2.659147183814492E-2"/>
                  <c:y val="3.9565045006078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10-42B0-8F00-ED1946FF37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'Q3'!$C$39:$C$50</c15:sqref>
                  </c15:fullRef>
                </c:ext>
              </c:extLst>
              <c:f>'Q3'!$C$40:$C$50</c:f>
              <c:numCache>
                <c:formatCode>yyyy/mm</c:formatCode>
                <c:ptCount val="11"/>
                <c:pt idx="0">
                  <c:v>44743</c:v>
                </c:pt>
                <c:pt idx="1">
                  <c:v>44774</c:v>
                </c:pt>
                <c:pt idx="2">
                  <c:v>44805</c:v>
                </c:pt>
                <c:pt idx="3">
                  <c:v>44835</c:v>
                </c:pt>
                <c:pt idx="4">
                  <c:v>44866</c:v>
                </c:pt>
                <c:pt idx="5">
                  <c:v>44896</c:v>
                </c:pt>
                <c:pt idx="6">
                  <c:v>44927</c:v>
                </c:pt>
                <c:pt idx="7">
                  <c:v>44958</c:v>
                </c:pt>
                <c:pt idx="8">
                  <c:v>44986</c:v>
                </c:pt>
                <c:pt idx="9">
                  <c:v>45017</c:v>
                </c:pt>
                <c:pt idx="10">
                  <c:v>45047</c:v>
                </c:pt>
              </c:numCache>
            </c:numRef>
          </c:cat>
          <c:val>
            <c:numRef>
              <c:extLst>
                <c:ext xmlns:c15="http://schemas.microsoft.com/office/drawing/2012/chart" uri="{02D57815-91ED-43cb-92C2-25804820EDAC}">
                  <c15:fullRef>
                    <c15:sqref>'Q3'!$S$40:$S$50</c15:sqref>
                  </c15:fullRef>
                </c:ext>
              </c:extLst>
              <c:f>'Q3'!$S$41:$S$50</c:f>
              <c:numCache>
                <c:formatCode>0.000</c:formatCode>
                <c:ptCount val="10"/>
                <c:pt idx="0">
                  <c:v>0.1465038845726811</c:v>
                </c:pt>
                <c:pt idx="1">
                  <c:v>0.53196205337354874</c:v>
                </c:pt>
                <c:pt idx="2">
                  <c:v>0.73639650762852682</c:v>
                </c:pt>
                <c:pt idx="3">
                  <c:v>0.14007441453272002</c:v>
                </c:pt>
                <c:pt idx="4">
                  <c:v>-0.46334746688814937</c:v>
                </c:pt>
                <c:pt idx="5">
                  <c:v>0.26788459004877468</c:v>
                </c:pt>
                <c:pt idx="6">
                  <c:v>-0.76646811492644751</c:v>
                </c:pt>
                <c:pt idx="7">
                  <c:v>4.4136469965305302E-3</c:v>
                </c:pt>
                <c:pt idx="8">
                  <c:v>0.37072998499424897</c:v>
                </c:pt>
                <c:pt idx="9">
                  <c:v>0.72552985665292391</c:v>
                </c:pt>
              </c:numCache>
            </c:numRef>
          </c:val>
          <c:smooth val="0"/>
          <c:extLst>
            <c:ext xmlns:c16="http://schemas.microsoft.com/office/drawing/2014/chart" uri="{C3380CC4-5D6E-409C-BE32-E72D297353CC}">
              <c16:uniqueId val="{00000000-A910-42B0-8F00-ED1946FF3795}"/>
            </c:ext>
          </c:extLst>
        </c:ser>
        <c:dLbls>
          <c:dLblPos val="t"/>
          <c:showLegendKey val="0"/>
          <c:showVal val="1"/>
          <c:showCatName val="0"/>
          <c:showSerName val="0"/>
          <c:showPercent val="0"/>
          <c:showBubbleSize val="0"/>
        </c:dLbls>
        <c:smooth val="0"/>
        <c:axId val="1946995168"/>
        <c:axId val="1946979328"/>
      </c:lineChart>
      <c:dateAx>
        <c:axId val="1946995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yyyy/mm"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79328"/>
        <c:crosses val="autoZero"/>
        <c:auto val="1"/>
        <c:lblOffset val="100"/>
        <c:baseTimeUnit val="months"/>
      </c:dateAx>
      <c:valAx>
        <c:axId val="1946979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Month-on-Month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9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cap="all" spc="120" normalizeH="0" baseline="0">
                <a:solidFill>
                  <a:sysClr val="windowText" lastClr="000000">
                    <a:lumMod val="65000"/>
                    <a:lumOff val="35000"/>
                  </a:sysClr>
                </a:solidFill>
              </a:rPr>
              <a:t>Average CPI of Food Products </a:t>
            </a:r>
            <a:endParaRPr lang="en-IN" sz="1400" b="1" i="0" u="none" strike="noStrike" kern="1200" cap="all" spc="120" normalizeH="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v>Food Index</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'Q3'!$C$73:$C$84</c:f>
              <c:numCache>
                <c:formatCode>yyyy/mm</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'Q3'!$R$73:$R$84</c:f>
              <c:numCache>
                <c:formatCode>0.000</c:formatCode>
                <c:ptCount val="12"/>
                <c:pt idx="0">
                  <c:v>175.96153846153845</c:v>
                </c:pt>
                <c:pt idx="1">
                  <c:v>176.27692307692308</c:v>
                </c:pt>
                <c:pt idx="2">
                  <c:v>176.43846153846152</c:v>
                </c:pt>
                <c:pt idx="3">
                  <c:v>177.41538461538462</c:v>
                </c:pt>
                <c:pt idx="4">
                  <c:v>178.63846153846154</c:v>
                </c:pt>
                <c:pt idx="5">
                  <c:v>178.03076923076924</c:v>
                </c:pt>
                <c:pt idx="6">
                  <c:v>176.59999999999997</c:v>
                </c:pt>
                <c:pt idx="7">
                  <c:v>177.70769230769233</c:v>
                </c:pt>
                <c:pt idx="8">
                  <c:v>177.16923076923075</c:v>
                </c:pt>
                <c:pt idx="9">
                  <c:v>177.1846153846154</c:v>
                </c:pt>
                <c:pt idx="10">
                  <c:v>178.28461538461539</c:v>
                </c:pt>
                <c:pt idx="11">
                  <c:v>179.62307692307692</c:v>
                </c:pt>
              </c:numCache>
            </c:numRef>
          </c:val>
          <c:smooth val="0"/>
          <c:extLst>
            <c:ext xmlns:c16="http://schemas.microsoft.com/office/drawing/2014/chart" uri="{C3380CC4-5D6E-409C-BE32-E72D297353CC}">
              <c16:uniqueId val="{00000000-C152-4C76-87DE-CC76A813F8C6}"/>
            </c:ext>
          </c:extLst>
        </c:ser>
        <c:dLbls>
          <c:dLblPos val="t"/>
          <c:showLegendKey val="0"/>
          <c:showVal val="1"/>
          <c:showCatName val="0"/>
          <c:showSerName val="0"/>
          <c:showPercent val="0"/>
          <c:showBubbleSize val="0"/>
        </c:dLbls>
        <c:marker val="1"/>
        <c:smooth val="0"/>
        <c:axId val="1237640000"/>
        <c:axId val="1237632512"/>
      </c:lineChart>
      <c:dateAx>
        <c:axId val="1237640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yyyy/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632512"/>
        <c:crosses val="autoZero"/>
        <c:auto val="1"/>
        <c:lblOffset val="100"/>
        <c:baseTimeUnit val="months"/>
      </c:dateAx>
      <c:valAx>
        <c:axId val="12376325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Food Index</a:t>
                </a:r>
              </a:p>
            </c:rich>
          </c:tx>
          <c:layout>
            <c:manualLayout>
              <c:xMode val="edge"/>
              <c:yMode val="edge"/>
              <c:x val="2.6153109702092305E-2"/>
              <c:y val="0.335574165946019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640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Month-on-Month Inflation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MoM Inflation (%)</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'Q3'!$C$74:$C$84</c:f>
              <c:numCache>
                <c:formatCode>yyyy/mm</c:formatCode>
                <c:ptCount val="11"/>
                <c:pt idx="0">
                  <c:v>44743</c:v>
                </c:pt>
                <c:pt idx="1">
                  <c:v>44774</c:v>
                </c:pt>
                <c:pt idx="2">
                  <c:v>44805</c:v>
                </c:pt>
                <c:pt idx="3">
                  <c:v>44835</c:v>
                </c:pt>
                <c:pt idx="4">
                  <c:v>44866</c:v>
                </c:pt>
                <c:pt idx="5">
                  <c:v>44896</c:v>
                </c:pt>
                <c:pt idx="6">
                  <c:v>44927</c:v>
                </c:pt>
                <c:pt idx="7">
                  <c:v>44958</c:v>
                </c:pt>
                <c:pt idx="8">
                  <c:v>44986</c:v>
                </c:pt>
                <c:pt idx="9">
                  <c:v>45017</c:v>
                </c:pt>
                <c:pt idx="10">
                  <c:v>45047</c:v>
                </c:pt>
              </c:numCache>
            </c:numRef>
          </c:cat>
          <c:val>
            <c:numRef>
              <c:f>'Q3'!$S$74:$S$84</c:f>
              <c:numCache>
                <c:formatCode>0.000</c:formatCode>
                <c:ptCount val="11"/>
                <c:pt idx="0">
                  <c:v>0.17923497267760408</c:v>
                </c:pt>
                <c:pt idx="1">
                  <c:v>9.1639029499028551E-2</c:v>
                </c:pt>
                <c:pt idx="2">
                  <c:v>0.55369054366309034</c:v>
                </c:pt>
                <c:pt idx="3">
                  <c:v>0.68938605619146376</c:v>
                </c:pt>
                <c:pt idx="4">
                  <c:v>-0.34017999397149157</c:v>
                </c:pt>
                <c:pt idx="5">
                  <c:v>-0.80366401659179632</c:v>
                </c:pt>
                <c:pt idx="6">
                  <c:v>0.62723233731164252</c:v>
                </c:pt>
                <c:pt idx="7">
                  <c:v>-0.30300406891180343</c:v>
                </c:pt>
                <c:pt idx="8">
                  <c:v>8.6835706842833867E-3</c:v>
                </c:pt>
                <c:pt idx="9">
                  <c:v>0.62082139446035967</c:v>
                </c:pt>
                <c:pt idx="10">
                  <c:v>0.75074427233895202</c:v>
                </c:pt>
              </c:numCache>
            </c:numRef>
          </c:val>
          <c:smooth val="0"/>
          <c:extLst>
            <c:ext xmlns:c16="http://schemas.microsoft.com/office/drawing/2014/chart" uri="{C3380CC4-5D6E-409C-BE32-E72D297353CC}">
              <c16:uniqueId val="{00000000-4C5F-4491-8D16-F4580974F19B}"/>
            </c:ext>
          </c:extLst>
        </c:ser>
        <c:dLbls>
          <c:dLblPos val="t"/>
          <c:showLegendKey val="0"/>
          <c:showVal val="1"/>
          <c:showCatName val="0"/>
          <c:showSerName val="0"/>
          <c:showPercent val="0"/>
          <c:showBubbleSize val="0"/>
        </c:dLbls>
        <c:marker val="1"/>
        <c:smooth val="0"/>
        <c:axId val="1234027584"/>
        <c:axId val="1234025088"/>
      </c:lineChart>
      <c:dateAx>
        <c:axId val="1234027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yyyy/mm"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025088"/>
        <c:crosses val="autoZero"/>
        <c:auto val="1"/>
        <c:lblOffset val="100"/>
        <c:baseTimeUnit val="months"/>
      </c:dateAx>
      <c:valAx>
        <c:axId val="12340250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Month-on-Month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02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MOM Inflation</a:t>
            </a:r>
            <a:r>
              <a:rPr lang="en-US" baseline="0"/>
              <a:t> around mar 2020 (sep 2019- Sep 2020)</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Food Products</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dLbl>
              <c:idx val="9"/>
              <c:layout>
                <c:manualLayout>
                  <c:x val="-2.3869367650629573E-2"/>
                  <c:y val="5.10849026803815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840-4030-9976-139152A8A2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'Q4'!$D$127:$D$139</c:f>
              <c:numCache>
                <c:formatCode>[$-14009]yyyy/mm/dd;@</c:formatCode>
                <c:ptCount val="13"/>
                <c:pt idx="0">
                  <c:v>43709</c:v>
                </c:pt>
                <c:pt idx="1">
                  <c:v>43739</c:v>
                </c:pt>
                <c:pt idx="2">
                  <c:v>43770</c:v>
                </c:pt>
                <c:pt idx="3">
                  <c:v>43800</c:v>
                </c:pt>
                <c:pt idx="4">
                  <c:v>43831</c:v>
                </c:pt>
                <c:pt idx="5">
                  <c:v>43862</c:v>
                </c:pt>
                <c:pt idx="6">
                  <c:v>43891</c:v>
                </c:pt>
                <c:pt idx="7">
                  <c:v>43922</c:v>
                </c:pt>
                <c:pt idx="8">
                  <c:v>43952</c:v>
                </c:pt>
                <c:pt idx="9">
                  <c:v>43983</c:v>
                </c:pt>
                <c:pt idx="10">
                  <c:v>44013</c:v>
                </c:pt>
                <c:pt idx="11">
                  <c:v>44044</c:v>
                </c:pt>
                <c:pt idx="12">
                  <c:v>44075</c:v>
                </c:pt>
              </c:numCache>
            </c:numRef>
          </c:cat>
          <c:val>
            <c:numRef>
              <c:f>'Q4'!$P$22:$P$34</c:f>
              <c:numCache>
                <c:formatCode>0.000</c:formatCode>
                <c:ptCount val="13"/>
                <c:pt idx="0">
                  <c:v>0.69547938400396692</c:v>
                </c:pt>
                <c:pt idx="1">
                  <c:v>1.7548805412643662</c:v>
                </c:pt>
                <c:pt idx="2">
                  <c:v>1.5514614212494868</c:v>
                </c:pt>
                <c:pt idx="3">
                  <c:v>2.1211294502796436</c:v>
                </c:pt>
                <c:pt idx="4">
                  <c:v>-0.34061310358646846</c:v>
                </c:pt>
                <c:pt idx="5">
                  <c:v>-1.7893043827905024</c:v>
                </c:pt>
                <c:pt idx="6">
                  <c:v>-1.0440122824974418</c:v>
                </c:pt>
                <c:pt idx="7">
                  <c:v>2.2464334421305758</c:v>
                </c:pt>
                <c:pt idx="8">
                  <c:v>0</c:v>
                </c:pt>
                <c:pt idx="9">
                  <c:v>0</c:v>
                </c:pt>
                <c:pt idx="10">
                  <c:v>0</c:v>
                </c:pt>
                <c:pt idx="11">
                  <c:v>1.5678750992325852</c:v>
                </c:pt>
                <c:pt idx="12">
                  <c:v>0.56015111053213396</c:v>
                </c:pt>
              </c:numCache>
            </c:numRef>
          </c:val>
          <c:smooth val="0"/>
          <c:extLst>
            <c:ext xmlns:c16="http://schemas.microsoft.com/office/drawing/2014/chart" uri="{C3380CC4-5D6E-409C-BE32-E72D297353CC}">
              <c16:uniqueId val="{00000000-9840-4030-9976-139152A8A2C5}"/>
            </c:ext>
          </c:extLst>
        </c:ser>
        <c:ser>
          <c:idx val="1"/>
          <c:order val="1"/>
          <c:tx>
            <c:v>Health</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dLbl>
              <c:idx val="8"/>
              <c:layout>
                <c:manualLayout>
                  <c:x val="-1.171077734225953E-2"/>
                  <c:y val="3.64970106307827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40-4030-9976-139152A8A2C5}"/>
                </c:ext>
              </c:extLst>
            </c:dLbl>
            <c:dLbl>
              <c:idx val="9"/>
              <c:layout>
                <c:manualLayout>
                  <c:x val="-2.1989778810688313E-2"/>
                  <c:y val="-0.113028882877605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40-4030-9976-139152A8A2C5}"/>
                </c:ext>
              </c:extLst>
            </c:dLbl>
            <c:dLbl>
              <c:idx val="10"/>
              <c:layout>
                <c:manualLayout>
                  <c:x val="-1.4647634904667861E-2"/>
                  <c:y val="5.83788487051810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40-4030-9976-139152A8A2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'Q4'!$D$127:$D$139</c:f>
              <c:numCache>
                <c:formatCode>[$-14009]yyyy/mm/dd;@</c:formatCode>
                <c:ptCount val="13"/>
                <c:pt idx="0">
                  <c:v>43709</c:v>
                </c:pt>
                <c:pt idx="1">
                  <c:v>43739</c:v>
                </c:pt>
                <c:pt idx="2">
                  <c:v>43770</c:v>
                </c:pt>
                <c:pt idx="3">
                  <c:v>43800</c:v>
                </c:pt>
                <c:pt idx="4">
                  <c:v>43831</c:v>
                </c:pt>
                <c:pt idx="5">
                  <c:v>43862</c:v>
                </c:pt>
                <c:pt idx="6">
                  <c:v>43891</c:v>
                </c:pt>
                <c:pt idx="7">
                  <c:v>43922</c:v>
                </c:pt>
                <c:pt idx="8">
                  <c:v>43952</c:v>
                </c:pt>
                <c:pt idx="9">
                  <c:v>43983</c:v>
                </c:pt>
                <c:pt idx="10">
                  <c:v>44013</c:v>
                </c:pt>
                <c:pt idx="11">
                  <c:v>44044</c:v>
                </c:pt>
                <c:pt idx="12">
                  <c:v>44075</c:v>
                </c:pt>
              </c:numCache>
            </c:numRef>
          </c:cat>
          <c:val>
            <c:numRef>
              <c:f>'Q4'!$F$127:$F$139</c:f>
              <c:numCache>
                <c:formatCode>0.00</c:formatCode>
                <c:ptCount val="13"/>
                <c:pt idx="0">
                  <c:v>0.33670033670033667</c:v>
                </c:pt>
                <c:pt idx="1">
                  <c:v>0.26845637583892995</c:v>
                </c:pt>
                <c:pt idx="2">
                  <c:v>0.33467202141900937</c:v>
                </c:pt>
                <c:pt idx="3">
                  <c:v>0.33355570380253502</c:v>
                </c:pt>
                <c:pt idx="4">
                  <c:v>0.53191489361700994</c:v>
                </c:pt>
                <c:pt idx="5">
                  <c:v>0.3306878306878307</c:v>
                </c:pt>
                <c:pt idx="6">
                  <c:v>0.39551746868821541</c:v>
                </c:pt>
                <c:pt idx="7">
                  <c:v>-1.0505581089954186</c:v>
                </c:pt>
                <c:pt idx="8">
                  <c:v>0</c:v>
                </c:pt>
                <c:pt idx="9">
                  <c:v>0</c:v>
                </c:pt>
                <c:pt idx="10">
                  <c:v>0</c:v>
                </c:pt>
                <c:pt idx="11">
                  <c:v>0.38860103626942638</c:v>
                </c:pt>
                <c:pt idx="12">
                  <c:v>0.38709677419354471</c:v>
                </c:pt>
              </c:numCache>
            </c:numRef>
          </c:val>
          <c:smooth val="0"/>
          <c:extLst>
            <c:ext xmlns:c16="http://schemas.microsoft.com/office/drawing/2014/chart" uri="{C3380CC4-5D6E-409C-BE32-E72D297353CC}">
              <c16:uniqueId val="{00000001-9840-4030-9976-139152A8A2C5}"/>
            </c:ext>
          </c:extLst>
        </c:ser>
        <c:ser>
          <c:idx val="2"/>
          <c:order val="2"/>
          <c:tx>
            <c:v>Mar-20</c:v>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'Q4'!$D$127:$D$139</c:f>
              <c:numCache>
                <c:formatCode>[$-14009]yyyy/mm/dd;@</c:formatCode>
                <c:ptCount val="13"/>
                <c:pt idx="0">
                  <c:v>43709</c:v>
                </c:pt>
                <c:pt idx="1">
                  <c:v>43739</c:v>
                </c:pt>
                <c:pt idx="2">
                  <c:v>43770</c:v>
                </c:pt>
                <c:pt idx="3">
                  <c:v>43800</c:v>
                </c:pt>
                <c:pt idx="4">
                  <c:v>43831</c:v>
                </c:pt>
                <c:pt idx="5">
                  <c:v>43862</c:v>
                </c:pt>
                <c:pt idx="6">
                  <c:v>43891</c:v>
                </c:pt>
                <c:pt idx="7">
                  <c:v>43922</c:v>
                </c:pt>
                <c:pt idx="8">
                  <c:v>43952</c:v>
                </c:pt>
                <c:pt idx="9">
                  <c:v>43983</c:v>
                </c:pt>
                <c:pt idx="10">
                  <c:v>44013</c:v>
                </c:pt>
                <c:pt idx="11">
                  <c:v>44044</c:v>
                </c:pt>
                <c:pt idx="12">
                  <c:v>44075</c:v>
                </c:pt>
              </c:numCache>
            </c:numRef>
          </c:cat>
          <c:val>
            <c:numRef>
              <c:f>'Q4'!$L$133</c:f>
              <c:numCache>
                <c:formatCode>General</c:formatCode>
                <c:ptCount val="1"/>
                <c:pt idx="0">
                  <c:v>1</c:v>
                </c:pt>
              </c:numCache>
            </c:numRef>
          </c:val>
          <c:smooth val="0"/>
          <c:extLst>
            <c:ext xmlns:c16="http://schemas.microsoft.com/office/drawing/2014/chart" uri="{C3380CC4-5D6E-409C-BE32-E72D297353CC}">
              <c16:uniqueId val="{00000007-9840-4030-9976-139152A8A2C5}"/>
            </c:ext>
          </c:extLst>
        </c:ser>
        <c:dLbls>
          <c:dLblPos val="t"/>
          <c:showLegendKey val="0"/>
          <c:showVal val="1"/>
          <c:showCatName val="0"/>
          <c:showSerName val="0"/>
          <c:showPercent val="0"/>
          <c:showBubbleSize val="0"/>
        </c:dLbls>
        <c:marker val="1"/>
        <c:smooth val="0"/>
        <c:axId val="2101643535"/>
        <c:axId val="2101641135"/>
      </c:lineChart>
      <c:dateAx>
        <c:axId val="210164353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Year- Month</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14009]yyyy/mm/dd;@"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01641135"/>
        <c:crosses val="autoZero"/>
        <c:auto val="1"/>
        <c:lblOffset val="100"/>
        <c:baseTimeUnit val="months"/>
      </c:dateAx>
      <c:valAx>
        <c:axId val="2101641135"/>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MoM</a:t>
                </a:r>
                <a:r>
                  <a:rPr lang="en-US" baseline="0"/>
                  <a:t> (%)</a:t>
                </a:r>
                <a:endParaRPr lang="en-US"/>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43535"/>
        <c:crossesAt val="40238"/>
        <c:crossBetween val="between"/>
      </c:valAx>
      <c:spPr>
        <a:noFill/>
        <a:ln>
          <a:noFill/>
        </a:ln>
        <a:effectLst/>
      </c:spPr>
    </c:plotArea>
    <c:legend>
      <c:legendPos val="r"/>
      <c:layout>
        <c:manualLayout>
          <c:xMode val="edge"/>
          <c:yMode val="edge"/>
          <c:x val="0.86971325170256797"/>
          <c:y val="0.4904808261111781"/>
          <c:w val="9.5044457548533301E-2"/>
          <c:h val="0.236142364042569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MoM Inflation around Mar 2020 (SEP 2019- SEP 2020)</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Food MoM (%)</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'Q4'!$D$240:$D$252</c:f>
              <c:numCache>
                <c:formatCode>[$-14009]yyyy/mm/dd;@</c:formatCode>
                <c:ptCount val="13"/>
                <c:pt idx="0">
                  <c:v>43709</c:v>
                </c:pt>
                <c:pt idx="1">
                  <c:v>43739</c:v>
                </c:pt>
                <c:pt idx="2">
                  <c:v>43770</c:v>
                </c:pt>
                <c:pt idx="3">
                  <c:v>43800</c:v>
                </c:pt>
                <c:pt idx="4">
                  <c:v>43831</c:v>
                </c:pt>
                <c:pt idx="5">
                  <c:v>43862</c:v>
                </c:pt>
                <c:pt idx="6">
                  <c:v>43891</c:v>
                </c:pt>
                <c:pt idx="7">
                  <c:v>43922</c:v>
                </c:pt>
                <c:pt idx="8">
                  <c:v>43952</c:v>
                </c:pt>
                <c:pt idx="9">
                  <c:v>43983</c:v>
                </c:pt>
                <c:pt idx="10">
                  <c:v>44013</c:v>
                </c:pt>
                <c:pt idx="11">
                  <c:v>44044</c:v>
                </c:pt>
                <c:pt idx="12">
                  <c:v>44075</c:v>
                </c:pt>
              </c:numCache>
            </c:numRef>
          </c:cat>
          <c:val>
            <c:numRef>
              <c:f>'Q4'!$P$240:$P$252</c:f>
              <c:numCache>
                <c:formatCode>0.000</c:formatCode>
                <c:ptCount val="13"/>
                <c:pt idx="0">
                  <c:v>0.88882517382265114</c:v>
                </c:pt>
                <c:pt idx="1">
                  <c:v>1.7833037300177355</c:v>
                </c:pt>
                <c:pt idx="2">
                  <c:v>1.7241379310345022</c:v>
                </c:pt>
                <c:pt idx="3">
                  <c:v>2.1821176147670203</c:v>
                </c:pt>
                <c:pt idx="4">
                  <c:v>-0.12759384863340123</c:v>
                </c:pt>
                <c:pt idx="5">
                  <c:v>-1.7818719741796516</c:v>
                </c:pt>
                <c:pt idx="6">
                  <c:v>-0.98582871226126256</c:v>
                </c:pt>
                <c:pt idx="7">
                  <c:v>1.8307251453901912</c:v>
                </c:pt>
                <c:pt idx="8">
                  <c:v>0</c:v>
                </c:pt>
                <c:pt idx="9">
                  <c:v>0</c:v>
                </c:pt>
                <c:pt idx="10">
                  <c:v>0</c:v>
                </c:pt>
                <c:pt idx="11">
                  <c:v>1.5721166711265493</c:v>
                </c:pt>
                <c:pt idx="12">
                  <c:v>0.39517881841534791</c:v>
                </c:pt>
              </c:numCache>
            </c:numRef>
          </c:val>
          <c:smooth val="0"/>
          <c:extLst>
            <c:ext xmlns:c16="http://schemas.microsoft.com/office/drawing/2014/chart" uri="{C3380CC4-5D6E-409C-BE32-E72D297353CC}">
              <c16:uniqueId val="{00000000-CD35-4A9D-B56D-1EB4B30D81F7}"/>
            </c:ext>
          </c:extLst>
        </c:ser>
        <c:ser>
          <c:idx val="1"/>
          <c:order val="1"/>
          <c:tx>
            <c:v>Health MoM(%)</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'Q4'!$D$240:$D$252</c:f>
              <c:numCache>
                <c:formatCode>[$-14009]yyyy/mm/dd;@</c:formatCode>
                <c:ptCount val="13"/>
                <c:pt idx="0">
                  <c:v>43709</c:v>
                </c:pt>
                <c:pt idx="1">
                  <c:v>43739</c:v>
                </c:pt>
                <c:pt idx="2">
                  <c:v>43770</c:v>
                </c:pt>
                <c:pt idx="3">
                  <c:v>43800</c:v>
                </c:pt>
                <c:pt idx="4">
                  <c:v>43831</c:v>
                </c:pt>
                <c:pt idx="5">
                  <c:v>43862</c:v>
                </c:pt>
                <c:pt idx="6">
                  <c:v>43891</c:v>
                </c:pt>
                <c:pt idx="7">
                  <c:v>43922</c:v>
                </c:pt>
                <c:pt idx="8">
                  <c:v>43952</c:v>
                </c:pt>
                <c:pt idx="9">
                  <c:v>43983</c:v>
                </c:pt>
                <c:pt idx="10">
                  <c:v>44013</c:v>
                </c:pt>
                <c:pt idx="11">
                  <c:v>44044</c:v>
                </c:pt>
                <c:pt idx="12">
                  <c:v>44075</c:v>
                </c:pt>
              </c:numCache>
            </c:numRef>
          </c:cat>
          <c:val>
            <c:numRef>
              <c:f>'Q4'!$T$240:$T$252</c:f>
              <c:numCache>
                <c:formatCode>0.000</c:formatCode>
                <c:ptCount val="13"/>
                <c:pt idx="0">
                  <c:v>0.45841519318927121</c:v>
                </c:pt>
                <c:pt idx="1">
                  <c:v>0.19556714471967596</c:v>
                </c:pt>
                <c:pt idx="2">
                  <c:v>0.39037085230970903</c:v>
                </c:pt>
                <c:pt idx="3">
                  <c:v>0.32404406999351909</c:v>
                </c:pt>
                <c:pt idx="4">
                  <c:v>0.58139534883719457</c:v>
                </c:pt>
                <c:pt idx="5">
                  <c:v>0.32113037893384716</c:v>
                </c:pt>
                <c:pt idx="6">
                  <c:v>0.32010243277848915</c:v>
                </c:pt>
                <c:pt idx="7">
                  <c:v>-1.5315890236119831</c:v>
                </c:pt>
                <c:pt idx="8">
                  <c:v>0</c:v>
                </c:pt>
                <c:pt idx="9">
                  <c:v>0</c:v>
                </c:pt>
                <c:pt idx="10">
                  <c:v>0</c:v>
                </c:pt>
                <c:pt idx="11">
                  <c:v>0.37926675094818124</c:v>
                </c:pt>
                <c:pt idx="12">
                  <c:v>0.18891687657429654</c:v>
                </c:pt>
              </c:numCache>
            </c:numRef>
          </c:val>
          <c:smooth val="0"/>
          <c:extLst>
            <c:ext xmlns:c16="http://schemas.microsoft.com/office/drawing/2014/chart" uri="{C3380CC4-5D6E-409C-BE32-E72D297353CC}">
              <c16:uniqueId val="{00000001-CD35-4A9D-B56D-1EB4B30D81F7}"/>
            </c:ext>
          </c:extLst>
        </c:ser>
        <c:dLbls>
          <c:dLblPos val="t"/>
          <c:showLegendKey val="0"/>
          <c:showVal val="1"/>
          <c:showCatName val="0"/>
          <c:showSerName val="0"/>
          <c:showPercent val="0"/>
          <c:showBubbleSize val="0"/>
        </c:dLbls>
        <c:marker val="1"/>
        <c:smooth val="0"/>
        <c:axId val="249239087"/>
        <c:axId val="249240047"/>
      </c:lineChart>
      <c:dateAx>
        <c:axId val="24923908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Year-Month</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14009]yyyy/mm/dd;@"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49240047"/>
        <c:crosses val="autoZero"/>
        <c:auto val="1"/>
        <c:lblOffset val="100"/>
        <c:baseTimeUnit val="months"/>
      </c:dateAx>
      <c:valAx>
        <c:axId val="249240047"/>
        <c:scaling>
          <c:orientation val="minMax"/>
        </c:scaling>
        <c:delete val="0"/>
        <c:axPos val="l"/>
        <c:numFmt formatCode="0.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23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MoM Inflation around Mar 2020 (SEP 2019- SEP 2020)</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Food MoM (%)</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'Q4'!$D$240:$D$252</c:f>
              <c:numCache>
                <c:formatCode>[$-14009]yyyy/mm/dd;@</c:formatCode>
                <c:ptCount val="13"/>
                <c:pt idx="0">
                  <c:v>43709</c:v>
                </c:pt>
                <c:pt idx="1">
                  <c:v>43739</c:v>
                </c:pt>
                <c:pt idx="2">
                  <c:v>43770</c:v>
                </c:pt>
                <c:pt idx="3">
                  <c:v>43800</c:v>
                </c:pt>
                <c:pt idx="4">
                  <c:v>43831</c:v>
                </c:pt>
                <c:pt idx="5">
                  <c:v>43862</c:v>
                </c:pt>
                <c:pt idx="6">
                  <c:v>43891</c:v>
                </c:pt>
                <c:pt idx="7">
                  <c:v>43922</c:v>
                </c:pt>
                <c:pt idx="8">
                  <c:v>43952</c:v>
                </c:pt>
                <c:pt idx="9">
                  <c:v>43983</c:v>
                </c:pt>
                <c:pt idx="10">
                  <c:v>44013</c:v>
                </c:pt>
                <c:pt idx="11">
                  <c:v>44044</c:v>
                </c:pt>
                <c:pt idx="12">
                  <c:v>44075</c:v>
                </c:pt>
              </c:numCache>
            </c:numRef>
          </c:cat>
          <c:val>
            <c:numRef>
              <c:f>'Q4'!$P$302:$P$314</c:f>
              <c:numCache>
                <c:formatCode>0.000</c:formatCode>
                <c:ptCount val="13"/>
                <c:pt idx="0">
                  <c:v>0.34867503486750351</c:v>
                </c:pt>
                <c:pt idx="1">
                  <c:v>1.7164697706740784</c:v>
                </c:pt>
                <c:pt idx="2">
                  <c:v>1.2980802076928177</c:v>
                </c:pt>
                <c:pt idx="3">
                  <c:v>1.9693801847980146</c:v>
                </c:pt>
                <c:pt idx="4">
                  <c:v>-0.69449037634764965</c:v>
                </c:pt>
                <c:pt idx="5">
                  <c:v>-1.7983215665378904</c:v>
                </c:pt>
                <c:pt idx="6">
                  <c:v>-1.1530113944655376</c:v>
                </c:pt>
                <c:pt idx="7">
                  <c:v>2.9001418050409353</c:v>
                </c:pt>
                <c:pt idx="8">
                  <c:v>0</c:v>
                </c:pt>
                <c:pt idx="9">
                  <c:v>0</c:v>
                </c:pt>
                <c:pt idx="10">
                  <c:v>0</c:v>
                </c:pt>
                <c:pt idx="11">
                  <c:v>1.5901862789640997</c:v>
                </c:pt>
                <c:pt idx="12">
                  <c:v>0.83056478405316347</c:v>
                </c:pt>
              </c:numCache>
            </c:numRef>
          </c:val>
          <c:smooth val="0"/>
          <c:extLst>
            <c:ext xmlns:c16="http://schemas.microsoft.com/office/drawing/2014/chart" uri="{C3380CC4-5D6E-409C-BE32-E72D297353CC}">
              <c16:uniqueId val="{00000000-56EC-4BF4-BAC0-C206D7474F5E}"/>
            </c:ext>
          </c:extLst>
        </c:ser>
        <c:ser>
          <c:idx val="1"/>
          <c:order val="1"/>
          <c:tx>
            <c:v>Health MoM(%)</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'Q4'!$D$240:$D$252</c:f>
              <c:numCache>
                <c:formatCode>[$-14009]yyyy/mm/dd;@</c:formatCode>
                <c:ptCount val="13"/>
                <c:pt idx="0">
                  <c:v>43709</c:v>
                </c:pt>
                <c:pt idx="1">
                  <c:v>43739</c:v>
                </c:pt>
                <c:pt idx="2">
                  <c:v>43770</c:v>
                </c:pt>
                <c:pt idx="3">
                  <c:v>43800</c:v>
                </c:pt>
                <c:pt idx="4">
                  <c:v>43831</c:v>
                </c:pt>
                <c:pt idx="5">
                  <c:v>43862</c:v>
                </c:pt>
                <c:pt idx="6">
                  <c:v>43891</c:v>
                </c:pt>
                <c:pt idx="7">
                  <c:v>43922</c:v>
                </c:pt>
                <c:pt idx="8">
                  <c:v>43952</c:v>
                </c:pt>
                <c:pt idx="9">
                  <c:v>43983</c:v>
                </c:pt>
                <c:pt idx="10">
                  <c:v>44013</c:v>
                </c:pt>
                <c:pt idx="11">
                  <c:v>44044</c:v>
                </c:pt>
                <c:pt idx="12">
                  <c:v>44075</c:v>
                </c:pt>
              </c:numCache>
            </c:numRef>
          </c:cat>
          <c:val>
            <c:numRef>
              <c:f>'Q4'!$T$302:$T$314</c:f>
              <c:numCache>
                <c:formatCode>0.000</c:formatCode>
                <c:ptCount val="13"/>
                <c:pt idx="0">
                  <c:v>0.28268551236749517</c:v>
                </c:pt>
                <c:pt idx="1">
                  <c:v>0.35236081747709652</c:v>
                </c:pt>
                <c:pt idx="2">
                  <c:v>0.28089887640449834</c:v>
                </c:pt>
                <c:pt idx="3">
                  <c:v>0.28011204481791119</c:v>
                </c:pt>
                <c:pt idx="4">
                  <c:v>0.41899441340783716</c:v>
                </c:pt>
                <c:pt idx="5">
                  <c:v>0.41724617524338964</c:v>
                </c:pt>
                <c:pt idx="6">
                  <c:v>0.41551246537395725</c:v>
                </c:pt>
                <c:pt idx="7">
                  <c:v>-0.13793103448275079</c:v>
                </c:pt>
                <c:pt idx="8">
                  <c:v>0</c:v>
                </c:pt>
                <c:pt idx="9">
                  <c:v>0</c:v>
                </c:pt>
                <c:pt idx="10">
                  <c:v>0</c:v>
                </c:pt>
                <c:pt idx="11">
                  <c:v>0.40513166779202858</c:v>
                </c:pt>
                <c:pt idx="12">
                  <c:v>0.8742434431741839</c:v>
                </c:pt>
              </c:numCache>
            </c:numRef>
          </c:val>
          <c:smooth val="0"/>
          <c:extLst>
            <c:ext xmlns:c16="http://schemas.microsoft.com/office/drawing/2014/chart" uri="{C3380CC4-5D6E-409C-BE32-E72D297353CC}">
              <c16:uniqueId val="{00000001-56EC-4BF4-BAC0-C206D7474F5E}"/>
            </c:ext>
          </c:extLst>
        </c:ser>
        <c:dLbls>
          <c:dLblPos val="t"/>
          <c:showLegendKey val="0"/>
          <c:showVal val="1"/>
          <c:showCatName val="0"/>
          <c:showSerName val="0"/>
          <c:showPercent val="0"/>
          <c:showBubbleSize val="0"/>
        </c:dLbls>
        <c:marker val="1"/>
        <c:smooth val="0"/>
        <c:axId val="249239087"/>
        <c:axId val="249240047"/>
      </c:lineChart>
      <c:dateAx>
        <c:axId val="24923908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Year-Month</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14009]yyyy/mm/dd;@"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49240047"/>
        <c:crosses val="autoZero"/>
        <c:auto val="1"/>
        <c:lblOffset val="100"/>
        <c:baseTimeUnit val="months"/>
      </c:dateAx>
      <c:valAx>
        <c:axId val="249240047"/>
        <c:scaling>
          <c:orientation val="minMax"/>
        </c:scaling>
        <c:delete val="0"/>
        <c:axPos val="l"/>
        <c:numFmt formatCode="0.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23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Correlation with Crude Oil for Rural+Urban Sector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'Q5 MoM Inflation (%)'!$B$34</c:f>
              <c:strCache>
                <c:ptCount val="1"/>
                <c:pt idx="0">
                  <c:v>Correlation with Crude Oil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 MoM Inflation (%)'!$A$35:$A$60</c:f>
              <c:strCache>
                <c:ptCount val="26"/>
                <c:pt idx="0">
                  <c:v>Meat and fish</c:v>
                </c:pt>
                <c:pt idx="1">
                  <c:v>Oils and fats</c:v>
                </c:pt>
                <c:pt idx="2">
                  <c:v>Non-alcoholic beverages</c:v>
                </c:pt>
                <c:pt idx="3">
                  <c:v>Fuel</c:v>
                </c:pt>
                <c:pt idx="4">
                  <c:v> Transport</c:v>
                </c:pt>
                <c:pt idx="5">
                  <c:v>Pan, tobacco and intoxicants</c:v>
                </c:pt>
                <c:pt idx="6">
                  <c:v>Footwear</c:v>
                </c:pt>
                <c:pt idx="7">
                  <c:v>Recreation and amusement</c:v>
                </c:pt>
                <c:pt idx="8">
                  <c:v>Housing</c:v>
                </c:pt>
                <c:pt idx="9">
                  <c:v>Fruits</c:v>
                </c:pt>
                <c:pt idx="10">
                  <c:v>Prepared meals, snacks, sweets etc.</c:v>
                </c:pt>
                <c:pt idx="11">
                  <c:v>Clothing and footwear</c:v>
                </c:pt>
                <c:pt idx="12">
                  <c:v>Miscellaneous</c:v>
                </c:pt>
                <c:pt idx="13">
                  <c:v>Clothing</c:v>
                </c:pt>
                <c:pt idx="14">
                  <c:v>Health</c:v>
                </c:pt>
                <c:pt idx="15">
                  <c:v>Food and beverages</c:v>
                </c:pt>
                <c:pt idx="16">
                  <c:v>Personal care and effects</c:v>
                </c:pt>
                <c:pt idx="17">
                  <c:v>Vegetables</c:v>
                </c:pt>
                <c:pt idx="18">
                  <c:v>Household goods and services</c:v>
                </c:pt>
                <c:pt idx="19">
                  <c:v>Education</c:v>
                </c:pt>
                <c:pt idx="20">
                  <c:v>Spices</c:v>
                </c:pt>
                <c:pt idx="21">
                  <c:v>Egg</c:v>
                </c:pt>
                <c:pt idx="22">
                  <c:v>Sugar and Confectionery</c:v>
                </c:pt>
                <c:pt idx="23">
                  <c:v>Pulses and products</c:v>
                </c:pt>
                <c:pt idx="24">
                  <c:v>Milk and products</c:v>
                </c:pt>
                <c:pt idx="25">
                  <c:v> Cereals and products </c:v>
                </c:pt>
              </c:strCache>
            </c:strRef>
          </c:cat>
          <c:val>
            <c:numRef>
              <c:f>'Q5 MoM Inflation (%)'!$B$35:$B$60</c:f>
              <c:numCache>
                <c:formatCode>0.000</c:formatCode>
                <c:ptCount val="26"/>
                <c:pt idx="0" formatCode="0.0000">
                  <c:v>0.42973093117971656</c:v>
                </c:pt>
                <c:pt idx="1">
                  <c:v>0.41129444264298937</c:v>
                </c:pt>
                <c:pt idx="2">
                  <c:v>0.21365043418242705</c:v>
                </c:pt>
                <c:pt idx="3">
                  <c:v>0.19144046789905109</c:v>
                </c:pt>
                <c:pt idx="4">
                  <c:v>0.14856521077443938</c:v>
                </c:pt>
                <c:pt idx="5">
                  <c:v>0.13539048533894854</c:v>
                </c:pt>
                <c:pt idx="6">
                  <c:v>0.12760319408704865</c:v>
                </c:pt>
                <c:pt idx="7">
                  <c:v>0.1008423387569555</c:v>
                </c:pt>
                <c:pt idx="8">
                  <c:v>8.3996363369060051E-2</c:v>
                </c:pt>
                <c:pt idx="9">
                  <c:v>8.1042054844692457E-2</c:v>
                </c:pt>
                <c:pt idx="10">
                  <c:v>7.6445908829199535E-2</c:v>
                </c:pt>
                <c:pt idx="11">
                  <c:v>6.9144930721209003E-2</c:v>
                </c:pt>
                <c:pt idx="12">
                  <c:v>5.870044141065181E-2</c:v>
                </c:pt>
                <c:pt idx="13">
                  <c:v>4.5622431662634022E-2</c:v>
                </c:pt>
                <c:pt idx="14">
                  <c:v>2.7453368860141738E-2</c:v>
                </c:pt>
                <c:pt idx="15">
                  <c:v>1.494592740765653E-2</c:v>
                </c:pt>
                <c:pt idx="16">
                  <c:v>-1.0883674968654482E-2</c:v>
                </c:pt>
                <c:pt idx="17">
                  <c:v>-2.8836407746499971E-2</c:v>
                </c:pt>
                <c:pt idx="18">
                  <c:v>-6.1830770347033305E-2</c:v>
                </c:pt>
                <c:pt idx="19">
                  <c:v>-0.15588082916437326</c:v>
                </c:pt>
                <c:pt idx="20">
                  <c:v>-0.18458077876168888</c:v>
                </c:pt>
                <c:pt idx="21" formatCode="0.0000">
                  <c:v>-0.19432921087556557</c:v>
                </c:pt>
                <c:pt idx="22">
                  <c:v>-0.2346398982588434</c:v>
                </c:pt>
                <c:pt idx="23">
                  <c:v>-0.24889777706495761</c:v>
                </c:pt>
                <c:pt idx="24">
                  <c:v>-0.28452463483082929</c:v>
                </c:pt>
                <c:pt idx="25">
                  <c:v>-0.30007476541460198</c:v>
                </c:pt>
              </c:numCache>
            </c:numRef>
          </c:val>
          <c:extLst>
            <c:ext xmlns:c16="http://schemas.microsoft.com/office/drawing/2014/chart" uri="{C3380CC4-5D6E-409C-BE32-E72D297353CC}">
              <c16:uniqueId val="{00000000-2CBC-4D6F-AC15-BCB2E0E45677}"/>
            </c:ext>
          </c:extLst>
        </c:ser>
        <c:dLbls>
          <c:dLblPos val="outEnd"/>
          <c:showLegendKey val="0"/>
          <c:showVal val="1"/>
          <c:showCatName val="0"/>
          <c:showSerName val="0"/>
          <c:showPercent val="0"/>
          <c:showBubbleSize val="0"/>
        </c:dLbls>
        <c:gapWidth val="100"/>
        <c:overlap val="-24"/>
        <c:axId val="158886288"/>
        <c:axId val="158871312"/>
      </c:barChart>
      <c:catAx>
        <c:axId val="158886288"/>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71312"/>
        <c:crosses val="autoZero"/>
        <c:auto val="1"/>
        <c:lblAlgn val="ctr"/>
        <c:lblOffset val="100"/>
        <c:noMultiLvlLbl val="0"/>
      </c:catAx>
      <c:valAx>
        <c:axId val="158871312"/>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86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Correlation with Crude Oil for Rural Sector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'Q5 MoM Inflation (%)'!$B$98</c:f>
              <c:strCache>
                <c:ptCount val="1"/>
                <c:pt idx="0">
                  <c:v>Correlation with Crude Oil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 MoM Inflation (%)'!$A$99:$A$124</c:f>
              <c:strCache>
                <c:ptCount val="26"/>
                <c:pt idx="0">
                  <c:v>Oils and fats</c:v>
                </c:pt>
                <c:pt idx="1">
                  <c:v>Meat and fish</c:v>
                </c:pt>
                <c:pt idx="2">
                  <c:v>Recreation and amusement</c:v>
                </c:pt>
                <c:pt idx="3">
                  <c:v>Non-alcoholic beverages</c:v>
                </c:pt>
                <c:pt idx="4">
                  <c:v>Fuel</c:v>
                </c:pt>
                <c:pt idx="5">
                  <c:v>Pan, tobacco and intoxicants</c:v>
                </c:pt>
                <c:pt idx="6">
                  <c:v>Footwear</c:v>
                </c:pt>
                <c:pt idx="7">
                  <c:v>Prepared meals, snacks, sweets etc.</c:v>
                </c:pt>
                <c:pt idx="8">
                  <c:v> Transport</c:v>
                </c:pt>
                <c:pt idx="9">
                  <c:v>Clothing and footwear</c:v>
                </c:pt>
                <c:pt idx="10">
                  <c:v>Health</c:v>
                </c:pt>
                <c:pt idx="11">
                  <c:v>Clothing</c:v>
                </c:pt>
                <c:pt idx="12">
                  <c:v>Miscellaneous</c:v>
                </c:pt>
                <c:pt idx="13">
                  <c:v>Fruits</c:v>
                </c:pt>
                <c:pt idx="14">
                  <c:v>Personal care and effects</c:v>
                </c:pt>
                <c:pt idx="15">
                  <c:v>Housing</c:v>
                </c:pt>
                <c:pt idx="16">
                  <c:v>Food and beverages</c:v>
                </c:pt>
                <c:pt idx="17">
                  <c:v>Household goods and services</c:v>
                </c:pt>
                <c:pt idx="18">
                  <c:v>Vegetables</c:v>
                </c:pt>
                <c:pt idx="19">
                  <c:v>Sugar and Confectionery</c:v>
                </c:pt>
                <c:pt idx="20">
                  <c:v>Education</c:v>
                </c:pt>
                <c:pt idx="21">
                  <c:v>Spices</c:v>
                </c:pt>
                <c:pt idx="22">
                  <c:v>Pulses and products</c:v>
                </c:pt>
                <c:pt idx="23">
                  <c:v>Egg</c:v>
                </c:pt>
                <c:pt idx="24">
                  <c:v> Cereals and products </c:v>
                </c:pt>
                <c:pt idx="25">
                  <c:v>Milk and products</c:v>
                </c:pt>
              </c:strCache>
            </c:strRef>
          </c:cat>
          <c:val>
            <c:numRef>
              <c:f>'Q5 MoM Inflation (%)'!$B$99:$B$124</c:f>
              <c:numCache>
                <c:formatCode>0.000</c:formatCode>
                <c:ptCount val="26"/>
                <c:pt idx="0">
                  <c:v>0.46090324030029434</c:v>
                </c:pt>
                <c:pt idx="1">
                  <c:v>0.41461066206367064</c:v>
                </c:pt>
                <c:pt idx="2">
                  <c:v>0.32675720443946193</c:v>
                </c:pt>
                <c:pt idx="3">
                  <c:v>0.27140508631314814</c:v>
                </c:pt>
                <c:pt idx="4">
                  <c:v>0.19014686407810327</c:v>
                </c:pt>
                <c:pt idx="5">
                  <c:v>0.17577405341385946</c:v>
                </c:pt>
                <c:pt idx="6">
                  <c:v>0.15082602596149561</c:v>
                </c:pt>
                <c:pt idx="7">
                  <c:v>0.12132319124220078</c:v>
                </c:pt>
                <c:pt idx="8">
                  <c:v>8.5155270007153575E-2</c:v>
                </c:pt>
                <c:pt idx="9">
                  <c:v>6.8481522867632719E-2</c:v>
                </c:pt>
                <c:pt idx="10">
                  <c:v>6.185069180159955E-2</c:v>
                </c:pt>
                <c:pt idx="11">
                  <c:v>4.5637686636536015E-2</c:v>
                </c:pt>
                <c:pt idx="12">
                  <c:v>4.5178837391909539E-2</c:v>
                </c:pt>
                <c:pt idx="13">
                  <c:v>4.0141211863469792E-2</c:v>
                </c:pt>
                <c:pt idx="14">
                  <c:v>5.4007449439882173E-3</c:v>
                </c:pt>
                <c:pt idx="15">
                  <c:v>0</c:v>
                </c:pt>
                <c:pt idx="16">
                  <c:v>-1.6504230424760235E-5</c:v>
                </c:pt>
                <c:pt idx="17">
                  <c:v>-3.27852043298658E-2</c:v>
                </c:pt>
                <c:pt idx="18">
                  <c:v>-5.2601789798461682E-2</c:v>
                </c:pt>
                <c:pt idx="19">
                  <c:v>-9.7265735803420655E-2</c:v>
                </c:pt>
                <c:pt idx="20">
                  <c:v>-0.12377461095491414</c:v>
                </c:pt>
                <c:pt idx="21">
                  <c:v>-0.16319768673598739</c:v>
                </c:pt>
                <c:pt idx="22">
                  <c:v>-0.16680236791730554</c:v>
                </c:pt>
                <c:pt idx="23">
                  <c:v>-0.22442530671210661</c:v>
                </c:pt>
                <c:pt idx="24">
                  <c:v>-0.27341287383012364</c:v>
                </c:pt>
                <c:pt idx="25">
                  <c:v>-0.31650842989951938</c:v>
                </c:pt>
              </c:numCache>
            </c:numRef>
          </c:val>
          <c:extLst>
            <c:ext xmlns:c16="http://schemas.microsoft.com/office/drawing/2014/chart" uri="{C3380CC4-5D6E-409C-BE32-E72D297353CC}">
              <c16:uniqueId val="{00000000-ECAC-4529-8D7B-CCEDF44B75F4}"/>
            </c:ext>
          </c:extLst>
        </c:ser>
        <c:dLbls>
          <c:dLblPos val="outEnd"/>
          <c:showLegendKey val="0"/>
          <c:showVal val="1"/>
          <c:showCatName val="0"/>
          <c:showSerName val="0"/>
          <c:showPercent val="0"/>
          <c:showBubbleSize val="0"/>
        </c:dLbls>
        <c:gapWidth val="100"/>
        <c:overlap val="-24"/>
        <c:axId val="302414384"/>
        <c:axId val="302397328"/>
      </c:barChart>
      <c:catAx>
        <c:axId val="3024143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Categories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97328"/>
        <c:crosses val="autoZero"/>
        <c:auto val="1"/>
        <c:lblAlgn val="ctr"/>
        <c:lblOffset val="100"/>
        <c:noMultiLvlLbl val="0"/>
      </c:catAx>
      <c:valAx>
        <c:axId val="302397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Correl Values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14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Correlation with Crude Oil for Urban Sector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'Q5 MoM Inflation (%)'!$B$162</c:f>
              <c:strCache>
                <c:ptCount val="1"/>
                <c:pt idx="0">
                  <c:v>Correlation with Crude Oil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'Q5 MoM Inflation (%)'!$A$163:$A$188</c:f>
              <c:strCache>
                <c:ptCount val="26"/>
                <c:pt idx="0">
                  <c:v>Clothing and footwear</c:v>
                </c:pt>
                <c:pt idx="1">
                  <c:v>Footwear</c:v>
                </c:pt>
                <c:pt idx="2">
                  <c:v>Health</c:v>
                </c:pt>
                <c:pt idx="3">
                  <c:v>Prepared meals, snacks, sweets etc.</c:v>
                </c:pt>
                <c:pt idx="4">
                  <c:v> Transport</c:v>
                </c:pt>
                <c:pt idx="5">
                  <c:v>Sugar and Confectionery</c:v>
                </c:pt>
                <c:pt idx="6">
                  <c:v>Household goods and services</c:v>
                </c:pt>
                <c:pt idx="7">
                  <c:v>Fruits</c:v>
                </c:pt>
                <c:pt idx="8">
                  <c:v>Pulses and products</c:v>
                </c:pt>
                <c:pt idx="9">
                  <c:v>Housing</c:v>
                </c:pt>
                <c:pt idx="10">
                  <c:v>Miscellaneous</c:v>
                </c:pt>
                <c:pt idx="11">
                  <c:v>Fuel</c:v>
                </c:pt>
                <c:pt idx="12">
                  <c:v>Spices</c:v>
                </c:pt>
                <c:pt idx="13">
                  <c:v>Egg</c:v>
                </c:pt>
                <c:pt idx="14">
                  <c:v>Personal care and effects</c:v>
                </c:pt>
                <c:pt idx="15">
                  <c:v>Clothing</c:v>
                </c:pt>
                <c:pt idx="16">
                  <c:v>Food and beverages</c:v>
                </c:pt>
                <c:pt idx="17">
                  <c:v>Vegetables</c:v>
                </c:pt>
                <c:pt idx="18">
                  <c:v>Oils and fats</c:v>
                </c:pt>
                <c:pt idx="19">
                  <c:v> Cereals and products </c:v>
                </c:pt>
                <c:pt idx="20">
                  <c:v>Recreation and amusement</c:v>
                </c:pt>
                <c:pt idx="21">
                  <c:v>Meat and fish</c:v>
                </c:pt>
                <c:pt idx="22">
                  <c:v>Non-alcoholic beverages</c:v>
                </c:pt>
                <c:pt idx="23">
                  <c:v>Milk and products</c:v>
                </c:pt>
                <c:pt idx="24">
                  <c:v>Education</c:v>
                </c:pt>
                <c:pt idx="25">
                  <c:v>Pan, tobacco and intoxicants</c:v>
                </c:pt>
              </c:strCache>
            </c:strRef>
          </c:cat>
          <c:val>
            <c:numRef>
              <c:f>'Q5 MoM Inflation (%)'!$B$163:$B$188</c:f>
              <c:numCache>
                <c:formatCode>0.000</c:formatCode>
                <c:ptCount val="26"/>
                <c:pt idx="0">
                  <c:v>0.789176670806087</c:v>
                </c:pt>
                <c:pt idx="1">
                  <c:v>0.68868184638983232</c:v>
                </c:pt>
                <c:pt idx="2">
                  <c:v>0.61508443177207439</c:v>
                </c:pt>
                <c:pt idx="3">
                  <c:v>0.40506861814486578</c:v>
                </c:pt>
                <c:pt idx="4">
                  <c:v>0.39998265286372109</c:v>
                </c:pt>
                <c:pt idx="5">
                  <c:v>0.33608486146428423</c:v>
                </c:pt>
                <c:pt idx="6">
                  <c:v>0.22362153316156053</c:v>
                </c:pt>
                <c:pt idx="7">
                  <c:v>0.20663552708362928</c:v>
                </c:pt>
                <c:pt idx="8">
                  <c:v>0.20433911033316191</c:v>
                </c:pt>
                <c:pt idx="9">
                  <c:v>0.19893778292263881</c:v>
                </c:pt>
                <c:pt idx="10">
                  <c:v>0.1911699512967247</c:v>
                </c:pt>
                <c:pt idx="11">
                  <c:v>0.17201782322286507</c:v>
                </c:pt>
                <c:pt idx="12">
                  <c:v>0.13831125345891968</c:v>
                </c:pt>
                <c:pt idx="13">
                  <c:v>5.3502206340981961E-2</c:v>
                </c:pt>
                <c:pt idx="14">
                  <c:v>2.2372129596494372E-2</c:v>
                </c:pt>
                <c:pt idx="15">
                  <c:v>-2.3277327554620475E-2</c:v>
                </c:pt>
                <c:pt idx="16">
                  <c:v>-5.5239998673338682E-2</c:v>
                </c:pt>
                <c:pt idx="17">
                  <c:v>-6.2515883815650111E-2</c:v>
                </c:pt>
                <c:pt idx="18">
                  <c:v>-0.11571291295589958</c:v>
                </c:pt>
                <c:pt idx="19">
                  <c:v>-0.15034012828651605</c:v>
                </c:pt>
                <c:pt idx="20">
                  <c:v>-0.16641716890544389</c:v>
                </c:pt>
                <c:pt idx="21">
                  <c:v>-0.16714357322639678</c:v>
                </c:pt>
                <c:pt idx="22">
                  <c:v>-0.33612371343839043</c:v>
                </c:pt>
                <c:pt idx="23">
                  <c:v>-0.34815785059091325</c:v>
                </c:pt>
                <c:pt idx="24">
                  <c:v>-0.39856580783869755</c:v>
                </c:pt>
                <c:pt idx="25">
                  <c:v>-0.48005437890837244</c:v>
                </c:pt>
              </c:numCache>
            </c:numRef>
          </c:val>
          <c:extLst>
            <c:ext xmlns:c16="http://schemas.microsoft.com/office/drawing/2014/chart" uri="{C3380CC4-5D6E-409C-BE32-E72D297353CC}">
              <c16:uniqueId val="{00000000-9C31-4616-88BD-C671E3409C86}"/>
            </c:ext>
          </c:extLst>
        </c:ser>
        <c:dLbls>
          <c:dLblPos val="outEnd"/>
          <c:showLegendKey val="0"/>
          <c:showVal val="1"/>
          <c:showCatName val="0"/>
          <c:showSerName val="0"/>
          <c:showPercent val="0"/>
          <c:showBubbleSize val="0"/>
        </c:dLbls>
        <c:gapWidth val="100"/>
        <c:overlap val="-24"/>
        <c:axId val="310945904"/>
        <c:axId val="383734368"/>
      </c:barChart>
      <c:catAx>
        <c:axId val="3109459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Categories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3734368"/>
        <c:crosses val="autoZero"/>
        <c:auto val="1"/>
        <c:lblAlgn val="ctr"/>
        <c:lblOffset val="100"/>
        <c:noMultiLvlLbl val="0"/>
      </c:catAx>
      <c:valAx>
        <c:axId val="38373436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Correlation Values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0945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3</xdr:col>
      <xdr:colOff>28575</xdr:colOff>
      <xdr:row>1</xdr:row>
      <xdr:rowOff>19050</xdr:rowOff>
    </xdr:from>
    <xdr:to>
      <xdr:col>10</xdr:col>
      <xdr:colOff>400050</xdr:colOff>
      <xdr:row>15</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xdr:row>
      <xdr:rowOff>9525</xdr:rowOff>
    </xdr:from>
    <xdr:to>
      <xdr:col>2</xdr:col>
      <xdr:colOff>752475</xdr:colOff>
      <xdr:row>26</xdr:row>
      <xdr:rowOff>95249</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38</xdr:row>
      <xdr:rowOff>166688</xdr:rowOff>
    </xdr:from>
    <xdr:to>
      <xdr:col>2</xdr:col>
      <xdr:colOff>97631</xdr:colOff>
      <xdr:row>53</xdr:row>
      <xdr:rowOff>52388</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350383</xdr:colOff>
      <xdr:row>24</xdr:row>
      <xdr:rowOff>57150</xdr:rowOff>
    </xdr:from>
    <xdr:to>
      <xdr:col>11</xdr:col>
      <xdr:colOff>91847</xdr:colOff>
      <xdr:row>38</xdr:row>
      <xdr:rowOff>129948</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231321</xdr:colOff>
      <xdr:row>47</xdr:row>
      <xdr:rowOff>133691</xdr:rowOff>
    </xdr:from>
    <xdr:to>
      <xdr:col>20</xdr:col>
      <xdr:colOff>382700</xdr:colOff>
      <xdr:row>58</xdr:row>
      <xdr:rowOff>42523</xdr:rowOff>
    </xdr:to>
    <xdr:graphicFrame macro="">
      <xdr:nvGraphicFramePr>
        <xdr:cNvPr id="6" name="Chart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139471</xdr:colOff>
      <xdr:row>64</xdr:row>
      <xdr:rowOff>80963</xdr:rowOff>
    </xdr:from>
    <xdr:to>
      <xdr:col>13</xdr:col>
      <xdr:colOff>449034</xdr:colOff>
      <xdr:row>76</xdr:row>
      <xdr:rowOff>34018</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280649</xdr:colOff>
      <xdr:row>79</xdr:row>
      <xdr:rowOff>0</xdr:rowOff>
    </xdr:from>
    <xdr:to>
      <xdr:col>21</xdr:col>
      <xdr:colOff>544286</xdr:colOff>
      <xdr:row>88</xdr:row>
      <xdr:rowOff>51026</xdr:rowOff>
    </xdr:to>
    <xdr:graphicFrame macro="">
      <xdr:nvGraphicFramePr>
        <xdr:cNvPr id="8" name="Chart 7">
          <a:extLst>
            <a:ext uri="{FF2B5EF4-FFF2-40B4-BE49-F238E27FC236}">
              <a16:creationId xmlns:a16="http://schemas.microsoft.com/office/drawing/2014/main" id="{00000000-0008-0000-06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416719</xdr:colOff>
      <xdr:row>64</xdr:row>
      <xdr:rowOff>25513</xdr:rowOff>
    </xdr:from>
    <xdr:to>
      <xdr:col>21</xdr:col>
      <xdr:colOff>93549</xdr:colOff>
      <xdr:row>78</xdr:row>
      <xdr:rowOff>161585</xdr:rowOff>
    </xdr:to>
    <xdr:graphicFrame macro="">
      <xdr:nvGraphicFramePr>
        <xdr:cNvPr id="9" name="Chart 8">
          <a:extLst>
            <a:ext uri="{FF2B5EF4-FFF2-40B4-BE49-F238E27FC236}">
              <a16:creationId xmlns:a16="http://schemas.microsoft.com/office/drawing/2014/main" id="{B2434999-E000-469F-92A8-4AD1F0384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222817</xdr:colOff>
      <xdr:row>49</xdr:row>
      <xdr:rowOff>82663</xdr:rowOff>
    </xdr:from>
    <xdr:to>
      <xdr:col>10</xdr:col>
      <xdr:colOff>568099</xdr:colOff>
      <xdr:row>64</xdr:row>
      <xdr:rowOff>19390</xdr:rowOff>
    </xdr:to>
    <xdr:graphicFrame macro="">
      <xdr:nvGraphicFramePr>
        <xdr:cNvPr id="10" name="Chart 9">
          <a:extLst>
            <a:ext uri="{FF2B5EF4-FFF2-40B4-BE49-F238E27FC236}">
              <a16:creationId xmlns:a16="http://schemas.microsoft.com/office/drawing/2014/main" id="{00000000-0008-0000-0B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324870</xdr:colOff>
      <xdr:row>77</xdr:row>
      <xdr:rowOff>6121</xdr:rowOff>
    </xdr:from>
    <xdr:to>
      <xdr:col>11</xdr:col>
      <xdr:colOff>340179</xdr:colOff>
      <xdr:row>93</xdr:row>
      <xdr:rowOff>8503</xdr:rowOff>
    </xdr:to>
    <xdr:graphicFrame macro="">
      <xdr:nvGraphicFramePr>
        <xdr:cNvPr id="11" name="Chart 10">
          <a:extLst>
            <a:ext uri="{FF2B5EF4-FFF2-40B4-BE49-F238E27FC236}">
              <a16:creationId xmlns:a16="http://schemas.microsoft.com/office/drawing/2014/main" id="{00000000-0008-0000-0B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213360</xdr:colOff>
      <xdr:row>0</xdr:row>
      <xdr:rowOff>15240</xdr:rowOff>
    </xdr:from>
    <xdr:to>
      <xdr:col>10</xdr:col>
      <xdr:colOff>236220</xdr:colOff>
      <xdr:row>13</xdr:row>
      <xdr:rowOff>0</xdr:rowOff>
    </xdr:to>
    <xdr:graphicFrame macro="">
      <xdr:nvGraphicFramePr>
        <xdr:cNvPr id="2" name="Chart 1">
          <a:extLst>
            <a:ext uri="{FF2B5EF4-FFF2-40B4-BE49-F238E27FC236}">
              <a16:creationId xmlns:a16="http://schemas.microsoft.com/office/drawing/2014/main" id="{FA3DA19D-359F-A4B2-DEAF-09AEBB365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220980</xdr:colOff>
      <xdr:row>13</xdr:row>
      <xdr:rowOff>175260</xdr:rowOff>
    </xdr:from>
    <xdr:to>
      <xdr:col>10</xdr:col>
      <xdr:colOff>243840</xdr:colOff>
      <xdr:row>28</xdr:row>
      <xdr:rowOff>99060</xdr:rowOff>
    </xdr:to>
    <xdr:graphicFrame macro="">
      <xdr:nvGraphicFramePr>
        <xdr:cNvPr id="3" name="Chart 2">
          <a:extLst>
            <a:ext uri="{FF2B5EF4-FFF2-40B4-BE49-F238E27FC236}">
              <a16:creationId xmlns:a16="http://schemas.microsoft.com/office/drawing/2014/main" id="{FA3DA19D-359F-A4B2-DEAF-09AEBB365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560070</xdr:colOff>
      <xdr:row>29</xdr:row>
      <xdr:rowOff>123825</xdr:rowOff>
    </xdr:from>
    <xdr:to>
      <xdr:col>11</xdr:col>
      <xdr:colOff>255270</xdr:colOff>
      <xdr:row>44</xdr:row>
      <xdr:rowOff>9525</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137160</xdr:colOff>
      <xdr:row>0</xdr:row>
      <xdr:rowOff>0</xdr:rowOff>
    </xdr:from>
    <xdr:to>
      <xdr:col>22</xdr:col>
      <xdr:colOff>320040</xdr:colOff>
      <xdr:row>18</xdr:row>
      <xdr:rowOff>0</xdr:rowOff>
    </xdr:to>
    <xdr:graphicFrame macro="">
      <xdr:nvGraphicFramePr>
        <xdr:cNvPr id="2" name="Chart 1">
          <a:extLst>
            <a:ext uri="{FF2B5EF4-FFF2-40B4-BE49-F238E27FC236}">
              <a16:creationId xmlns:a16="http://schemas.microsoft.com/office/drawing/2014/main" id="{11342B1F-5009-40CD-B561-E66214DB3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228600</xdr:colOff>
      <xdr:row>25</xdr:row>
      <xdr:rowOff>106680</xdr:rowOff>
    </xdr:from>
    <xdr:to>
      <xdr:col>20</xdr:col>
      <xdr:colOff>510540</xdr:colOff>
      <xdr:row>42</xdr:row>
      <xdr:rowOff>30480</xdr:rowOff>
    </xdr:to>
    <xdr:graphicFrame macro="">
      <xdr:nvGraphicFramePr>
        <xdr:cNvPr id="3" name="Chart 2">
          <a:extLst>
            <a:ext uri="{FF2B5EF4-FFF2-40B4-BE49-F238E27FC236}">
              <a16:creationId xmlns:a16="http://schemas.microsoft.com/office/drawing/2014/main" id="{370EB7BE-300D-4548-8DFA-E835304C2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220980</xdr:colOff>
      <xdr:row>28</xdr:row>
      <xdr:rowOff>30480</xdr:rowOff>
    </xdr:from>
    <xdr:to>
      <xdr:col>13</xdr:col>
      <xdr:colOff>251460</xdr:colOff>
      <xdr:row>37</xdr:row>
      <xdr:rowOff>30480</xdr:rowOff>
    </xdr:to>
    <xdr:cxnSp macro="">
      <xdr:nvCxnSpPr>
        <xdr:cNvPr id="4" name="Straight Connector 3">
          <a:extLst>
            <a:ext uri="{FF2B5EF4-FFF2-40B4-BE49-F238E27FC236}">
              <a16:creationId xmlns:a16="http://schemas.microsoft.com/office/drawing/2014/main" id="{B6E706CB-ECA2-4AA1-957B-DB19BB918E7F}"/>
            </a:ext>
          </a:extLst>
        </xdr:cNvPr>
        <xdr:cNvCxnSpPr/>
      </xdr:nvCxnSpPr>
      <xdr:spPr>
        <a:xfrm>
          <a:off x="13639800" y="5151120"/>
          <a:ext cx="30480" cy="1645920"/>
        </a:xfrm>
        <a:prstGeom prst="line">
          <a:avLst/>
        </a:prstGeom>
        <a:ln w="19050"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152400</xdr:colOff>
      <xdr:row>47</xdr:row>
      <xdr:rowOff>15240</xdr:rowOff>
    </xdr:from>
    <xdr:to>
      <xdr:col>20</xdr:col>
      <xdr:colOff>472440</xdr:colOff>
      <xdr:row>67</xdr:row>
      <xdr:rowOff>41910</xdr:rowOff>
    </xdr:to>
    <xdr:graphicFrame macro="">
      <xdr:nvGraphicFramePr>
        <xdr:cNvPr id="6" name="Chart 5">
          <a:extLst>
            <a:ext uri="{FF2B5EF4-FFF2-40B4-BE49-F238E27FC236}">
              <a16:creationId xmlns:a16="http://schemas.microsoft.com/office/drawing/2014/main" id="{73915893-7504-4001-86ED-2E7E891B9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167640</xdr:colOff>
      <xdr:row>49</xdr:row>
      <xdr:rowOff>167640</xdr:rowOff>
    </xdr:from>
    <xdr:to>
      <xdr:col>13</xdr:col>
      <xdr:colOff>213360</xdr:colOff>
      <xdr:row>62</xdr:row>
      <xdr:rowOff>60960</xdr:rowOff>
    </xdr:to>
    <xdr:cxnSp macro="">
      <xdr:nvCxnSpPr>
        <xdr:cNvPr id="7" name="Straight Connector 6">
          <a:extLst>
            <a:ext uri="{FF2B5EF4-FFF2-40B4-BE49-F238E27FC236}">
              <a16:creationId xmlns:a16="http://schemas.microsoft.com/office/drawing/2014/main" id="{373F4AC4-AE07-4D9D-98C7-63F899AADBAE}"/>
            </a:ext>
          </a:extLst>
        </xdr:cNvPr>
        <xdr:cNvCxnSpPr/>
      </xdr:nvCxnSpPr>
      <xdr:spPr>
        <a:xfrm>
          <a:off x="13586460" y="9128760"/>
          <a:ext cx="45720" cy="2270760"/>
        </a:xfrm>
        <a:prstGeom prst="line">
          <a:avLst/>
        </a:prstGeom>
        <a:ln w="19050"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4.xml><?xml version="1.0" encoding="utf-8"?>
<c:userShapes xmlns:c="http://schemas.openxmlformats.org/drawingml/2006/chart">
  <cdr:relSizeAnchor xmlns:cdr="http://schemas.openxmlformats.org/drawingml/2006/chartDrawing">
    <cdr:from>
      <cdr:x>0.46872</cdr:x>
      <cdr:y>0.12691</cdr:y>
    </cdr:from>
    <cdr:to>
      <cdr:x>0.4696</cdr:x>
      <cdr:y>0.73961</cdr:y>
    </cdr:to>
    <cdr:cxnSp macro="">
      <cdr:nvCxnSpPr>
        <cdr:cNvPr id="3" name="Straight Connector 2">
          <a:extLst xmlns:a="http://schemas.openxmlformats.org/drawingml/2006/main">
            <a:ext uri="{FF2B5EF4-FFF2-40B4-BE49-F238E27FC236}">
              <a16:creationId xmlns:a16="http://schemas.microsoft.com/office/drawing/2014/main" id="{3455D181-E17C-12B6-0C9E-A18F6C067CA5}"/>
            </a:ext>
          </a:extLst>
        </cdr:cNvPr>
        <cdr:cNvCxnSpPr/>
      </cdr:nvCxnSpPr>
      <cdr:spPr>
        <a:xfrm xmlns:a="http://schemas.openxmlformats.org/drawingml/2006/main">
          <a:off x="4053840" y="441960"/>
          <a:ext cx="7620" cy="2133600"/>
        </a:xfrm>
        <a:prstGeom xmlns:a="http://schemas.openxmlformats.org/drawingml/2006/main" prst="line">
          <a:avLst/>
        </a:prstGeom>
        <a:ln xmlns:a="http://schemas.openxmlformats.org/drawingml/2006/main" w="12700" cap="flat" cmpd="sng" algn="ctr">
          <a:solidFill>
            <a:schemeClr val="dk1"/>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5.xml><?xml version="1.0" encoding="utf-8"?>
<c:userShapes xmlns:c="http://schemas.openxmlformats.org/drawingml/2006/chart">
  <cdr:relSizeAnchor xmlns:cdr="http://schemas.openxmlformats.org/drawingml/2006/chartDrawing">
    <cdr:from>
      <cdr:x>1</cdr:x>
      <cdr:y>0.37539</cdr:y>
    </cdr:from>
    <cdr:to>
      <cdr:x>1</cdr:x>
      <cdr:y>1</cdr:y>
    </cdr:to>
    <cdr:cxnSp macro="">
      <cdr:nvCxnSpPr>
        <cdr:cNvPr id="2" name="Straight Connector 1">
          <a:extLst xmlns:a="http://schemas.openxmlformats.org/drawingml/2006/main">
            <a:ext uri="{FF2B5EF4-FFF2-40B4-BE49-F238E27FC236}">
              <a16:creationId xmlns:a16="http://schemas.microsoft.com/office/drawing/2014/main" id="{450E398C-4C92-26D4-CB71-9921B7C07A37}"/>
            </a:ext>
          </a:extLst>
        </cdr:cNvPr>
        <cdr:cNvCxnSpPr/>
      </cdr:nvCxnSpPr>
      <cdr:spPr>
        <a:xfrm xmlns:a="http://schemas.openxmlformats.org/drawingml/2006/main">
          <a:off x="38531800" y="44810680"/>
          <a:ext cx="0" cy="2301240"/>
        </a:xfrm>
        <a:prstGeom xmlns:a="http://schemas.openxmlformats.org/drawingml/2006/main" prst="line">
          <a:avLst/>
        </a:prstGeom>
        <a:ln xmlns:a="http://schemas.openxmlformats.org/drawingml/2006/main" w="19050" cap="flat" cmpd="sng" algn="ctr">
          <a:solidFill>
            <a:schemeClr val="accent3"/>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6.xml><?xml version="1.0" encoding="utf-8"?>
<xdr:wsDr xmlns:xdr="http://schemas.openxmlformats.org/drawingml/2006/spreadsheetDrawing" xmlns:a="http://schemas.openxmlformats.org/drawingml/2006/main">
  <xdr:twoCellAnchor>
    <xdr:from>
      <xdr:col>7</xdr:col>
      <xdr:colOff>742950</xdr:colOff>
      <xdr:row>17</xdr:row>
      <xdr:rowOff>26670</xdr:rowOff>
    </xdr:from>
    <xdr:to>
      <xdr:col>13</xdr:col>
      <xdr:colOff>361950</xdr:colOff>
      <xdr:row>31</xdr:row>
      <xdr:rowOff>361950</xdr:rowOff>
    </xdr:to>
    <xdr:graphicFrame macro="">
      <xdr:nvGraphicFramePr>
        <xdr:cNvPr id="2" name="Chart 1">
          <a:extLst>
            <a:ext uri="{FF2B5EF4-FFF2-40B4-BE49-F238E27FC236}">
              <a16:creationId xmlns:a16="http://schemas.microsoft.com/office/drawing/2014/main" id="{E30F9274-96C0-D0A7-A70A-A5AC12371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390525</xdr:colOff>
      <xdr:row>17</xdr:row>
      <xdr:rowOff>38100</xdr:rowOff>
    </xdr:from>
    <xdr:to>
      <xdr:col>17</xdr:col>
      <xdr:colOff>687705</xdr:colOff>
      <xdr:row>32</xdr:row>
      <xdr:rowOff>41910</xdr:rowOff>
    </xdr:to>
    <xdr:graphicFrame macro="">
      <xdr:nvGraphicFramePr>
        <xdr:cNvPr id="3" name="Chart 2">
          <a:extLst>
            <a:ext uri="{FF2B5EF4-FFF2-40B4-BE49-F238E27FC236}">
              <a16:creationId xmlns:a16="http://schemas.microsoft.com/office/drawing/2014/main" id="{A21A7F6F-E54C-72D3-1A4E-538386B41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161925</xdr:colOff>
      <xdr:row>51</xdr:row>
      <xdr:rowOff>0</xdr:rowOff>
    </xdr:from>
    <xdr:to>
      <xdr:col>11</xdr:col>
      <xdr:colOff>1133475</xdr:colOff>
      <xdr:row>66</xdr:row>
      <xdr:rowOff>144780</xdr:rowOff>
    </xdr:to>
    <xdr:graphicFrame macro="">
      <xdr:nvGraphicFramePr>
        <xdr:cNvPr id="4" name="Chart 3">
          <a:extLst>
            <a:ext uri="{FF2B5EF4-FFF2-40B4-BE49-F238E27FC236}">
              <a16:creationId xmlns:a16="http://schemas.microsoft.com/office/drawing/2014/main" id="{E30F9274-96C0-D0A7-A70A-A5AC12371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171450</xdr:colOff>
      <xdr:row>51</xdr:row>
      <xdr:rowOff>9525</xdr:rowOff>
    </xdr:from>
    <xdr:to>
      <xdr:col>16</xdr:col>
      <xdr:colOff>220980</xdr:colOff>
      <xdr:row>66</xdr:row>
      <xdr:rowOff>203835</xdr:rowOff>
    </xdr:to>
    <xdr:graphicFrame macro="">
      <xdr:nvGraphicFramePr>
        <xdr:cNvPr id="5" name="Chart 4">
          <a:extLst>
            <a:ext uri="{FF2B5EF4-FFF2-40B4-BE49-F238E27FC236}">
              <a16:creationId xmlns:a16="http://schemas.microsoft.com/office/drawing/2014/main" id="{A21A7F6F-E54C-72D3-1A4E-538386B41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228599</xdr:colOff>
      <xdr:row>86</xdr:row>
      <xdr:rowOff>0</xdr:rowOff>
    </xdr:from>
    <xdr:to>
      <xdr:col>12</xdr:col>
      <xdr:colOff>228600</xdr:colOff>
      <xdr:row>100</xdr:row>
      <xdr:rowOff>76200</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371475</xdr:colOff>
      <xdr:row>85</xdr:row>
      <xdr:rowOff>171450</xdr:rowOff>
    </xdr:from>
    <xdr:to>
      <xdr:col>16</xdr:col>
      <xdr:colOff>533400</xdr:colOff>
      <xdr:row>100</xdr:row>
      <xdr:rowOff>133350</xdr:rowOff>
    </xdr:to>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815340</xdr:colOff>
      <xdr:row>115</xdr:row>
      <xdr:rowOff>129540</xdr:rowOff>
    </xdr:from>
    <xdr:to>
      <xdr:col>22</xdr:col>
      <xdr:colOff>464820</xdr:colOff>
      <xdr:row>134</xdr:row>
      <xdr:rowOff>137160</xdr:rowOff>
    </xdr:to>
    <xdr:graphicFrame macro="">
      <xdr:nvGraphicFramePr>
        <xdr:cNvPr id="4" name="Chart 3">
          <a:extLst>
            <a:ext uri="{FF2B5EF4-FFF2-40B4-BE49-F238E27FC236}">
              <a16:creationId xmlns:a16="http://schemas.microsoft.com/office/drawing/2014/main" id="{1EC15F44-51BB-4C2B-BF5B-D7501D502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792480</xdr:colOff>
      <xdr:row>230</xdr:row>
      <xdr:rowOff>148590</xdr:rowOff>
    </xdr:from>
    <xdr:to>
      <xdr:col>46</xdr:col>
      <xdr:colOff>281940</xdr:colOff>
      <xdr:row>250</xdr:row>
      <xdr:rowOff>175260</xdr:rowOff>
    </xdr:to>
    <xdr:graphicFrame macro="">
      <xdr:nvGraphicFramePr>
        <xdr:cNvPr id="2" name="Chart 1">
          <a:extLst>
            <a:ext uri="{FF2B5EF4-FFF2-40B4-BE49-F238E27FC236}">
              <a16:creationId xmlns:a16="http://schemas.microsoft.com/office/drawing/2014/main" id="{FC27181B-7CE7-388C-C5C8-2ED0411AE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39</xdr:col>
      <xdr:colOff>20955</xdr:colOff>
      <xdr:row>233</xdr:row>
      <xdr:rowOff>116205</xdr:rowOff>
    </xdr:from>
    <xdr:to>
      <xdr:col>39</xdr:col>
      <xdr:colOff>20955</xdr:colOff>
      <xdr:row>246</xdr:row>
      <xdr:rowOff>40005</xdr:rowOff>
    </xdr:to>
    <xdr:cxnSp macro="">
      <xdr:nvCxnSpPr>
        <xdr:cNvPr id="9" name="Straight Connector 8">
          <a:extLst>
            <a:ext uri="{FF2B5EF4-FFF2-40B4-BE49-F238E27FC236}">
              <a16:creationId xmlns:a16="http://schemas.microsoft.com/office/drawing/2014/main" id="{450E398C-4C92-26D4-CB71-9921B7C07A37}"/>
            </a:ext>
          </a:extLst>
        </xdr:cNvPr>
        <xdr:cNvCxnSpPr/>
      </xdr:nvCxnSpPr>
      <xdr:spPr>
        <a:xfrm>
          <a:off x="37054155" y="46579155"/>
          <a:ext cx="0" cy="2400300"/>
        </a:xfrm>
        <a:prstGeom prst="line">
          <a:avLst/>
        </a:prstGeom>
        <a:ln w="19050"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0</xdr:colOff>
      <xdr:row>299</xdr:row>
      <xdr:rowOff>0</xdr:rowOff>
    </xdr:from>
    <xdr:to>
      <xdr:col>48</xdr:col>
      <xdr:colOff>320040</xdr:colOff>
      <xdr:row>319</xdr:row>
      <xdr:rowOff>26670</xdr:rowOff>
    </xdr:to>
    <xdr:graphicFrame macro="">
      <xdr:nvGraphicFramePr>
        <xdr:cNvPr id="12" name="Chart 11">
          <a:extLst>
            <a:ext uri="{FF2B5EF4-FFF2-40B4-BE49-F238E27FC236}">
              <a16:creationId xmlns:a16="http://schemas.microsoft.com/office/drawing/2014/main" id="{DCABFA5C-3E6C-47D2-BFBE-6BA1E0DCC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41</xdr:col>
      <xdr:colOff>30480</xdr:colOff>
      <xdr:row>301</xdr:row>
      <xdr:rowOff>137160</xdr:rowOff>
    </xdr:from>
    <xdr:to>
      <xdr:col>41</xdr:col>
      <xdr:colOff>76200</xdr:colOff>
      <xdr:row>314</xdr:row>
      <xdr:rowOff>30480</xdr:rowOff>
    </xdr:to>
    <xdr:cxnSp macro="">
      <xdr:nvCxnSpPr>
        <xdr:cNvPr id="13" name="Straight Connector 12">
          <a:extLst>
            <a:ext uri="{FF2B5EF4-FFF2-40B4-BE49-F238E27FC236}">
              <a16:creationId xmlns:a16="http://schemas.microsoft.com/office/drawing/2014/main" id="{8491094B-D1DB-44B1-8C0B-7EA6FA0B0DAA}"/>
            </a:ext>
          </a:extLst>
        </xdr:cNvPr>
        <xdr:cNvCxnSpPr/>
      </xdr:nvCxnSpPr>
      <xdr:spPr>
        <a:xfrm>
          <a:off x="39128700" y="58201560"/>
          <a:ext cx="45720" cy="2270760"/>
        </a:xfrm>
        <a:prstGeom prst="line">
          <a:avLst/>
        </a:prstGeom>
        <a:ln w="19050"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8.xml><?xml version="1.0" encoding="utf-8"?>
<c:userShapes xmlns:c="http://schemas.openxmlformats.org/drawingml/2006/chart">
  <cdr:relSizeAnchor xmlns:cdr="http://schemas.openxmlformats.org/drawingml/2006/chartDrawing">
    <cdr:from>
      <cdr:x>0.46872</cdr:x>
      <cdr:y>0.12691</cdr:y>
    </cdr:from>
    <cdr:to>
      <cdr:x>0.4696</cdr:x>
      <cdr:y>0.73961</cdr:y>
    </cdr:to>
    <cdr:cxnSp macro="">
      <cdr:nvCxnSpPr>
        <cdr:cNvPr id="3" name="Straight Connector 2">
          <a:extLst xmlns:a="http://schemas.openxmlformats.org/drawingml/2006/main">
            <a:ext uri="{FF2B5EF4-FFF2-40B4-BE49-F238E27FC236}">
              <a16:creationId xmlns:a16="http://schemas.microsoft.com/office/drawing/2014/main" id="{3455D181-E17C-12B6-0C9E-A18F6C067CA5}"/>
            </a:ext>
          </a:extLst>
        </cdr:cNvPr>
        <cdr:cNvCxnSpPr/>
      </cdr:nvCxnSpPr>
      <cdr:spPr>
        <a:xfrm xmlns:a="http://schemas.openxmlformats.org/drawingml/2006/main">
          <a:off x="4053840" y="441960"/>
          <a:ext cx="7620" cy="2133600"/>
        </a:xfrm>
        <a:prstGeom xmlns:a="http://schemas.openxmlformats.org/drawingml/2006/main" prst="line">
          <a:avLst/>
        </a:prstGeom>
        <a:ln xmlns:a="http://schemas.openxmlformats.org/drawingml/2006/main" w="12700" cap="flat" cmpd="sng" algn="ctr">
          <a:solidFill>
            <a:schemeClr val="dk1"/>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9.xml><?xml version="1.0" encoding="utf-8"?>
<c:userShapes xmlns:c="http://schemas.openxmlformats.org/drawingml/2006/chart">
  <cdr:relSizeAnchor xmlns:cdr="http://schemas.openxmlformats.org/drawingml/2006/chartDrawing">
    <cdr:from>
      <cdr:x>1</cdr:x>
      <cdr:y>0.37539</cdr:y>
    </cdr:from>
    <cdr:to>
      <cdr:x>1</cdr:x>
      <cdr:y>1</cdr:y>
    </cdr:to>
    <cdr:cxnSp macro="">
      <cdr:nvCxnSpPr>
        <cdr:cNvPr id="2" name="Straight Connector 1">
          <a:extLst xmlns:a="http://schemas.openxmlformats.org/drawingml/2006/main">
            <a:ext uri="{FF2B5EF4-FFF2-40B4-BE49-F238E27FC236}">
              <a16:creationId xmlns:a16="http://schemas.microsoft.com/office/drawing/2014/main" id="{450E398C-4C92-26D4-CB71-9921B7C07A37}"/>
            </a:ext>
          </a:extLst>
        </cdr:cNvPr>
        <cdr:cNvCxnSpPr/>
      </cdr:nvCxnSpPr>
      <cdr:spPr>
        <a:xfrm xmlns:a="http://schemas.openxmlformats.org/drawingml/2006/main">
          <a:off x="38531800" y="44810680"/>
          <a:ext cx="0" cy="2301240"/>
        </a:xfrm>
        <a:prstGeom xmlns:a="http://schemas.openxmlformats.org/drawingml/2006/main" prst="line">
          <a:avLst/>
        </a:prstGeom>
        <a:ln xmlns:a="http://schemas.openxmlformats.org/drawingml/2006/main" w="19050" cap="flat" cmpd="sng" algn="ctr">
          <a:solidFill>
            <a:schemeClr val="accent3"/>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10.xml><?xml version="1.0" encoding="utf-8"?>
<xdr:wsDr xmlns:xdr="http://schemas.openxmlformats.org/drawingml/2006/spreadsheetDrawing" xmlns:a="http://schemas.openxmlformats.org/drawingml/2006/main">
  <xdr:twoCellAnchor>
    <xdr:from>
      <xdr:col>3</xdr:col>
      <xdr:colOff>419099</xdr:colOff>
      <xdr:row>32</xdr:row>
      <xdr:rowOff>171449</xdr:rowOff>
    </xdr:from>
    <xdr:to>
      <xdr:col>12</xdr:col>
      <xdr:colOff>152400</xdr:colOff>
      <xdr:row>51</xdr:row>
      <xdr:rowOff>180975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268430</xdr:colOff>
      <xdr:row>96</xdr:row>
      <xdr:rowOff>174046</xdr:rowOff>
    </xdr:from>
    <xdr:to>
      <xdr:col>13</xdr:col>
      <xdr:colOff>190500</xdr:colOff>
      <xdr:row>119</xdr:row>
      <xdr:rowOff>173181</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730249</xdr:colOff>
      <xdr:row>165</xdr:row>
      <xdr:rowOff>1</xdr:rowOff>
    </xdr:from>
    <xdr:to>
      <xdr:col>13</xdr:col>
      <xdr:colOff>116417</xdr:colOff>
      <xdr:row>188</xdr:row>
      <xdr:rowOff>1</xdr:rowOff>
    </xdr:to>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nshu Kumar Mishra" refreshedDate="45936.711103009256" createdVersion="6" refreshedVersion="6" minRefreshableVersion="3" recordCount="372" xr:uid="{00000000-000A-0000-FFFF-FFFF00000000}">
  <cacheSource type="worksheet">
    <worksheetSource ref="A2:AK374" sheet="Main Data"/>
  </cacheSource>
  <cacheFields count="36">
    <cacheField name="Sector" numFmtId="0">
      <sharedItems count="3">
        <s v="Rural"/>
        <s v="Urban"/>
        <s v="Rural+Urban"/>
      </sharedItems>
    </cacheField>
    <cacheField name="Year" numFmtId="1">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4">
        <s v="January"/>
        <s v="February"/>
        <s v="March"/>
        <s v="April"/>
        <s v="May"/>
        <s v="June"/>
        <s v="July"/>
        <s v="August"/>
        <s v="September"/>
        <s v="October"/>
        <s v="November "/>
        <s v="November"/>
        <s v="December"/>
        <s v="Marcrh"/>
      </sharedItems>
    </cacheField>
    <cacheField name="Cereals and products" numFmtId="0">
      <sharedItems containsMixedTypes="1" containsNumber="1" minValue="107.5" maxValue="174.8" count="253">
        <n v="107.5"/>
        <n v="110.5"/>
        <n v="108.4"/>
        <n v="109.2"/>
        <n v="112.9"/>
        <n v="110.4"/>
        <n v="110.2"/>
        <n v="113.9"/>
        <n v="111.4"/>
        <n v="114.6"/>
        <n v="111.6"/>
        <n v="110.9"/>
        <n v="115.4"/>
        <n v="112.3"/>
        <n v="117"/>
        <n v="113.8"/>
        <n v="113.4"/>
        <n v="117.8"/>
        <n v="114.8"/>
        <n v="114.3"/>
        <n v="118.3"/>
        <n v="115.6"/>
        <n v="118.6"/>
        <n v="116.4"/>
        <n v="116.3"/>
        <n v="118.9"/>
        <n v="117.1"/>
        <n v="117.3"/>
        <n v="119.8"/>
        <n v="118.1"/>
        <n v="118.4"/>
        <n v="120.5"/>
        <n v="119.1"/>
        <n v="121.2"/>
        <n v="119.6"/>
        <n v="119.4"/>
        <n v="121.9"/>
        <n v="120.2"/>
        <n v="120.1"/>
        <n v="122.1"/>
        <n v="120.7"/>
        <n v="122.5"/>
        <n v="120.9"/>
        <n v="120.3"/>
        <n v="122.7"/>
        <n v="121.1"/>
        <n v="123.1"/>
        <n v="121.5"/>
        <n v="121.7"/>
        <n v="123.8"/>
        <n v="122.4"/>
        <n v="121.8"/>
        <n v="124.8"/>
        <n v="122.3"/>
        <n v="124.2"/>
        <n v="122.9"/>
        <n v="122.6"/>
        <n v="124.6"/>
        <n v="123.2"/>
        <n v="124.5"/>
        <n v="123.3"/>
        <n v="124"/>
        <n v="123.4"/>
        <n v="124.3"/>
        <n v="123.7"/>
        <n v="123.5"/>
        <n v="123.6"/>
        <n v="124.1"/>
        <n v="123.9"/>
        <n v="124.7"/>
        <n v="125.1"/>
        <n v="125.6"/>
        <n v="125"/>
        <n v="126.1"/>
        <n v="125.4"/>
        <n v="126.3"/>
        <n v="125.7"/>
        <n v="126.8"/>
        <n v="127.1"/>
        <n v="126.4"/>
        <n v="127.3"/>
        <n v="126.5"/>
        <n v="127.4"/>
        <n v="124.9"/>
        <n v="126.6"/>
        <n v="127.6"/>
        <n v="128.6"/>
        <n v="125.9"/>
        <n v="127.7"/>
        <n v="129.30000000000001"/>
        <n v="128.5"/>
        <n v="130.1"/>
        <n v="130.80000000000001"/>
        <n v="128.1"/>
        <n v="129.9"/>
        <n v="131.30000000000001"/>
        <n v="128.69999999999999"/>
        <n v="130.5"/>
        <n v="132"/>
        <n v="130.19999999999999"/>
        <n v="131.4"/>
        <n v="132.6"/>
        <n v="131.6"/>
        <n v="132.30000000000001"/>
        <n v="133.1"/>
        <n v="132.19999999999999"/>
        <n v="132.80000000000001"/>
        <n v="133.30000000000001"/>
        <n v="133.6"/>
        <n v="132.69999999999999"/>
        <n v="133.19999999999999"/>
        <n v="133"/>
        <n v="132.9"/>
        <n v="133.5"/>
        <n v="134"/>
        <n v="134.80000000000001"/>
        <n v="134.30000000000001"/>
        <n v="135.19999999999999"/>
        <n v="134.69999999999999"/>
        <n v="135.9"/>
        <n v="133.9"/>
        <n v="135.30000000000001"/>
        <n v="136.30000000000001"/>
        <n v="135.69999999999999"/>
        <n v="136.4"/>
        <n v="134.4"/>
        <n v="135.80000000000001"/>
        <n v="136.6"/>
        <n v="134.6"/>
        <n v="136"/>
        <n v="136.80000000000001"/>
        <n v="135"/>
        <n v="136.19999999999999"/>
        <n v="137.1"/>
        <n v="137.4"/>
        <n v="137.6"/>
        <n v="136.9"/>
        <n v="138.4"/>
        <n v="135.6"/>
        <n v="137.5"/>
        <n v="139.19999999999999"/>
        <n v="136.5"/>
        <n v="138.30000000000001"/>
        <n v="139.4"/>
        <n v="137"/>
        <n v="138.6"/>
        <n v="139.30000000000001"/>
        <n v="138.1"/>
        <n v="138.5"/>
        <n v="139.69999999999999"/>
        <n v="137.80000000000001"/>
        <n v="140.4"/>
        <n v="140.69999999999999"/>
        <n v="138.69999999999999"/>
        <n v="141.4"/>
        <n v="142.1"/>
        <n v="140.1"/>
        <n v="142.69999999999999"/>
        <n v="140.9"/>
        <n v="141"/>
        <n v="143.5"/>
        <n v="141.80000000000001"/>
        <n v="144.1"/>
        <n v="142.5"/>
        <n v="142.80000000000001"/>
        <n v="144.9"/>
        <n v="143.69999999999999"/>
        <n v="145.6"/>
        <n v="144.30000000000001"/>
        <n v="144.19999999999999"/>
        <n v="146.19999999999999"/>
        <n v="144.80000000000001"/>
        <n v="144.4"/>
        <n v="146.5"/>
        <n v="145.1"/>
        <n v="147.19999999999999"/>
        <n v="151.80000000000001"/>
        <n v="148.69999999999999"/>
        <s v="NA"/>
        <n v="148.19999999999999"/>
        <n v="152.69999999999999"/>
        <n v="149.6"/>
        <n v="147.6"/>
        <n v="151.6"/>
        <n v="148.9"/>
        <n v="146.9"/>
        <n v="151.5"/>
        <n v="148.4"/>
        <n v="146"/>
        <n v="150.6"/>
        <n v="147.5"/>
        <n v="145.4"/>
        <n v="149.69999999999999"/>
        <n v="146.80000000000001"/>
        <n v="144.6"/>
        <n v="149"/>
        <n v="143.4"/>
        <n v="148"/>
        <n v="148.80000000000001"/>
        <n v="146.30000000000001"/>
        <n v="149.19999999999999"/>
        <n v="146.69999999999999"/>
        <n v="149.1"/>
        <n v="146.4"/>
        <n v="149.30000000000001"/>
        <n v="146.6"/>
        <n v="146.1"/>
        <n v="150.1"/>
        <n v="147.4"/>
        <n v="151"/>
        <n v="148.30000000000001"/>
        <n v="152.19999999999999"/>
        <n v="149.5"/>
        <n v="152.5"/>
        <n v="150"/>
        <n v="150.19999999999999"/>
        <n v="153.69999999999999"/>
        <n v="151.30000000000001"/>
        <n v="155.4"/>
        <n v="152.9"/>
        <n v="156.69999999999999"/>
        <n v="154.1"/>
        <n v="153.80000000000001"/>
        <n v="157.5"/>
        <n v="155"/>
        <n v="155.19999999999999"/>
        <n v="159.30000000000001"/>
        <n v="156.5"/>
        <n v="159.5"/>
        <n v="162.1"/>
        <n v="160.30000000000001"/>
        <n v="162.9"/>
        <n v="164.9"/>
        <n v="163.5"/>
        <n v="164.7"/>
        <n v="166.4"/>
        <n v="165.2"/>
        <n v="166.9"/>
        <n v="168.4"/>
        <n v="167.4"/>
        <n v="168.8"/>
        <n v="170.2"/>
        <n v="169.2"/>
        <n v="174"/>
        <n v="173.3"/>
        <n v="173.8"/>
        <n v="174.2"/>
        <n v="174.7"/>
        <n v="174.4"/>
        <n v="174.3"/>
        <n v="174.8"/>
        <n v="173.2"/>
        <n v="173.7"/>
      </sharedItems>
    </cacheField>
    <cacheField name="Meat and fish" numFmtId="0">
      <sharedItems containsMixedTypes="1" containsNumber="1" minValue="106.3" maxValue="223.4"/>
    </cacheField>
    <cacheField name="Egg" numFmtId="0">
      <sharedItems containsMixedTypes="1" containsNumber="1" minValue="102.7" maxValue="197"/>
    </cacheField>
    <cacheField name="Milk and products" numFmtId="0">
      <sharedItems containsMixedTypes="1" containsNumber="1" minValue="103.6" maxValue="179.6"/>
    </cacheField>
    <cacheField name="Oils and fats" numFmtId="0">
      <sharedItems containsMixedTypes="1" containsNumber="1" minValue="101.1" maxValue="209.9"/>
    </cacheField>
    <cacheField name="Fruits" numFmtId="0">
      <sharedItems containsMixedTypes="1" containsNumber="1" minValue="102.3" maxValue="179.5"/>
    </cacheField>
    <cacheField name="Vegetables" numFmtId="0">
      <sharedItems containsMixedTypes="1" containsNumber="1" minValue="101.4" maxValue="245.3"/>
    </cacheField>
    <cacheField name="Pulses and products" numFmtId="0">
      <sharedItems containsMixedTypes="1" containsNumber="1" minValue="103.5" maxValue="191.6"/>
    </cacheField>
    <cacheField name="Sugar and Confectionery" numFmtId="0">
      <sharedItems containsMixedTypes="1" containsNumber="1" minValue="85.3" maxValue="124.2"/>
    </cacheField>
    <cacheField name="Spices" numFmtId="0">
      <sharedItems containsMixedTypes="1" containsNumber="1" minValue="101.8" maxValue="221"/>
    </cacheField>
    <cacheField name="Non-alcoholic beverages" numFmtId="0">
      <sharedItems containsMixedTypes="1" containsNumber="1" minValue="104.8" maxValue="178.7"/>
    </cacheField>
    <cacheField name="Prepared meals, snacks, sweets etc." numFmtId="0">
      <sharedItems containsMixedTypes="1" containsNumber="1" minValue="106.7" maxValue="197.7"/>
    </cacheField>
    <cacheField name="Food and beverages" numFmtId="0">
      <sharedItems containsMixedTypes="1" containsNumber="1" minValue="105.5" maxValue="183.3"/>
    </cacheField>
    <cacheField name="Total (Food Products)" numFmtId="0">
      <sharedItems containsMixedTypes="1" containsNumber="1" minValue="1371.6999999999998" maxValue="2335.1"/>
    </cacheField>
    <cacheField name="Clothing" numFmtId="0">
      <sharedItems containsMixedTypes="1" containsNumber="1" minValue="105.9" maxValue="191.2"/>
    </cacheField>
    <cacheField name="Footwear" numFmtId="0">
      <sharedItems containsMixedTypes="1" containsNumber="1" minValue="105" maxValue="187.9"/>
    </cacheField>
    <cacheField name="Clothing and footwear" numFmtId="0">
      <sharedItems containsMixedTypes="1" containsNumber="1" minValue="105.8" maxValue="190.8"/>
    </cacheField>
    <cacheField name="Total (Clothing &amp; MISC)" numFmtId="0">
      <sharedItems containsMixedTypes="1" containsNumber="1" minValue="316.7" maxValue="569.90000000000009"/>
    </cacheField>
    <cacheField name="Housing" numFmtId="2">
      <sharedItems containsSemiMixedTypes="0" containsString="0" containsNumber="1" minValue="100.3" maxValue="175.6"/>
    </cacheField>
    <cacheField name="Fuel and light" numFmtId="0">
      <sharedItems containsMixedTypes="1" containsNumber="1" minValue="105.4" maxValue="183.4"/>
    </cacheField>
    <cacheField name="Household goods and services" numFmtId="0">
      <sharedItems containsMixedTypes="1" containsNumber="1" minValue="104.8" maxValue="179.8"/>
    </cacheField>
    <cacheField name="Total (Housing &amp; MISC)" numFmtId="2">
      <sharedItems containsMixedTypes="1" containsNumber="1" minValue="310.5" maxValue="533.59999999999991" count="354">
        <n v="349.55"/>
        <n v="310.5"/>
        <n v="310.60000000000002"/>
        <n v="350.65"/>
        <n v="311.3"/>
        <n v="311.60000000000002"/>
        <n v="350.95"/>
        <n v="312.10000000000002"/>
        <n v="351.85"/>
        <n v="313.39999999999998"/>
        <n v="313.3"/>
        <n v="353.55"/>
        <n v="314.79999999999995"/>
        <n v="314.8"/>
        <n v="355.25"/>
        <n v="322.3"/>
        <n v="322.5"/>
        <n v="357.05"/>
        <n v="324.39999999999998"/>
        <n v="325.10000000000002"/>
        <n v="357.85"/>
        <n v="326.89999999999998"/>
        <n v="327.3"/>
        <n v="359.95"/>
        <n v="328.79999999999995"/>
        <n v="329.79999999999995"/>
        <n v="361.25"/>
        <n v="330.4"/>
        <n v="331.7"/>
        <n v="363.15"/>
        <n v="332"/>
        <n v="333.79999999999995"/>
        <n v="364.15"/>
        <n v="332.40000000000003"/>
        <n v="334.3"/>
        <n v="364.85"/>
        <n v="334.5"/>
        <n v="336.1"/>
        <n v="365.35"/>
        <n v="336.2"/>
        <n v="337.7"/>
        <n v="366.05"/>
        <n v="337.1"/>
        <n v="338.9"/>
        <n v="366.35"/>
        <n v="338.20000000000005"/>
        <n v="340"/>
        <n v="366.75"/>
        <n v="339.5"/>
        <n v="340.9"/>
        <n v="368.55"/>
        <n v="339.40000000000003"/>
        <n v="341.70000000000005"/>
        <n v="369.95000000000005"/>
        <n v="341.29999999999995"/>
        <n v="343.9"/>
        <n v="370.55"/>
        <n v="342.6"/>
        <n v="345.1"/>
        <n v="371.75"/>
        <n v="343.4"/>
        <n v="346.5"/>
        <n v="373.15"/>
        <n v="344.5"/>
        <n v="348.1"/>
        <n v="374.65"/>
        <n v="346.1"/>
        <n v="349.9"/>
        <n v="374.84999999999997"/>
        <n v="346.3"/>
        <n v="349.7"/>
        <n v="376.54999999999995"/>
        <n v="347.9"/>
        <n v="351.9"/>
        <n v="378.85"/>
        <n v="349.8"/>
        <n v="354.5"/>
        <n v="380.05"/>
        <n v="351"/>
        <n v="356.09999999999997"/>
        <n v="381.35"/>
        <n v="352.3"/>
        <n v="357.6"/>
        <n v="382.65"/>
        <n v="353.2"/>
        <n v="359"/>
        <n v="384.65000000000003"/>
        <n v="353.3"/>
        <n v="359.9"/>
        <n v="385.25"/>
        <n v="354.7"/>
        <n v="361.3"/>
        <n v="386.75"/>
        <n v="356.2"/>
        <n v="363.5"/>
        <n v="387.45"/>
        <n v="357.1"/>
        <n v="364.6"/>
        <n v="388.75"/>
        <n v="358"/>
        <n v="366.2"/>
        <n v="390.45000000000005"/>
        <n v="367.9"/>
        <n v="390.95"/>
        <n v="359.4"/>
        <n v="368"/>
        <n v="392.04999999999995"/>
        <n v="361.9"/>
        <n v="370.3"/>
        <n v="393.85"/>
        <n v="362.2"/>
        <n v="372.1"/>
        <n v="393.95"/>
        <n v="362"/>
        <n v="372.4"/>
        <n v="394.25"/>
        <n v="363"/>
        <n v="373.4"/>
        <n v="395.15"/>
        <n v="364.2"/>
        <n v="374.7"/>
        <n v="396.55"/>
        <n v="375.20000000000005"/>
        <n v="397.45"/>
        <n v="365.4"/>
        <n v="376.70000000000005"/>
        <n v="398.95000000000005"/>
        <n v="365.9"/>
        <n v="378.29999999999995"/>
        <n v="400.04999999999995"/>
        <n v="367"/>
        <n v="379.9"/>
        <n v="400.85"/>
        <n v="368.4"/>
        <n v="381.4"/>
        <n v="401.65"/>
        <n v="370"/>
        <n v="382.7"/>
        <n v="404.15"/>
        <n v="371.3"/>
        <n v="384.29999999999995"/>
        <n v="404.55"/>
        <n v="372.7"/>
        <n v="385.79999999999995"/>
        <n v="406.04999999999995"/>
        <n v="375"/>
        <n v="388.09999999999997"/>
        <n v="407.54999999999995"/>
        <n v="377.5"/>
        <n v="390.29999999999995"/>
        <n v="408.55"/>
        <n v="379.1"/>
        <n v="391.9"/>
        <n v="409.15"/>
        <n v="378.7"/>
        <n v="392.4"/>
        <n v="409.25"/>
        <n v="377.2"/>
        <n v="391.40000000000003"/>
        <n v="410.65"/>
        <n v="379.5"/>
        <n v="393.9"/>
        <n v="412.95"/>
        <n v="381"/>
        <n v="397.00000000000006"/>
        <n v="414.54999999999995"/>
        <n v="384.4"/>
        <n v="400"/>
        <n v="415.75"/>
        <n v="388.2"/>
        <n v="403.1"/>
        <n v="419.75"/>
        <n v="393.1"/>
        <n v="408.29999999999995"/>
        <n v="421.35"/>
        <n v="395.2"/>
        <n v="410.4"/>
        <n v="397.2"/>
        <n v="411.9"/>
        <n v="421.54999999999995"/>
        <n v="398.5"/>
        <n v="413.2"/>
        <n v="421.75"/>
        <n v="399.2"/>
        <n v="414.1"/>
        <n v="423.95000000000005"/>
        <n v="399.3"/>
        <n v="416"/>
        <n v="425.35"/>
        <n v="400.4"/>
        <n v="417.5"/>
        <n v="426.55"/>
        <n v="402.1"/>
        <n v="418.5"/>
        <n v="429.15"/>
        <n v="405.29999999999995"/>
        <n v="421.9"/>
        <n v="430.75"/>
        <n v="408.79999999999995"/>
        <n v="424.9"/>
        <n v="432.25"/>
        <n v="411.4"/>
        <n v="427.3"/>
        <n v="436.45"/>
        <n v="414.80000000000007"/>
        <n v="434.40000000000003"/>
        <n v="437.55"/>
        <n v="419.40000000000003"/>
        <n v="434.2"/>
        <n v="437.75"/>
        <n v="415.09999999999997"/>
        <n v="432.4"/>
        <n v="435.54999999999995"/>
        <n v="412.59999999999997"/>
        <n v="430.79999999999995"/>
        <n v="434.65"/>
        <n v="412.20000000000005"/>
        <n v="430.59999999999997"/>
        <n v="435.65"/>
        <n v="414.6"/>
        <n v="432.5"/>
        <n v="416.7"/>
        <n v="434.09999999999997"/>
        <n v="436.65"/>
        <n v="417.29999999999995"/>
        <n v="436.05"/>
        <n v="415.3"/>
        <n v="435.84999999999997"/>
        <n v="415.20000000000005"/>
        <n v="434.6"/>
        <n v="417.09999999999997"/>
        <n v="436"/>
        <n v="437.54999999999995"/>
        <n v="420.59999999999997"/>
        <n v="438.6"/>
        <n v="438.54999999999995"/>
        <n v="424.79999999999995"/>
        <n v="441.1"/>
        <n v="440.34999999999997"/>
        <n v="426.2"/>
        <n v="442.3"/>
        <n v="441.34999999999997"/>
        <n v="429.1"/>
        <n v="444.7"/>
        <n v="443.35"/>
        <n v="434.1"/>
        <n v="448.4"/>
        <n v="444.15"/>
        <n v="436.7"/>
        <n v="449.79999999999995"/>
        <s v="NA"/>
        <n v="432.19999999999993"/>
        <n v="443"/>
        <n v="436.95000000000005"/>
        <n v="438.3"/>
        <n v="446.9"/>
        <n v="437.25"/>
        <n v="438.9"/>
        <n v="447.90000000000003"/>
        <n v="438.05"/>
        <n v="438.70000000000005"/>
        <n v="448.3"/>
        <n v="439.55"/>
        <n v="440.4"/>
        <n v="450.8"/>
        <n v="441.35"/>
        <n v="441.8"/>
        <n v="452.7"/>
        <n v="444.04999999999995"/>
        <n v="446.3"/>
        <n v="455.6"/>
        <n v="448.45"/>
        <n v="455.4"/>
        <n v="463.1"/>
        <n v="450.05"/>
        <n v="461.90000000000003"/>
        <n v="466.59999999999997"/>
        <n v="450.75"/>
        <n v="463.9"/>
        <n v="468.8"/>
        <n v="459.75"/>
        <n v="467.20000000000005"/>
        <n v="475.7"/>
        <n v="460.55"/>
        <n v="466.40000000000003"/>
        <n v="475.1"/>
        <n v="462.05"/>
        <n v="469.9"/>
        <n v="478"/>
        <n v="463.25"/>
        <n v="475.99999999999994"/>
        <n v="482.2"/>
        <n v="464.25"/>
        <n v="476.2"/>
        <n v="466.75"/>
        <n v="480.09999999999997"/>
        <n v="486.19999999999993"/>
        <n v="467.45000000000005"/>
        <n v="480.99999999999994"/>
        <n v="487.40000000000003"/>
        <n v="468.75"/>
        <n v="481.1"/>
        <n v="487.7"/>
        <n v="469.95000000000005"/>
        <n v="482.90000000000003"/>
        <n v="489.79999999999995"/>
        <n v="472.34999999999997"/>
        <n v="485.9"/>
        <n v="493"/>
        <n v="474.65"/>
        <n v="488.4"/>
        <n v="495.3"/>
        <n v="480.25"/>
        <n v="497.3"/>
        <n v="503.2"/>
        <n v="483.45000000000005"/>
        <n v="502.1"/>
        <n v="507.3"/>
        <n v="486.25"/>
        <n v="503.80000000000007"/>
        <n v="509.20000000000005"/>
        <n v="490.15000000000003"/>
        <n v="510.4"/>
        <n v="514.79999999999995"/>
        <n v="490.65000000000003"/>
        <n v="511.59999999999997"/>
        <n v="516.29999999999995"/>
        <n v="492.54999999999995"/>
        <n v="513.70000000000005"/>
        <n v="518.5"/>
        <n v="494.45000000000005"/>
        <n v="517.20000000000005"/>
        <n v="522.1"/>
        <n v="496.65"/>
        <n v="519"/>
        <n v="524.5"/>
        <n v="498.45000000000005"/>
        <n v="518.59999999999991"/>
        <n v="524.79999999999995"/>
        <n v="499.65"/>
        <n v="520.20000000000005"/>
        <n v="527"/>
        <n v="499.45000000000005"/>
        <n v="525.5"/>
        <n v="529.79999999999995"/>
        <n v="499.25"/>
        <n v="525.29999999999995"/>
        <n v="529.59999999999991"/>
        <n v="499.85"/>
        <n v="526.9"/>
        <n v="531.5"/>
        <n v="501.55"/>
        <n v="529.1"/>
        <n v="533.59999999999991"/>
      </sharedItems>
    </cacheField>
    <cacheField name="Health" numFmtId="0">
      <sharedItems containsMixedTypes="1" containsNumber="1" minValue="104" maxValue="187.8"/>
    </cacheField>
    <cacheField name="Personal care and effects" numFmtId="0">
      <sharedItems containsMixedTypes="1" containsNumber="1" minValue="102.1" maxValue="185.6"/>
    </cacheField>
    <cacheField name="Total (Health &amp; Personal Care)" numFmtId="0">
      <sharedItems containsMixedTypes="1" containsNumber="1" minValue="207.8" maxValue="372.70000000000005"/>
    </cacheField>
    <cacheField name="Transport and communication" numFmtId="0">
      <sharedItems containsMixedTypes="1" containsNumber="1" minValue="103.2" maxValue="169.7"/>
    </cacheField>
    <cacheField name="Recreation and amusement" numFmtId="0">
      <sharedItems containsMixedTypes="1" containsNumber="1" minValue="102.9" maxValue="173.8"/>
    </cacheField>
    <cacheField name="Education" numFmtId="0">
      <sharedItems containsMixedTypes="1" containsNumber="1" minValue="103.5" maxValue="180.3"/>
    </cacheField>
    <cacheField name="Total Edu &amp; Ent" numFmtId="0">
      <sharedItems containsMixedTypes="1" containsNumber="1" minValue="206.4" maxValue="354.1"/>
    </cacheField>
    <cacheField name="Pan, tobacco and intoxicants" numFmtId="0">
      <sharedItems containsMixedTypes="1" containsNumber="1" minValue="105.1" maxValue="204.2"/>
    </cacheField>
    <cacheField name="Miscellaneous" numFmtId="0">
      <sharedItems containsMixedTypes="1" containsNumber="1" minValue="103.7" maxValue="179.5"/>
    </cacheField>
    <cacheField name="Total (MISC)" numFmtId="0">
      <sharedItems containsMixedTypes="1" containsNumber="1" minValue="208.9" maxValue="379.4"/>
    </cacheField>
    <cacheField name="General index" numFmtId="0">
      <sharedItems containsMixedTypes="1" containsNumber="1" minValue="104" maxValue="179.8"/>
    </cacheField>
  </cacheFields>
  <extLst>
    <ext xmlns:x14="http://schemas.microsoft.com/office/spreadsheetml/2009/9/main" uri="{725AE2AE-9491-48be-B2B4-4EB974FC3084}">
      <x14:pivotCacheDefinition pivotCacheId="2132669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x v="0"/>
    <n v="106.3"/>
    <n v="108.1"/>
    <n v="104.9"/>
    <n v="106.1"/>
    <n v="103.9"/>
    <n v="101.9"/>
    <n v="106.1"/>
    <n v="106.8"/>
    <n v="103.1"/>
    <n v="104.8"/>
    <n v="106.7"/>
    <n v="105.5"/>
    <n v="1371.6999999999998"/>
    <n v="106.5"/>
    <n v="105.8"/>
    <n v="106.4"/>
    <n v="318.70000000000005"/>
    <n v="139.25"/>
    <n v="105.5"/>
    <n v="104.8"/>
    <x v="0"/>
    <n v="104"/>
    <n v="104.7"/>
    <n v="208.7"/>
    <n v="103.3"/>
    <n v="103.4"/>
    <n v="103.8"/>
    <n v="207.2"/>
    <n v="105.1"/>
    <n v="104"/>
    <n v="209.1"/>
    <n v="105.1"/>
  </r>
  <r>
    <x v="1"/>
    <x v="0"/>
    <x v="0"/>
    <x v="1"/>
    <n v="109.1"/>
    <n v="113"/>
    <n v="103.6"/>
    <n v="103.4"/>
    <n v="102.3"/>
    <n v="102.9"/>
    <n v="105.8"/>
    <n v="105.1"/>
    <n v="101.8"/>
    <n v="105.1"/>
    <n v="107.9"/>
    <n v="105.9"/>
    <n v="1376.4"/>
    <n v="105.9"/>
    <n v="105"/>
    <n v="105.8"/>
    <n v="316.7"/>
    <n v="100.3"/>
    <n v="105.4"/>
    <n v="104.8"/>
    <x v="1"/>
    <n v="104.1"/>
    <n v="104.3"/>
    <n v="208.39999999999998"/>
    <n v="103.2"/>
    <n v="102.9"/>
    <n v="103.5"/>
    <n v="206.4"/>
    <n v="105.2"/>
    <n v="103.7"/>
    <n v="208.9"/>
    <n v="104"/>
  </r>
  <r>
    <x v="2"/>
    <x v="0"/>
    <x v="0"/>
    <x v="2"/>
    <n v="107.3"/>
    <n v="110"/>
    <n v="104.4"/>
    <n v="105.1"/>
    <n v="103.2"/>
    <n v="102.2"/>
    <n v="106"/>
    <n v="106.2"/>
    <n v="102.7"/>
    <n v="104.9"/>
    <n v="107.3"/>
    <n v="105.6"/>
    <n v="1373.3000000000002"/>
    <n v="106.3"/>
    <n v="105.5"/>
    <n v="106.2"/>
    <n v="318"/>
    <n v="100.3"/>
    <n v="105.5"/>
    <n v="104.8"/>
    <x v="2"/>
    <n v="104"/>
    <n v="104.5"/>
    <n v="208.5"/>
    <n v="103.2"/>
    <n v="103.1"/>
    <n v="103.6"/>
    <n v="206.7"/>
    <n v="105.1"/>
    <n v="103.9"/>
    <n v="209"/>
    <n v="104.6"/>
  </r>
  <r>
    <x v="0"/>
    <x v="0"/>
    <x v="1"/>
    <x v="3"/>
    <n v="108.7"/>
    <n v="110.2"/>
    <n v="105.4"/>
    <n v="106.7"/>
    <n v="104"/>
    <n v="102.4"/>
    <n v="105.9"/>
    <n v="105.7"/>
    <n v="103.1"/>
    <n v="105.1"/>
    <n v="107.7"/>
    <n v="106.3"/>
    <n v="1380.3999999999999"/>
    <n v="107.1"/>
    <n v="106.3"/>
    <n v="107"/>
    <n v="320.39999999999998"/>
    <n v="139.25"/>
    <n v="106.2"/>
    <n v="105.2"/>
    <x v="3"/>
    <n v="104.4"/>
    <n v="104.6"/>
    <n v="209"/>
    <n v="103.9"/>
    <n v="104"/>
    <n v="104.1"/>
    <n v="208.1"/>
    <n v="105.6"/>
    <n v="104.4"/>
    <n v="210"/>
    <n v="105.8"/>
  </r>
  <r>
    <x v="1"/>
    <x v="0"/>
    <x v="1"/>
    <x v="4"/>
    <n v="112.9"/>
    <n v="116.9"/>
    <n v="104"/>
    <n v="103.5"/>
    <n v="103.1"/>
    <n v="104.9"/>
    <n v="104.1"/>
    <n v="103.8"/>
    <n v="102.3"/>
    <n v="106"/>
    <n v="109"/>
    <n v="107.2"/>
    <n v="1390.6000000000001"/>
    <n v="106.6"/>
    <n v="105.5"/>
    <n v="106.4"/>
    <n v="318.5"/>
    <n v="100.4"/>
    <n v="105.7"/>
    <n v="105.2"/>
    <x v="4"/>
    <n v="104.7"/>
    <n v="104.3"/>
    <n v="209"/>
    <n v="104.4"/>
    <n v="103.3"/>
    <n v="103.7"/>
    <n v="207"/>
    <n v="106"/>
    <n v="104.3"/>
    <n v="210.3"/>
    <n v="104.7"/>
  </r>
  <r>
    <x v="2"/>
    <x v="0"/>
    <x v="1"/>
    <x v="5"/>
    <n v="110.2"/>
    <n v="112.8"/>
    <n v="104.9"/>
    <n v="105.5"/>
    <n v="103.6"/>
    <n v="103.2"/>
    <n v="105.3"/>
    <n v="105.1"/>
    <n v="102.8"/>
    <n v="105.5"/>
    <n v="108.3"/>
    <n v="106.6"/>
    <n v="1384.2"/>
    <n v="106.9"/>
    <n v="106"/>
    <n v="106.8"/>
    <n v="319.7"/>
    <n v="100.4"/>
    <n v="106"/>
    <n v="105.2"/>
    <x v="5"/>
    <n v="104.5"/>
    <n v="104.5"/>
    <n v="209"/>
    <n v="104.2"/>
    <n v="103.6"/>
    <n v="103.9"/>
    <n v="207.5"/>
    <n v="105.7"/>
    <n v="104.4"/>
    <n v="210.10000000000002"/>
    <n v="105.3"/>
  </r>
  <r>
    <x v="0"/>
    <x v="0"/>
    <x v="2"/>
    <x v="6"/>
    <n v="108.8"/>
    <n v="109.9"/>
    <n v="105.6"/>
    <n v="106.2"/>
    <n v="105.7"/>
    <n v="101.4"/>
    <n v="105.7"/>
    <n v="105"/>
    <n v="103.3"/>
    <n v="105.6"/>
    <n v="108.2"/>
    <n v="106.6"/>
    <n v="1382.2"/>
    <n v="107.6"/>
    <n v="106.8"/>
    <n v="107.5"/>
    <n v="321.89999999999998"/>
    <n v="139.25"/>
    <n v="106.1"/>
    <n v="105.6"/>
    <x v="6"/>
    <n v="104.7"/>
    <n v="104.3"/>
    <n v="209"/>
    <n v="104.6"/>
    <n v="104"/>
    <n v="104.3"/>
    <n v="208.3"/>
    <n v="106.5"/>
    <n v="104.6"/>
    <n v="211.1"/>
    <n v="106"/>
  </r>
  <r>
    <x v="1"/>
    <x v="0"/>
    <x v="2"/>
    <x v="7"/>
    <n v="111.4"/>
    <n v="113.2"/>
    <n v="104.3"/>
    <n v="102.7"/>
    <n v="104.9"/>
    <n v="103.8"/>
    <n v="103.5"/>
    <n v="102.6"/>
    <n v="102.4"/>
    <n v="107"/>
    <n v="109.8"/>
    <n v="107.3"/>
    <n v="1386.8"/>
    <n v="107.2"/>
    <n v="106"/>
    <n v="107"/>
    <n v="320.2"/>
    <n v="100.4"/>
    <n v="106"/>
    <n v="105.7"/>
    <x v="7"/>
    <n v="105.2"/>
    <n v="104.2"/>
    <n v="209.4"/>
    <n v="105.5"/>
    <n v="103.5"/>
    <n v="103.8"/>
    <n v="207.3"/>
    <n v="106.8"/>
    <n v="104.9"/>
    <n v="211.7"/>
    <n v="105"/>
  </r>
  <r>
    <x v="2"/>
    <x v="0"/>
    <x v="2"/>
    <x v="8"/>
    <n v="109.7"/>
    <n v="111.2"/>
    <n v="105.1"/>
    <n v="104.9"/>
    <n v="105.3"/>
    <n v="102.2"/>
    <n v="105"/>
    <n v="104.2"/>
    <n v="103"/>
    <n v="106.2"/>
    <n v="108.9"/>
    <n v="106.9"/>
    <n v="1384.0000000000002"/>
    <n v="107.4"/>
    <n v="106.5"/>
    <n v="107.3"/>
    <n v="321.2"/>
    <n v="100.4"/>
    <n v="106.1"/>
    <n v="105.6"/>
    <x v="7"/>
    <n v="104.9"/>
    <n v="104.3"/>
    <n v="209.2"/>
    <n v="105.1"/>
    <n v="103.7"/>
    <n v="104"/>
    <n v="207.7"/>
    <n v="106.6"/>
    <n v="104.7"/>
    <n v="211.3"/>
    <n v="105.5"/>
  </r>
  <r>
    <x v="0"/>
    <x v="0"/>
    <x v="3"/>
    <x v="6"/>
    <n v="109.5"/>
    <n v="106.9"/>
    <n v="106.3"/>
    <n v="105.7"/>
    <n v="108.3"/>
    <n v="103.4"/>
    <n v="105.7"/>
    <n v="104.2"/>
    <n v="103.2"/>
    <n v="106.5"/>
    <n v="108.8"/>
    <n v="107.1"/>
    <n v="1385.8"/>
    <n v="108.1"/>
    <n v="107.4"/>
    <n v="108"/>
    <n v="323.5"/>
    <n v="139.25"/>
    <n v="106.5"/>
    <n v="106.1"/>
    <x v="8"/>
    <n v="105.1"/>
    <n v="102.7"/>
    <n v="207.8"/>
    <n v="104.4"/>
    <n v="104.5"/>
    <n v="104.8"/>
    <n v="209.3"/>
    <n v="107.1"/>
    <n v="104.6"/>
    <n v="211.7"/>
    <n v="106.4"/>
  </r>
  <r>
    <x v="1"/>
    <x v="0"/>
    <x v="3"/>
    <x v="9"/>
    <n v="113.4"/>
    <n v="106"/>
    <n v="104.7"/>
    <n v="102.1"/>
    <n v="109.5"/>
    <n v="109.7"/>
    <n v="104.6"/>
    <n v="102"/>
    <n v="103.5"/>
    <n v="108.2"/>
    <n v="110.6"/>
    <n v="108.8"/>
    <n v="1397.6999999999998"/>
    <n v="107.9"/>
    <n v="106.4"/>
    <n v="107.7"/>
    <n v="322"/>
    <n v="100.5"/>
    <n v="106.4"/>
    <n v="106.5"/>
    <x v="9"/>
    <n v="105.7"/>
    <n v="103.2"/>
    <n v="208.9"/>
    <n v="105"/>
    <n v="104"/>
    <n v="105.2"/>
    <n v="209.2"/>
    <n v="108.5"/>
    <n v="105.1"/>
    <n v="213.6"/>
    <n v="105.7"/>
  </r>
  <r>
    <x v="2"/>
    <x v="0"/>
    <x v="3"/>
    <x v="10"/>
    <n v="110.9"/>
    <n v="106.6"/>
    <n v="105.7"/>
    <n v="104.4"/>
    <n v="108.9"/>
    <n v="105.5"/>
    <n v="105.3"/>
    <n v="103.5"/>
    <n v="103.3"/>
    <n v="107.2"/>
    <n v="109.6"/>
    <n v="107.7"/>
    <n v="1390.2"/>
    <n v="108"/>
    <n v="107"/>
    <n v="107.9"/>
    <n v="322.89999999999998"/>
    <n v="100.5"/>
    <n v="106.5"/>
    <n v="106.3"/>
    <x v="10"/>
    <n v="105.3"/>
    <n v="102.9"/>
    <n v="208.2"/>
    <n v="104.7"/>
    <n v="104.2"/>
    <n v="105"/>
    <n v="209.2"/>
    <n v="107.5"/>
    <n v="104.8"/>
    <n v="212.3"/>
    <n v="106.1"/>
  </r>
  <r>
    <x v="0"/>
    <x v="0"/>
    <x v="4"/>
    <x v="11"/>
    <n v="109.8"/>
    <n v="105.9"/>
    <n v="107.5"/>
    <n v="105.3"/>
    <n v="108.1"/>
    <n v="107.3"/>
    <n v="106.1"/>
    <n v="103.7"/>
    <n v="104"/>
    <n v="107.4"/>
    <n v="109.9"/>
    <n v="108.1"/>
    <n v="1394"/>
    <n v="108.8"/>
    <n v="107.9"/>
    <n v="108.6"/>
    <n v="325.29999999999995"/>
    <n v="139.25"/>
    <n v="107.5"/>
    <n v="106.8"/>
    <x v="11"/>
    <n v="105.7"/>
    <n v="102.1"/>
    <n v="207.8"/>
    <n v="104.1"/>
    <n v="105"/>
    <n v="105.5"/>
    <n v="210.5"/>
    <n v="108.1"/>
    <n v="104.8"/>
    <n v="212.89999999999998"/>
    <n v="107.2"/>
  </r>
  <r>
    <x v="1"/>
    <x v="0"/>
    <x v="4"/>
    <x v="12"/>
    <n v="114.2"/>
    <n v="102.7"/>
    <n v="105.5"/>
    <n v="101.5"/>
    <n v="110.6"/>
    <n v="123.7"/>
    <n v="105.2"/>
    <n v="101.9"/>
    <n v="105"/>
    <n v="109.1"/>
    <n v="111.3"/>
    <n v="111.1"/>
    <n v="1417.1999999999998"/>
    <n v="108.5"/>
    <n v="106.7"/>
    <n v="108.3"/>
    <n v="323.5"/>
    <n v="100.5"/>
    <n v="107.2"/>
    <n v="107.1"/>
    <x v="12"/>
    <n v="106.2"/>
    <n v="102.6"/>
    <n v="208.8"/>
    <n v="103.9"/>
    <n v="104.6"/>
    <n v="105.7"/>
    <n v="210.3"/>
    <n v="109.8"/>
    <n v="104.9"/>
    <n v="214.7"/>
    <n v="106.6"/>
  </r>
  <r>
    <x v="2"/>
    <x v="0"/>
    <x v="4"/>
    <x v="13"/>
    <n v="111.3"/>
    <n v="104.7"/>
    <n v="106.8"/>
    <n v="103.9"/>
    <n v="109.3"/>
    <n v="112.9"/>
    <n v="105.8"/>
    <n v="103.1"/>
    <n v="104.3"/>
    <n v="108.1"/>
    <n v="110.5"/>
    <n v="109.2"/>
    <n v="1402.1999999999998"/>
    <n v="108.7"/>
    <n v="107.4"/>
    <n v="108.5"/>
    <n v="324.60000000000002"/>
    <n v="100.5"/>
    <n v="107.4"/>
    <n v="106.9"/>
    <x v="13"/>
    <n v="105.9"/>
    <n v="102.3"/>
    <n v="208.2"/>
    <n v="104"/>
    <n v="104.8"/>
    <n v="105.6"/>
    <n v="210.39999999999998"/>
    <n v="108.6"/>
    <n v="104.8"/>
    <n v="213.39999999999998"/>
    <n v="106.9"/>
  </r>
  <r>
    <x v="0"/>
    <x v="0"/>
    <x v="5"/>
    <x v="13"/>
    <n v="112.1"/>
    <n v="108.1"/>
    <n v="108.3"/>
    <n v="105.9"/>
    <n v="109.2"/>
    <n v="118"/>
    <n v="106.8"/>
    <n v="104.1"/>
    <n v="105.4"/>
    <n v="108.2"/>
    <n v="111"/>
    <n v="110.6"/>
    <n v="1420"/>
    <n v="109.7"/>
    <n v="108.8"/>
    <n v="109.5"/>
    <n v="328"/>
    <n v="139.25"/>
    <n v="108.5"/>
    <n v="107.5"/>
    <x v="14"/>
    <n v="106.3"/>
    <n v="102.5"/>
    <n v="208.8"/>
    <n v="105"/>
    <n v="105.6"/>
    <n v="106.5"/>
    <n v="212.1"/>
    <n v="109"/>
    <n v="105.5"/>
    <n v="214.5"/>
    <n v="108.9"/>
  </r>
  <r>
    <x v="1"/>
    <x v="0"/>
    <x v="5"/>
    <x v="14"/>
    <n v="120.1"/>
    <n v="112.5"/>
    <n v="107.3"/>
    <n v="101.3"/>
    <n v="112.4"/>
    <n v="143.6"/>
    <n v="105.4"/>
    <n v="101.4"/>
    <n v="106.4"/>
    <n v="110"/>
    <n v="112.2"/>
    <n v="115"/>
    <n v="1464.6000000000001"/>
    <n v="109.2"/>
    <n v="107.2"/>
    <n v="108.9"/>
    <n v="325.3"/>
    <n v="106.6"/>
    <n v="108"/>
    <n v="107.7"/>
    <x v="15"/>
    <n v="106.5"/>
    <n v="103.3"/>
    <n v="209.8"/>
    <n v="105.2"/>
    <n v="105.2"/>
    <n v="108.1"/>
    <n v="213.3"/>
    <n v="110.9"/>
    <n v="106.1"/>
    <n v="217"/>
    <n v="109.7"/>
  </r>
  <r>
    <x v="2"/>
    <x v="0"/>
    <x v="5"/>
    <x v="15"/>
    <n v="114.9"/>
    <n v="109.8"/>
    <n v="107.9"/>
    <n v="104.2"/>
    <n v="110.7"/>
    <n v="126.7"/>
    <n v="106.3"/>
    <n v="103.2"/>
    <n v="105.7"/>
    <n v="109"/>
    <n v="111.6"/>
    <n v="112.2"/>
    <n v="1436"/>
    <n v="109.5"/>
    <n v="108.1"/>
    <n v="109.3"/>
    <n v="326.89999999999998"/>
    <n v="106.6"/>
    <n v="108.3"/>
    <n v="107.6"/>
    <x v="16"/>
    <n v="106.4"/>
    <n v="102.8"/>
    <n v="209.2"/>
    <n v="105.1"/>
    <n v="105.4"/>
    <n v="107.4"/>
    <n v="212.8"/>
    <n v="109.5"/>
    <n v="105.8"/>
    <n v="215.3"/>
    <n v="109.3"/>
  </r>
  <r>
    <x v="0"/>
    <x v="0"/>
    <x v="6"/>
    <x v="16"/>
    <n v="114.9"/>
    <n v="110.5"/>
    <n v="109.3"/>
    <n v="106.2"/>
    <n v="110.3"/>
    <n v="129.19999999999999"/>
    <n v="107.1"/>
    <n v="104.3"/>
    <n v="106.4"/>
    <n v="109.1"/>
    <n v="112.1"/>
    <n v="113.1"/>
    <n v="1445.8999999999996"/>
    <n v="110.5"/>
    <n v="109.5"/>
    <n v="110.3"/>
    <n v="330.3"/>
    <n v="139.25"/>
    <n v="109.5"/>
    <n v="108.3"/>
    <x v="17"/>
    <n v="106.9"/>
    <n v="102.5"/>
    <n v="209.4"/>
    <n v="106.8"/>
    <n v="106.4"/>
    <n v="107.8"/>
    <n v="214.2"/>
    <n v="109.8"/>
    <n v="106.5"/>
    <n v="216.3"/>
    <n v="110.7"/>
  </r>
  <r>
    <x v="1"/>
    <x v="0"/>
    <x v="6"/>
    <x v="17"/>
    <n v="119.2"/>
    <n v="114"/>
    <n v="108.3"/>
    <n v="101.1"/>
    <n v="113.2"/>
    <n v="160.9"/>
    <n v="105.1"/>
    <n v="101.3"/>
    <n v="107.5"/>
    <n v="110.4"/>
    <n v="113.1"/>
    <n v="117.5"/>
    <n v="1489.4"/>
    <n v="109.8"/>
    <n v="107.8"/>
    <n v="109.5"/>
    <n v="327.10000000000002"/>
    <n v="107.7"/>
    <n v="108.6"/>
    <n v="108.1"/>
    <x v="18"/>
    <n v="107.1"/>
    <n v="103.2"/>
    <n v="210.3"/>
    <n v="107.3"/>
    <n v="105.9"/>
    <n v="110.1"/>
    <n v="216"/>
    <n v="111.7"/>
    <n v="107.3"/>
    <n v="219"/>
    <n v="111.4"/>
  </r>
  <r>
    <x v="2"/>
    <x v="0"/>
    <x v="6"/>
    <x v="18"/>
    <n v="116.4"/>
    <n v="111.9"/>
    <n v="108.9"/>
    <n v="104.3"/>
    <n v="111.7"/>
    <n v="140"/>
    <n v="106.4"/>
    <n v="103.3"/>
    <n v="106.8"/>
    <n v="109.6"/>
    <n v="112.6"/>
    <n v="114.7"/>
    <n v="1461.3999999999999"/>
    <n v="110.2"/>
    <n v="108.8"/>
    <n v="110"/>
    <n v="329"/>
    <n v="107.7"/>
    <n v="109.2"/>
    <n v="108.2"/>
    <x v="19"/>
    <n v="107"/>
    <n v="102.8"/>
    <n v="209.8"/>
    <n v="107.1"/>
    <n v="106.1"/>
    <n v="109.1"/>
    <n v="215.2"/>
    <n v="110.3"/>
    <n v="106.9"/>
    <n v="217.2"/>
    <n v="111"/>
  </r>
  <r>
    <x v="0"/>
    <x v="0"/>
    <x v="7"/>
    <x v="19"/>
    <n v="115.4"/>
    <n v="111.1"/>
    <n v="110"/>
    <n v="106.4"/>
    <n v="110.8"/>
    <n v="138.9"/>
    <n v="107.4"/>
    <n v="104.1"/>
    <n v="106.9"/>
    <n v="109.7"/>
    <n v="112.6"/>
    <n v="114.9"/>
    <n v="1462.5"/>
    <n v="111.3"/>
    <n v="110.2"/>
    <n v="111.1"/>
    <n v="332.6"/>
    <n v="139.25"/>
    <n v="109.9"/>
    <n v="108.7"/>
    <x v="20"/>
    <n v="107.5"/>
    <n v="105"/>
    <n v="212.5"/>
    <n v="107.8"/>
    <n v="106.8"/>
    <n v="108.7"/>
    <n v="215.5"/>
    <n v="110.7"/>
    <n v="107.5"/>
    <n v="218.2"/>
    <n v="112.1"/>
  </r>
  <r>
    <x v="1"/>
    <x v="0"/>
    <x v="7"/>
    <x v="20"/>
    <n v="120.4"/>
    <n v="112.7"/>
    <n v="108.9"/>
    <n v="101.1"/>
    <n v="108.7"/>
    <n v="177"/>
    <n v="104.7"/>
    <n v="101"/>
    <n v="108.5"/>
    <n v="110.9"/>
    <n v="114.3"/>
    <n v="119.6"/>
    <n v="1506.1000000000001"/>
    <n v="110.6"/>
    <n v="108.3"/>
    <n v="110.2"/>
    <n v="329.09999999999997"/>
    <n v="108.9"/>
    <n v="109.3"/>
    <n v="108.7"/>
    <x v="21"/>
    <n v="107.6"/>
    <n v="106"/>
    <n v="213.6"/>
    <n v="108.1"/>
    <n v="106.5"/>
    <n v="110.8"/>
    <n v="217.3"/>
    <n v="112.4"/>
    <n v="108.3"/>
    <n v="220.7"/>
    <n v="112.7"/>
  </r>
  <r>
    <x v="2"/>
    <x v="0"/>
    <x v="7"/>
    <x v="21"/>
    <n v="117.2"/>
    <n v="111.7"/>
    <n v="109.6"/>
    <n v="104.5"/>
    <n v="109.8"/>
    <n v="151.80000000000001"/>
    <n v="106.5"/>
    <n v="103.1"/>
    <n v="107.4"/>
    <n v="110.2"/>
    <n v="113.4"/>
    <n v="116.6"/>
    <n v="1477.4"/>
    <n v="111"/>
    <n v="109.4"/>
    <n v="110.7"/>
    <n v="331.1"/>
    <n v="108.9"/>
    <n v="109.7"/>
    <n v="108.7"/>
    <x v="22"/>
    <n v="107.5"/>
    <n v="105.4"/>
    <n v="212.9"/>
    <n v="108"/>
    <n v="106.6"/>
    <n v="109.9"/>
    <n v="216.5"/>
    <n v="111.2"/>
    <n v="107.9"/>
    <n v="219.10000000000002"/>
    <n v="112.4"/>
  </r>
  <r>
    <x v="0"/>
    <x v="0"/>
    <x v="8"/>
    <x v="12"/>
    <n v="115.7"/>
    <n v="111.7"/>
    <n v="111"/>
    <n v="107.4"/>
    <n v="110.9"/>
    <n v="154"/>
    <n v="108.1"/>
    <n v="104.2"/>
    <n v="107.9"/>
    <n v="110.4"/>
    <n v="114"/>
    <n v="117.8"/>
    <n v="1488.5000000000002"/>
    <n v="112.7"/>
    <n v="111.4"/>
    <n v="112.5"/>
    <n v="336.6"/>
    <n v="139.25"/>
    <n v="111.1"/>
    <n v="109.6"/>
    <x v="23"/>
    <n v="108.3"/>
    <n v="106.7"/>
    <n v="215"/>
    <n v="109.3"/>
    <n v="107.7"/>
    <n v="109.8"/>
    <n v="217.5"/>
    <n v="111.7"/>
    <n v="108.7"/>
    <n v="220.4"/>
    <n v="114.2"/>
  </r>
  <r>
    <x v="1"/>
    <x v="0"/>
    <x v="8"/>
    <x v="22"/>
    <n v="119.1"/>
    <n v="113.2"/>
    <n v="109.6"/>
    <n v="101.7"/>
    <n v="103.2"/>
    <n v="174.3"/>
    <n v="105.1"/>
    <n v="100.8"/>
    <n v="109.1"/>
    <n v="111.1"/>
    <n v="115.4"/>
    <n v="119.2"/>
    <n v="1500.4"/>
    <n v="111.4"/>
    <n v="109"/>
    <n v="111.1"/>
    <n v="331.5"/>
    <n v="109.7"/>
    <n v="109.5"/>
    <n v="109.6"/>
    <x v="24"/>
    <n v="107.9"/>
    <n v="106.9"/>
    <n v="214.8"/>
    <n v="110.4"/>
    <n v="107.4"/>
    <n v="111.2"/>
    <n v="218.60000000000002"/>
    <n v="112.9"/>
    <n v="109.4"/>
    <n v="222.3"/>
    <n v="113.2"/>
  </r>
  <r>
    <x v="2"/>
    <x v="0"/>
    <x v="8"/>
    <x v="23"/>
    <n v="116.9"/>
    <n v="112.3"/>
    <n v="110.5"/>
    <n v="105.3"/>
    <n v="107.3"/>
    <n v="160.9"/>
    <n v="107.1"/>
    <n v="103.1"/>
    <n v="108.3"/>
    <n v="110.7"/>
    <n v="114.6"/>
    <n v="118.3"/>
    <n v="1491.6999999999998"/>
    <n v="112.2"/>
    <n v="110.4"/>
    <n v="111.9"/>
    <n v="334.5"/>
    <n v="109.7"/>
    <n v="110.5"/>
    <n v="109.6"/>
    <x v="25"/>
    <n v="108.1"/>
    <n v="106.8"/>
    <n v="214.89999999999998"/>
    <n v="109.9"/>
    <n v="107.5"/>
    <n v="110.6"/>
    <n v="218.1"/>
    <n v="112"/>
    <n v="109"/>
    <n v="221"/>
    <n v="113.7"/>
  </r>
  <r>
    <x v="0"/>
    <x v="0"/>
    <x v="9"/>
    <x v="24"/>
    <n v="115.4"/>
    <n v="112.6"/>
    <n v="111.7"/>
    <n v="107.7"/>
    <n v="113.2"/>
    <n v="164.9"/>
    <n v="108.3"/>
    <n v="103.9"/>
    <n v="108.2"/>
    <n v="111.1"/>
    <n v="114.9"/>
    <n v="119.8"/>
    <n v="1508"/>
    <n v="113.6"/>
    <n v="112.3"/>
    <n v="113.4"/>
    <n v="339.29999999999995"/>
    <n v="139.25"/>
    <n v="111.6"/>
    <n v="110.4"/>
    <x v="26"/>
    <n v="108.9"/>
    <n v="107.5"/>
    <n v="216.4"/>
    <n v="109.3"/>
    <n v="108.3"/>
    <n v="110.2"/>
    <n v="218.5"/>
    <n v="112.2"/>
    <n v="109.1"/>
    <n v="221.3"/>
    <n v="115.5"/>
  </r>
  <r>
    <x v="1"/>
    <x v="0"/>
    <x v="9"/>
    <x v="25"/>
    <n v="118.1"/>
    <n v="114.5"/>
    <n v="110.4"/>
    <n v="102.3"/>
    <n v="106.2"/>
    <n v="183.5"/>
    <n v="105.3"/>
    <n v="100.2"/>
    <n v="109.6"/>
    <n v="111.4"/>
    <n v="116"/>
    <n v="120.8"/>
    <n v="1517.1999999999998"/>
    <n v="112.5"/>
    <n v="109.7"/>
    <n v="112"/>
    <n v="334.2"/>
    <n v="110.5"/>
    <n v="109.7"/>
    <n v="110.2"/>
    <x v="27"/>
    <n v="108.2"/>
    <n v="107.3"/>
    <n v="215.5"/>
    <n v="109.7"/>
    <n v="108"/>
    <n v="111.3"/>
    <n v="219.3"/>
    <n v="113.5"/>
    <n v="109.4"/>
    <n v="222.9"/>
    <n v="114"/>
  </r>
  <r>
    <x v="2"/>
    <x v="0"/>
    <x v="9"/>
    <x v="26"/>
    <n v="116.3"/>
    <n v="113.3"/>
    <n v="111.2"/>
    <n v="105.7"/>
    <n v="109.9"/>
    <n v="171.2"/>
    <n v="107.3"/>
    <n v="102.7"/>
    <n v="108.7"/>
    <n v="111.2"/>
    <n v="115.4"/>
    <n v="120.2"/>
    <n v="1510.2000000000003"/>
    <n v="113.2"/>
    <n v="111.2"/>
    <n v="112.8"/>
    <n v="337.2"/>
    <n v="110.5"/>
    <n v="110.9"/>
    <n v="110.3"/>
    <x v="28"/>
    <n v="108.6"/>
    <n v="107.4"/>
    <n v="216"/>
    <n v="109.5"/>
    <n v="108.1"/>
    <n v="110.8"/>
    <n v="218.89999999999998"/>
    <n v="112.5"/>
    <n v="109.2"/>
    <n v="221.7"/>
    <n v="114.8"/>
  </r>
  <r>
    <x v="0"/>
    <x v="0"/>
    <x v="10"/>
    <x v="27"/>
    <n v="114.9"/>
    <n v="116.2"/>
    <n v="112.8"/>
    <n v="108.9"/>
    <n v="116.6"/>
    <n v="178.1"/>
    <n v="109.1"/>
    <n v="103.6"/>
    <n v="109"/>
    <n v="111.8"/>
    <n v="116"/>
    <n v="122.5"/>
    <n v="1536.8"/>
    <n v="114.6"/>
    <n v="113.1"/>
    <n v="114.4"/>
    <n v="342.1"/>
    <n v="139.25"/>
    <n v="112.6"/>
    <n v="111.3"/>
    <x v="29"/>
    <n v="109.7"/>
    <n v="108.2"/>
    <n v="217.9"/>
    <n v="109.6"/>
    <n v="108.7"/>
    <n v="111"/>
    <n v="219.7"/>
    <n v="112.8"/>
    <n v="109.8"/>
    <n v="222.6"/>
    <n v="117.4"/>
  </r>
  <r>
    <x v="1"/>
    <x v="0"/>
    <x v="11"/>
    <x v="28"/>
    <n v="116.3"/>
    <n v="122.6"/>
    <n v="112"/>
    <n v="103.2"/>
    <n v="110"/>
    <n v="192.8"/>
    <n v="106.3"/>
    <n v="99.5"/>
    <n v="110.3"/>
    <n v="111.8"/>
    <n v="117.1"/>
    <n v="122.9"/>
    <n v="1544.6"/>
    <n v="113.5"/>
    <n v="110.3"/>
    <n v="113"/>
    <n v="336.8"/>
    <n v="111.1"/>
    <n v="110"/>
    <n v="110.9"/>
    <x v="30"/>
    <n v="108.6"/>
    <n v="107.9"/>
    <n v="216.5"/>
    <n v="109.5"/>
    <n v="108.5"/>
    <n v="111.3"/>
    <n v="219.8"/>
    <n v="114.1"/>
    <n v="109.6"/>
    <n v="223.7"/>
    <n v="115"/>
  </r>
  <r>
    <x v="2"/>
    <x v="0"/>
    <x v="11"/>
    <x v="29"/>
    <n v="115.4"/>
    <n v="118.7"/>
    <n v="112.5"/>
    <n v="106.8"/>
    <n v="113.5"/>
    <n v="183.1"/>
    <n v="108.2"/>
    <n v="102.2"/>
    <n v="109.4"/>
    <n v="111.8"/>
    <n v="116.5"/>
    <n v="122.6"/>
    <n v="1538.8"/>
    <n v="114.2"/>
    <n v="111.9"/>
    <n v="113.8"/>
    <n v="339.90000000000003"/>
    <n v="111.1"/>
    <n v="111.6"/>
    <n v="111.1"/>
    <x v="31"/>
    <n v="109.3"/>
    <n v="108.1"/>
    <n v="217.39999999999998"/>
    <n v="109.5"/>
    <n v="108.6"/>
    <n v="111.2"/>
    <n v="219.8"/>
    <n v="113.1"/>
    <n v="109.7"/>
    <n v="222.8"/>
    <n v="116.3"/>
  </r>
  <r>
    <x v="0"/>
    <x v="0"/>
    <x v="12"/>
    <x v="30"/>
    <n v="115.9"/>
    <n v="120.4"/>
    <n v="113.8"/>
    <n v="109.5"/>
    <n v="115.5"/>
    <n v="145.69999999999999"/>
    <n v="109.5"/>
    <n v="102.9"/>
    <n v="109.8"/>
    <n v="112.1"/>
    <n v="116.8"/>
    <n v="118.7"/>
    <n v="1509"/>
    <n v="115.8"/>
    <n v="114"/>
    <n v="115.5"/>
    <n v="345.3"/>
    <n v="139.25"/>
    <n v="112.8"/>
    <n v="112.1"/>
    <x v="32"/>
    <n v="110.1"/>
    <n v="108.1"/>
    <n v="218.2"/>
    <n v="109.9"/>
    <n v="109.2"/>
    <n v="111.6"/>
    <n v="220.8"/>
    <n v="113.6"/>
    <n v="110.1"/>
    <n v="223.7"/>
    <n v="115.5"/>
  </r>
  <r>
    <x v="1"/>
    <x v="0"/>
    <x v="12"/>
    <x v="31"/>
    <n v="118.1"/>
    <n v="128.5"/>
    <n v="112.8"/>
    <n v="103.4"/>
    <n v="110.7"/>
    <n v="144.80000000000001"/>
    <n v="107.1"/>
    <n v="98.6"/>
    <n v="111.9"/>
    <n v="112.1"/>
    <n v="118.1"/>
    <n v="117.8"/>
    <n v="1504.4"/>
    <n v="114.2"/>
    <n v="110.9"/>
    <n v="113.7"/>
    <n v="338.8"/>
    <n v="110.7"/>
    <n v="110.4"/>
    <n v="111.3"/>
    <x v="33"/>
    <n v="109"/>
    <n v="107.7"/>
    <n v="216.7"/>
    <n v="109.7"/>
    <n v="108.9"/>
    <n v="111.4"/>
    <n v="220.3"/>
    <n v="115"/>
    <n v="109.8"/>
    <n v="224.8"/>
    <n v="113.3"/>
  </r>
  <r>
    <x v="2"/>
    <x v="0"/>
    <x v="12"/>
    <x v="32"/>
    <n v="116.7"/>
    <n v="123.5"/>
    <n v="113.4"/>
    <n v="107.3"/>
    <n v="113.3"/>
    <n v="145.4"/>
    <n v="108.7"/>
    <n v="101.5"/>
    <n v="110.5"/>
    <n v="112.1"/>
    <n v="117.4"/>
    <n v="118.4"/>
    <n v="1507.3000000000002"/>
    <n v="115.2"/>
    <n v="112.7"/>
    <n v="114.8"/>
    <n v="342.7"/>
    <n v="110.7"/>
    <n v="111.9"/>
    <n v="111.7"/>
    <x v="34"/>
    <n v="109.7"/>
    <n v="107.9"/>
    <n v="217.60000000000002"/>
    <n v="109.8"/>
    <n v="109"/>
    <n v="111.5"/>
    <n v="220.5"/>
    <n v="114"/>
    <n v="110"/>
    <n v="224"/>
    <n v="114.5"/>
  </r>
  <r>
    <x v="0"/>
    <x v="1"/>
    <x v="0"/>
    <x v="25"/>
    <n v="117.1"/>
    <n v="120.5"/>
    <n v="114.4"/>
    <n v="109"/>
    <n v="115.5"/>
    <n v="123.9"/>
    <n v="109.6"/>
    <n v="101.8"/>
    <n v="110.2"/>
    <n v="112.4"/>
    <n v="117.3"/>
    <n v="116"/>
    <n v="1486.6000000000001"/>
    <n v="116.5"/>
    <n v="114.5"/>
    <n v="116.2"/>
    <n v="347.2"/>
    <n v="139.25"/>
    <n v="113"/>
    <n v="112.6"/>
    <x v="35"/>
    <n v="110.6"/>
    <n v="108.3"/>
    <n v="218.89999999999998"/>
    <n v="110.5"/>
    <n v="109.6"/>
    <n v="111.8"/>
    <n v="221.39999999999998"/>
    <n v="114"/>
    <n v="110.6"/>
    <n v="224.6"/>
    <n v="114.2"/>
  </r>
  <r>
    <x v="1"/>
    <x v="1"/>
    <x v="0"/>
    <x v="33"/>
    <n v="122"/>
    <n v="129.9"/>
    <n v="113.6"/>
    <n v="102.9"/>
    <n v="112.1"/>
    <n v="118.9"/>
    <n v="107.5"/>
    <n v="96.9"/>
    <n v="112.7"/>
    <n v="112.1"/>
    <n v="119"/>
    <n v="115.5"/>
    <n v="1484.3"/>
    <n v="114.8"/>
    <n v="111.3"/>
    <n v="114.3"/>
    <n v="340.4"/>
    <n v="111.6"/>
    <n v="111"/>
    <n v="111.9"/>
    <x v="36"/>
    <n v="109.7"/>
    <n v="108"/>
    <n v="217.7"/>
    <n v="110.8"/>
    <n v="109.8"/>
    <n v="111.5"/>
    <n v="221.3"/>
    <n v="115.7"/>
    <n v="110.5"/>
    <n v="226.2"/>
    <n v="112.9"/>
  </r>
  <r>
    <x v="2"/>
    <x v="1"/>
    <x v="0"/>
    <x v="34"/>
    <n v="118.8"/>
    <n v="124.1"/>
    <n v="114.1"/>
    <n v="106.8"/>
    <n v="113.9"/>
    <n v="122.2"/>
    <n v="108.9"/>
    <n v="100.2"/>
    <n v="111"/>
    <n v="112.3"/>
    <n v="118.1"/>
    <n v="115.8"/>
    <n v="1485.7999999999997"/>
    <n v="115.8"/>
    <n v="113.2"/>
    <n v="115.4"/>
    <n v="344.4"/>
    <n v="111.6"/>
    <n v="112.2"/>
    <n v="112.3"/>
    <x v="37"/>
    <n v="110.3"/>
    <n v="108.2"/>
    <n v="218.5"/>
    <n v="110.7"/>
    <n v="109.7"/>
    <n v="111.6"/>
    <n v="221.3"/>
    <n v="114.5"/>
    <n v="110.6"/>
    <n v="225.1"/>
    <n v="113.6"/>
  </r>
  <r>
    <x v="0"/>
    <x v="1"/>
    <x v="1"/>
    <x v="35"/>
    <n v="117.7"/>
    <n v="121.2"/>
    <n v="115"/>
    <n v="109"/>
    <n v="116.6"/>
    <n v="116"/>
    <n v="109.8"/>
    <n v="101.1"/>
    <n v="110.4"/>
    <n v="112.9"/>
    <n v="117.8"/>
    <n v="115.3"/>
    <n v="1482.2"/>
    <n v="117.1"/>
    <n v="114.5"/>
    <n v="116.7"/>
    <n v="348.3"/>
    <n v="139.25"/>
    <n v="113.2"/>
    <n v="112.9"/>
    <x v="38"/>
    <n v="110.9"/>
    <n v="108.7"/>
    <n v="219.60000000000002"/>
    <n v="110.8"/>
    <n v="109.9"/>
    <n v="112"/>
    <n v="221.9"/>
    <n v="114.2"/>
    <n v="110.9"/>
    <n v="225.10000000000002"/>
    <n v="114"/>
  </r>
  <r>
    <x v="1"/>
    <x v="1"/>
    <x v="1"/>
    <x v="36"/>
    <n v="122"/>
    <n v="124.5"/>
    <n v="115.2"/>
    <n v="102.5"/>
    <n v="114.1"/>
    <n v="111.5"/>
    <n v="108.2"/>
    <n v="95.4"/>
    <n v="113.5"/>
    <n v="112.1"/>
    <n v="119.9"/>
    <n v="115.2"/>
    <n v="1476"/>
    <n v="115.3"/>
    <n v="111.7"/>
    <n v="114.7"/>
    <n v="341.7"/>
    <n v="112.5"/>
    <n v="111.1"/>
    <n v="112.6"/>
    <x v="39"/>
    <n v="110.4"/>
    <n v="108.7"/>
    <n v="219.10000000000002"/>
    <n v="111.3"/>
    <n v="110.3"/>
    <n v="111.6"/>
    <n v="221.89999999999998"/>
    <n v="116.2"/>
    <n v="111"/>
    <n v="227.2"/>
    <n v="113.1"/>
  </r>
  <r>
    <x v="2"/>
    <x v="1"/>
    <x v="1"/>
    <x v="37"/>
    <n v="119.2"/>
    <n v="122.5"/>
    <n v="115.1"/>
    <n v="106.6"/>
    <n v="115.4"/>
    <n v="114.5"/>
    <n v="109.3"/>
    <n v="99.2"/>
    <n v="111.4"/>
    <n v="112.6"/>
    <n v="118.8"/>
    <n v="115.3"/>
    <n v="1480.1"/>
    <n v="116.4"/>
    <n v="113.3"/>
    <n v="115.9"/>
    <n v="345.6"/>
    <n v="112.5"/>
    <n v="112.4"/>
    <n v="112.8"/>
    <x v="40"/>
    <n v="110.7"/>
    <n v="108.7"/>
    <n v="219.4"/>
    <n v="111.1"/>
    <n v="110.1"/>
    <n v="111.8"/>
    <n v="221.89999999999998"/>
    <n v="114.7"/>
    <n v="110.9"/>
    <n v="225.60000000000002"/>
    <n v="113.6"/>
  </r>
  <r>
    <x v="0"/>
    <x v="1"/>
    <x v="2"/>
    <x v="38"/>
    <n v="118.1"/>
    <n v="120.7"/>
    <n v="116.1"/>
    <n v="109.3"/>
    <n v="119.6"/>
    <n v="117.9"/>
    <n v="110.2"/>
    <n v="101.2"/>
    <n v="110.7"/>
    <n v="113"/>
    <n v="118.3"/>
    <n v="116.2"/>
    <n v="1491.4"/>
    <n v="117.5"/>
    <n v="114.9"/>
    <n v="117.2"/>
    <n v="349.6"/>
    <n v="139.25"/>
    <n v="113.4"/>
    <n v="113.4"/>
    <x v="41"/>
    <n v="111.4"/>
    <n v="108.9"/>
    <n v="220.3"/>
    <n v="111.2"/>
    <n v="110.2"/>
    <n v="112.4"/>
    <n v="222.60000000000002"/>
    <n v="114.6"/>
    <n v="111.3"/>
    <n v="225.89999999999998"/>
    <n v="114.6"/>
  </r>
  <r>
    <x v="1"/>
    <x v="1"/>
    <x v="2"/>
    <x v="39"/>
    <n v="121.4"/>
    <n v="121.5"/>
    <n v="116.2"/>
    <n v="102.8"/>
    <n v="117.7"/>
    <n v="113.3"/>
    <n v="108.9"/>
    <n v="96.3"/>
    <n v="114.1"/>
    <n v="112.2"/>
    <n v="120.5"/>
    <n v="116"/>
    <n v="1483"/>
    <n v="115.8"/>
    <n v="112.1"/>
    <n v="115.2"/>
    <n v="343.09999999999997"/>
    <n v="113.2"/>
    <n v="110.9"/>
    <n v="113"/>
    <x v="42"/>
    <n v="110.8"/>
    <n v="109.2"/>
    <n v="220"/>
    <n v="111.6"/>
    <n v="110.9"/>
    <n v="111.8"/>
    <n v="222.7"/>
    <n v="116.7"/>
    <n v="111.4"/>
    <n v="228.10000000000002"/>
    <n v="113.7"/>
  </r>
  <r>
    <x v="2"/>
    <x v="1"/>
    <x v="13"/>
    <x v="40"/>
    <n v="119.3"/>
    <n v="121"/>
    <n v="116.1"/>
    <n v="106.9"/>
    <n v="118.7"/>
    <n v="116.3"/>
    <n v="109.8"/>
    <n v="99.6"/>
    <n v="111.8"/>
    <n v="112.7"/>
    <n v="119.3"/>
    <n v="116.1"/>
    <n v="1488.2999999999997"/>
    <n v="116.8"/>
    <n v="113.7"/>
    <n v="116.4"/>
    <n v="346.9"/>
    <n v="113.2"/>
    <n v="112.5"/>
    <n v="113.2"/>
    <x v="43"/>
    <n v="111.2"/>
    <n v="109"/>
    <n v="220.2"/>
    <n v="111.4"/>
    <n v="110.6"/>
    <n v="112"/>
    <n v="222.6"/>
    <n v="115.2"/>
    <n v="111.3"/>
    <n v="226.5"/>
    <n v="114.2"/>
  </r>
  <r>
    <x v="0"/>
    <x v="1"/>
    <x v="3"/>
    <x v="37"/>
    <n v="118.9"/>
    <n v="118.1"/>
    <n v="117"/>
    <n v="109.7"/>
    <n v="125.5"/>
    <n v="120.5"/>
    <n v="111"/>
    <n v="102.6"/>
    <n v="111.2"/>
    <n v="113.5"/>
    <n v="118.7"/>
    <n v="117.2"/>
    <n v="1504.1000000000001"/>
    <n v="118.1"/>
    <n v="116.1"/>
    <n v="117.8"/>
    <n v="352"/>
    <n v="139.25"/>
    <n v="113.4"/>
    <n v="113.7"/>
    <x v="44"/>
    <n v="111.8"/>
    <n v="108.9"/>
    <n v="220.7"/>
    <n v="111.2"/>
    <n v="110.5"/>
    <n v="113"/>
    <n v="223.5"/>
    <n v="115.4"/>
    <n v="111.5"/>
    <n v="226.9"/>
    <n v="115.4"/>
  </r>
  <r>
    <x v="1"/>
    <x v="1"/>
    <x v="3"/>
    <x v="41"/>
    <n v="121.7"/>
    <n v="113.3"/>
    <n v="117"/>
    <n v="103.1"/>
    <n v="126.7"/>
    <n v="121.2"/>
    <n v="111"/>
    <n v="100.3"/>
    <n v="115.3"/>
    <n v="112.7"/>
    <n v="121"/>
    <n v="118.2"/>
    <n v="1504.0000000000002"/>
    <n v="116.3"/>
    <n v="112.5"/>
    <n v="115.7"/>
    <n v="344.5"/>
    <n v="113.9"/>
    <n v="110.9"/>
    <n v="113.4"/>
    <x v="45"/>
    <n v="111"/>
    <n v="109.1"/>
    <n v="220.1"/>
    <n v="111.2"/>
    <n v="111.2"/>
    <n v="112.5"/>
    <n v="223.7"/>
    <n v="117.6"/>
    <n v="111.4"/>
    <n v="229"/>
    <n v="114.7"/>
  </r>
  <r>
    <x v="2"/>
    <x v="1"/>
    <x v="3"/>
    <x v="42"/>
    <n v="119.9"/>
    <n v="116.2"/>
    <n v="117"/>
    <n v="107.3"/>
    <n v="126.1"/>
    <n v="120.7"/>
    <n v="111"/>
    <n v="101.8"/>
    <n v="112.6"/>
    <n v="113.2"/>
    <n v="119.8"/>
    <n v="117.6"/>
    <n v="1504.1"/>
    <n v="117.4"/>
    <n v="114.6"/>
    <n v="117"/>
    <n v="349"/>
    <n v="113.9"/>
    <n v="112.5"/>
    <n v="113.6"/>
    <x v="46"/>
    <n v="111.5"/>
    <n v="109"/>
    <n v="220.5"/>
    <n v="111.2"/>
    <n v="110.9"/>
    <n v="112.7"/>
    <n v="223.60000000000002"/>
    <n v="116"/>
    <n v="111.5"/>
    <n v="227.5"/>
    <n v="115.1"/>
  </r>
  <r>
    <x v="0"/>
    <x v="1"/>
    <x v="4"/>
    <x v="43"/>
    <n v="120.2"/>
    <n v="116.9"/>
    <n v="118"/>
    <n v="110.1"/>
    <n v="126.3"/>
    <n v="123.9"/>
    <n v="111.5"/>
    <n v="103.5"/>
    <n v="111.6"/>
    <n v="114.2"/>
    <n v="119.2"/>
    <n v="118.2"/>
    <n v="1513.8999999999999"/>
    <n v="118.7"/>
    <n v="116.8"/>
    <n v="118.5"/>
    <n v="354"/>
    <n v="139.25"/>
    <n v="113.4"/>
    <n v="114.1"/>
    <x v="47"/>
    <n v="112.1"/>
    <n v="108.9"/>
    <n v="221"/>
    <n v="111.4"/>
    <n v="110.9"/>
    <n v="113.1"/>
    <n v="224"/>
    <n v="116.3"/>
    <n v="111.8"/>
    <n v="228.1"/>
    <n v="116"/>
  </r>
  <r>
    <x v="1"/>
    <x v="1"/>
    <x v="4"/>
    <x v="44"/>
    <n v="124.1"/>
    <n v="114.2"/>
    <n v="119.1"/>
    <n v="103.5"/>
    <n v="129.19999999999999"/>
    <n v="127"/>
    <n v="112.6"/>
    <n v="101.3"/>
    <n v="117"/>
    <n v="112.9"/>
    <n v="121.7"/>
    <n v="120"/>
    <n v="1525.3000000000002"/>
    <n v="116.8"/>
    <n v="112.9"/>
    <n v="116.2"/>
    <n v="345.9"/>
    <n v="114.3"/>
    <n v="111.1"/>
    <n v="114.1"/>
    <x v="48"/>
    <n v="111.2"/>
    <n v="109.3"/>
    <n v="220.5"/>
    <n v="111.3"/>
    <n v="111.5"/>
    <n v="112.9"/>
    <n v="224.4"/>
    <n v="118.3"/>
    <n v="111.7"/>
    <n v="230"/>
    <n v="115.6"/>
  </r>
  <r>
    <x v="2"/>
    <x v="1"/>
    <x v="4"/>
    <x v="45"/>
    <n v="121.6"/>
    <n v="115.9"/>
    <n v="118.4"/>
    <n v="107.7"/>
    <n v="127.7"/>
    <n v="125"/>
    <n v="111.9"/>
    <n v="102.8"/>
    <n v="113.4"/>
    <n v="113.7"/>
    <n v="120.4"/>
    <n v="118.9"/>
    <n v="1518.5000000000005"/>
    <n v="118"/>
    <n v="115.2"/>
    <n v="117.6"/>
    <n v="350.79999999999995"/>
    <n v="114.3"/>
    <n v="112.5"/>
    <n v="114.1"/>
    <x v="49"/>
    <n v="111.8"/>
    <n v="109.1"/>
    <n v="220.89999999999998"/>
    <n v="111.3"/>
    <n v="111.2"/>
    <n v="113"/>
    <n v="224.2"/>
    <n v="116.8"/>
    <n v="111.8"/>
    <n v="228.6"/>
    <n v="115.8"/>
  </r>
  <r>
    <x v="0"/>
    <x v="1"/>
    <x v="5"/>
    <x v="40"/>
    <n v="121.6"/>
    <n v="116.1"/>
    <n v="119.3"/>
    <n v="110.3"/>
    <n v="125.8"/>
    <n v="129.30000000000001"/>
    <n v="112.2"/>
    <n v="103.6"/>
    <n v="112.3"/>
    <n v="114.9"/>
    <n v="120.1"/>
    <n v="119.5"/>
    <n v="1525.6999999999998"/>
    <n v="119.7"/>
    <n v="117.3"/>
    <n v="119.3"/>
    <n v="356.3"/>
    <n v="139.25"/>
    <n v="114.4"/>
    <n v="114.9"/>
    <x v="50"/>
    <n v="112.8"/>
    <n v="108"/>
    <n v="220.8"/>
    <n v="112.2"/>
    <n v="111.4"/>
    <n v="114.3"/>
    <n v="225.7"/>
    <n v="117.3"/>
    <n v="112.3"/>
    <n v="229.6"/>
    <n v="117"/>
  </r>
  <r>
    <x v="1"/>
    <x v="1"/>
    <x v="5"/>
    <x v="46"/>
    <n v="125.9"/>
    <n v="115.4"/>
    <n v="120.4"/>
    <n v="103.4"/>
    <n v="131.19999999999999"/>
    <n v="137.5"/>
    <n v="112.8"/>
    <n v="101.4"/>
    <n v="118.3"/>
    <n v="113.2"/>
    <n v="122.4"/>
    <n v="122"/>
    <n v="1547"/>
    <n v="117.4"/>
    <n v="113.2"/>
    <n v="116.7"/>
    <n v="347.3"/>
    <n v="113.9"/>
    <n v="111.2"/>
    <n v="114.3"/>
    <x v="51"/>
    <n v="111.4"/>
    <n v="108.7"/>
    <n v="220.10000000000002"/>
    <n v="111.5"/>
    <n v="111.8"/>
    <n v="115.1"/>
    <n v="226.89999999999998"/>
    <n v="119"/>
    <n v="112.2"/>
    <n v="231.2"/>
    <n v="116.4"/>
  </r>
  <r>
    <x v="2"/>
    <x v="1"/>
    <x v="5"/>
    <x v="47"/>
    <n v="123.1"/>
    <n v="115.8"/>
    <n v="119.7"/>
    <n v="107.8"/>
    <n v="128.30000000000001"/>
    <n v="132.1"/>
    <n v="112.4"/>
    <n v="102.9"/>
    <n v="114.3"/>
    <n v="114.2"/>
    <n v="121.2"/>
    <n v="120.4"/>
    <n v="1533.7000000000003"/>
    <n v="118.8"/>
    <n v="115.6"/>
    <n v="118.3"/>
    <n v="352.7"/>
    <n v="113.9"/>
    <n v="113.2"/>
    <n v="114.6"/>
    <x v="52"/>
    <n v="112.3"/>
    <n v="108.3"/>
    <n v="220.6"/>
    <n v="111.8"/>
    <n v="111.6"/>
    <n v="114.8"/>
    <n v="226.39999999999998"/>
    <n v="117.8"/>
    <n v="112.3"/>
    <n v="230.1"/>
    <n v="116.7"/>
  </r>
  <r>
    <x v="0"/>
    <x v="1"/>
    <x v="6"/>
    <x v="48"/>
    <n v="122.5"/>
    <n v="117.7"/>
    <n v="120.6"/>
    <n v="110.4"/>
    <n v="129.1"/>
    <n v="150.1"/>
    <n v="113.2"/>
    <n v="104.8"/>
    <n v="113.3"/>
    <n v="115.6"/>
    <n v="120.9"/>
    <n v="123.3"/>
    <n v="1563.2"/>
    <n v="120.7"/>
    <n v="118.3"/>
    <n v="120.3"/>
    <n v="359.3"/>
    <n v="139.25"/>
    <n v="115.3"/>
    <n v="115.4"/>
    <x v="53"/>
    <n v="113.4"/>
    <n v="108.8"/>
    <n v="222.2"/>
    <n v="113.2"/>
    <n v="111.8"/>
    <n v="115.5"/>
    <n v="227.3"/>
    <n v="118"/>
    <n v="113.1"/>
    <n v="231.1"/>
    <n v="119.5"/>
  </r>
  <r>
    <x v="1"/>
    <x v="1"/>
    <x v="6"/>
    <x v="49"/>
    <n v="126.4"/>
    <n v="118"/>
    <n v="121.6"/>
    <n v="103.5"/>
    <n v="133.69999999999999"/>
    <n v="172.4"/>
    <n v="113.1"/>
    <n v="102.7"/>
    <n v="120"/>
    <n v="113.8"/>
    <n v="123.4"/>
    <n v="127.1"/>
    <n v="1599.5"/>
    <n v="118"/>
    <n v="113.6"/>
    <n v="117.4"/>
    <n v="349"/>
    <n v="114.8"/>
    <n v="111.6"/>
    <n v="114.9"/>
    <x v="54"/>
    <n v="111.5"/>
    <n v="109.7"/>
    <n v="221.2"/>
    <n v="113"/>
    <n v="112.4"/>
    <n v="117.8"/>
    <n v="230.2"/>
    <n v="121"/>
    <n v="113.5"/>
    <n v="234.5"/>
    <n v="118.9"/>
  </r>
  <r>
    <x v="2"/>
    <x v="1"/>
    <x v="6"/>
    <x v="50"/>
    <n v="123.9"/>
    <n v="117.8"/>
    <n v="121"/>
    <n v="107.9"/>
    <n v="131.19999999999999"/>
    <n v="157.69999999999999"/>
    <n v="113.2"/>
    <n v="104.1"/>
    <n v="115.5"/>
    <n v="114.8"/>
    <n v="122.1"/>
    <n v="124.7"/>
    <n v="1576.3"/>
    <n v="119.6"/>
    <n v="116.3"/>
    <n v="119.1"/>
    <n v="355"/>
    <n v="114.8"/>
    <n v="113.9"/>
    <n v="115.2"/>
    <x v="55"/>
    <n v="112.7"/>
    <n v="109.2"/>
    <n v="221.9"/>
    <n v="113.1"/>
    <n v="112.1"/>
    <n v="116.8"/>
    <n v="228.89999999999998"/>
    <n v="118.8"/>
    <n v="113.3"/>
    <n v="232.1"/>
    <n v="119.2"/>
  </r>
  <r>
    <x v="0"/>
    <x v="1"/>
    <x v="7"/>
    <x v="51"/>
    <n v="122.8"/>
    <n v="117.8"/>
    <n v="121.9"/>
    <n v="110.6"/>
    <n v="129.69999999999999"/>
    <n v="161.1"/>
    <n v="114.1"/>
    <n v="105.1"/>
    <n v="114.6"/>
    <n v="115.8"/>
    <n v="121.7"/>
    <n v="125.3"/>
    <n v="1582.2999999999997"/>
    <n v="120.9"/>
    <n v="118.8"/>
    <n v="120.7"/>
    <n v="360.4"/>
    <n v="139.25"/>
    <n v="115.4"/>
    <n v="115.9"/>
    <x v="56"/>
    <n v="114"/>
    <n v="109.4"/>
    <n v="223.4"/>
    <n v="113.2"/>
    <n v="112.2"/>
    <n v="116.2"/>
    <n v="228.4"/>
    <n v="118.8"/>
    <n v="113.5"/>
    <n v="232.3"/>
    <n v="120.7"/>
  </r>
  <r>
    <x v="1"/>
    <x v="1"/>
    <x v="7"/>
    <x v="52"/>
    <n v="127.3"/>
    <n v="116.5"/>
    <n v="122.2"/>
    <n v="103.6"/>
    <n v="132.69999999999999"/>
    <n v="181.9"/>
    <n v="115.2"/>
    <n v="102.7"/>
    <n v="122.1"/>
    <n v="114.4"/>
    <n v="124.7"/>
    <n v="128.9"/>
    <n v="1617"/>
    <n v="118.6"/>
    <n v="114.1"/>
    <n v="117.9"/>
    <n v="350.6"/>
    <n v="115.5"/>
    <n v="111.8"/>
    <n v="115.3"/>
    <x v="57"/>
    <n v="112.2"/>
    <n v="110.5"/>
    <n v="222.7"/>
    <n v="112.5"/>
    <n v="112.9"/>
    <n v="119.2"/>
    <n v="232.10000000000002"/>
    <n v="123"/>
    <n v="113.9"/>
    <n v="236.9"/>
    <n v="119.9"/>
  </r>
  <r>
    <x v="2"/>
    <x v="1"/>
    <x v="7"/>
    <x v="44"/>
    <n v="124.4"/>
    <n v="117.3"/>
    <n v="122"/>
    <n v="108"/>
    <n v="131.1"/>
    <n v="168.2"/>
    <n v="114.5"/>
    <n v="104.3"/>
    <n v="117.1"/>
    <n v="115.2"/>
    <n v="123.1"/>
    <n v="126.6"/>
    <n v="1594.4999999999998"/>
    <n v="120"/>
    <n v="116.8"/>
    <n v="119.6"/>
    <n v="356.4"/>
    <n v="115.5"/>
    <n v="114"/>
    <n v="115.6"/>
    <x v="58"/>
    <n v="113.3"/>
    <n v="109.9"/>
    <n v="223.2"/>
    <n v="112.8"/>
    <n v="112.6"/>
    <n v="118"/>
    <n v="230.6"/>
    <n v="119.9"/>
    <n v="113.7"/>
    <n v="233.60000000000002"/>
    <n v="120.3"/>
  </r>
  <r>
    <x v="0"/>
    <x v="1"/>
    <x v="8"/>
    <x v="53"/>
    <n v="122.4"/>
    <n v="117.8"/>
    <n v="122.7"/>
    <n v="110.4"/>
    <n v="129.80000000000001"/>
    <n v="158.80000000000001"/>
    <n v="115"/>
    <n v="104.7"/>
    <n v="114.9"/>
    <n v="116.5"/>
    <n v="122.6"/>
    <n v="125.3"/>
    <n v="1583.2"/>
    <n v="121.7"/>
    <n v="119.2"/>
    <n v="121.3"/>
    <n v="362.2"/>
    <n v="139.25"/>
    <n v="115.8"/>
    <n v="116.7"/>
    <x v="59"/>
    <n v="114.5"/>
    <n v="109.1"/>
    <n v="223.6"/>
    <n v="112.8"/>
    <n v="112.6"/>
    <n v="116.6"/>
    <n v="229.2"/>
    <n v="119.5"/>
    <n v="113.7"/>
    <n v="233.2"/>
    <n v="120.9"/>
  </r>
  <r>
    <x v="1"/>
    <x v="1"/>
    <x v="8"/>
    <x v="54"/>
    <n v="125.4"/>
    <n v="116.4"/>
    <n v="122.7"/>
    <n v="103.5"/>
    <n v="124.5"/>
    <n v="168.6"/>
    <n v="116.9"/>
    <n v="101.9"/>
    <n v="122.9"/>
    <n v="114.8"/>
    <n v="125.2"/>
    <n v="126.7"/>
    <n v="1593.7000000000003"/>
    <n v="119.2"/>
    <n v="114.5"/>
    <n v="118.4"/>
    <n v="352.1"/>
    <n v="116.1"/>
    <n v="111.8"/>
    <n v="115.5"/>
    <x v="60"/>
    <n v="112.3"/>
    <n v="110"/>
    <n v="222.3"/>
    <n v="111.2"/>
    <n v="113.4"/>
    <n v="120"/>
    <n v="233.4"/>
    <n v="124.3"/>
    <n v="113.6"/>
    <n v="237.89999999999998"/>
    <n v="119.2"/>
  </r>
  <r>
    <x v="2"/>
    <x v="1"/>
    <x v="8"/>
    <x v="55"/>
    <n v="123.5"/>
    <n v="117.3"/>
    <n v="122.7"/>
    <n v="107.9"/>
    <n v="127.3"/>
    <n v="162.1"/>
    <n v="115.6"/>
    <n v="103.8"/>
    <n v="117.6"/>
    <n v="115.8"/>
    <n v="123.8"/>
    <n v="125.8"/>
    <n v="1586.0999999999997"/>
    <n v="120.7"/>
    <n v="117.2"/>
    <n v="120.1"/>
    <n v="358"/>
    <n v="116.1"/>
    <n v="114.3"/>
    <n v="116.1"/>
    <x v="61"/>
    <n v="113.7"/>
    <n v="109.5"/>
    <n v="223.2"/>
    <n v="112"/>
    <n v="113.1"/>
    <n v="118.6"/>
    <n v="231.7"/>
    <n v="120.8"/>
    <n v="113.7"/>
    <n v="234.5"/>
    <n v="120.1"/>
  </r>
  <r>
    <x v="0"/>
    <x v="1"/>
    <x v="9"/>
    <x v="56"/>
    <n v="122.5"/>
    <n v="118.3"/>
    <n v="123.2"/>
    <n v="110.5"/>
    <n v="128.9"/>
    <n v="155.30000000000001"/>
    <n v="115.5"/>
    <n v="104"/>
    <n v="115.3"/>
    <n v="116.8"/>
    <n v="123.2"/>
    <n v="125.1"/>
    <n v="1581.1999999999998"/>
    <n v="122.7"/>
    <n v="120.3"/>
    <n v="122.3"/>
    <n v="365.3"/>
    <n v="139.25"/>
    <n v="116.4"/>
    <n v="117.5"/>
    <x v="62"/>
    <n v="115.3"/>
    <n v="109.3"/>
    <n v="224.6"/>
    <n v="112.6"/>
    <n v="113"/>
    <n v="116.9"/>
    <n v="229.9"/>
    <n v="120"/>
    <n v="114"/>
    <n v="234"/>
    <n v="121"/>
  </r>
  <r>
    <x v="1"/>
    <x v="1"/>
    <x v="9"/>
    <x v="57"/>
    <n v="126.1"/>
    <n v="117.8"/>
    <n v="123.1"/>
    <n v="103.5"/>
    <n v="123.5"/>
    <n v="159.6"/>
    <n v="117.4"/>
    <n v="101.2"/>
    <n v="123.8"/>
    <n v="115.2"/>
    <n v="125.9"/>
    <n v="125.8"/>
    <n v="1587.5"/>
    <n v="119.6"/>
    <n v="114.9"/>
    <n v="118.9"/>
    <n v="353.4"/>
    <n v="116.7"/>
    <n v="112"/>
    <n v="115.8"/>
    <x v="63"/>
    <n v="112.6"/>
    <n v="110.1"/>
    <n v="222.7"/>
    <n v="111"/>
    <n v="113.6"/>
    <n v="120.2"/>
    <n v="233.8"/>
    <n v="124.3"/>
    <n v="113.7"/>
    <n v="238"/>
    <n v="119.1"/>
  </r>
  <r>
    <x v="2"/>
    <x v="1"/>
    <x v="9"/>
    <x v="58"/>
    <n v="123.8"/>
    <n v="118.1"/>
    <n v="123.2"/>
    <n v="107.9"/>
    <n v="126.4"/>
    <n v="156.80000000000001"/>
    <n v="116.1"/>
    <n v="103.1"/>
    <n v="118.1"/>
    <n v="116.1"/>
    <n v="124.5"/>
    <n v="125.4"/>
    <n v="1582.7"/>
    <n v="121.5"/>
    <n v="118.1"/>
    <n v="121"/>
    <n v="360.6"/>
    <n v="116.7"/>
    <n v="114.7"/>
    <n v="116.7"/>
    <x v="64"/>
    <n v="114.3"/>
    <n v="109.6"/>
    <n v="223.89999999999998"/>
    <n v="111.8"/>
    <n v="113.3"/>
    <n v="118.8"/>
    <n v="232.1"/>
    <n v="121.1"/>
    <n v="113.9"/>
    <n v="235"/>
    <n v="120.1"/>
  </r>
  <r>
    <x v="0"/>
    <x v="1"/>
    <x v="11"/>
    <x v="44"/>
    <n v="122.6"/>
    <n v="119.9"/>
    <n v="124"/>
    <n v="110.5"/>
    <n v="128.80000000000001"/>
    <n v="152"/>
    <n v="116.2"/>
    <n v="103.3"/>
    <n v="115.8"/>
    <n v="116.8"/>
    <n v="124.5"/>
    <n v="124.9"/>
    <n v="1582"/>
    <n v="123.3"/>
    <n v="120.5"/>
    <n v="122.9"/>
    <n v="366.70000000000005"/>
    <n v="139.25"/>
    <n v="117.3"/>
    <n v="118.1"/>
    <x v="65"/>
    <n v="115.9"/>
    <n v="108.8"/>
    <n v="224.7"/>
    <n v="112"/>
    <n v="113.3"/>
    <n v="117.2"/>
    <n v="230.5"/>
    <n v="120.8"/>
    <n v="114.1"/>
    <n v="234.89999999999998"/>
    <n v="121.1"/>
  </r>
  <r>
    <x v="1"/>
    <x v="1"/>
    <x v="11"/>
    <x v="59"/>
    <n v="125.6"/>
    <n v="122.7"/>
    <n v="124.6"/>
    <n v="103.2"/>
    <n v="122.2"/>
    <n v="153.19999999999999"/>
    <n v="119.3"/>
    <n v="99.8"/>
    <n v="124.6"/>
    <n v="115.8"/>
    <n v="126.9"/>
    <n v="125.4"/>
    <n v="1587.8"/>
    <n v="120.3"/>
    <n v="115.4"/>
    <n v="119.5"/>
    <n v="355.2"/>
    <n v="117.1"/>
    <n v="112.6"/>
    <n v="116.4"/>
    <x v="66"/>
    <n v="113"/>
    <n v="109.6"/>
    <n v="222.6"/>
    <n v="109.7"/>
    <n v="114"/>
    <n v="120.3"/>
    <n v="234.3"/>
    <n v="125.8"/>
    <n v="113.4"/>
    <n v="239.2"/>
    <n v="119"/>
  </r>
  <r>
    <x v="2"/>
    <x v="1"/>
    <x v="11"/>
    <x v="60"/>
    <n v="123.7"/>
    <n v="121"/>
    <n v="124.2"/>
    <n v="107.8"/>
    <n v="125.7"/>
    <n v="152.4"/>
    <n v="117.2"/>
    <n v="102.1"/>
    <n v="118.7"/>
    <n v="116.4"/>
    <n v="125.6"/>
    <n v="125.1"/>
    <n v="1583.2"/>
    <n v="122.1"/>
    <n v="118.4"/>
    <n v="121.6"/>
    <n v="362.1"/>
    <n v="117.1"/>
    <n v="115.5"/>
    <n v="117.3"/>
    <x v="67"/>
    <n v="114.8"/>
    <n v="109.1"/>
    <n v="223.89999999999998"/>
    <n v="110.8"/>
    <n v="113.7"/>
    <n v="119"/>
    <n v="232.7"/>
    <n v="122.1"/>
    <n v="113.8"/>
    <n v="235.89999999999998"/>
    <n v="120.1"/>
  </r>
  <r>
    <x v="0"/>
    <x v="1"/>
    <x v="12"/>
    <x v="50"/>
    <n v="122.4"/>
    <n v="121.8"/>
    <n v="124.2"/>
    <n v="110.2"/>
    <n v="128.6"/>
    <n v="140.30000000000001"/>
    <n v="116.3"/>
    <n v="102"/>
    <n v="116"/>
    <n v="117.3"/>
    <n v="124.8"/>
    <n v="123.3"/>
    <n v="1569.6"/>
    <n v="123.8"/>
    <n v="120.6"/>
    <n v="123.3"/>
    <n v="367.7"/>
    <n v="139.25"/>
    <n v="117.4"/>
    <n v="118.2"/>
    <x v="68"/>
    <n v="116.2"/>
    <n v="109.4"/>
    <n v="225.60000000000002"/>
    <n v="111.5"/>
    <n v="113.3"/>
    <n v="117.7"/>
    <n v="231"/>
    <n v="121.7"/>
    <n v="114.2"/>
    <n v="235.9"/>
    <n v="120.3"/>
  </r>
  <r>
    <x v="1"/>
    <x v="1"/>
    <x v="12"/>
    <x v="61"/>
    <n v="124.7"/>
    <n v="126.3"/>
    <n v="124.9"/>
    <n v="103"/>
    <n v="122.3"/>
    <n v="141"/>
    <n v="120.1"/>
    <n v="97.8"/>
    <n v="125.4"/>
    <n v="116.1"/>
    <n v="127.6"/>
    <n v="124"/>
    <n v="1577.1999999999998"/>
    <n v="120.7"/>
    <n v="115.8"/>
    <n v="120"/>
    <n v="356.5"/>
    <n v="116.5"/>
    <n v="113"/>
    <n v="116.8"/>
    <x v="69"/>
    <n v="113.2"/>
    <n v="110.4"/>
    <n v="223.60000000000002"/>
    <n v="108.8"/>
    <n v="114.3"/>
    <n v="120.7"/>
    <n v="235"/>
    <n v="126.4"/>
    <n v="113.4"/>
    <n v="239.8"/>
    <n v="118.4"/>
  </r>
  <r>
    <x v="2"/>
    <x v="1"/>
    <x v="12"/>
    <x v="55"/>
    <n v="123.2"/>
    <n v="123.5"/>
    <n v="124.5"/>
    <n v="107.6"/>
    <n v="125.7"/>
    <n v="140.5"/>
    <n v="117.6"/>
    <n v="100.6"/>
    <n v="119.1"/>
    <n v="116.8"/>
    <n v="126.1"/>
    <n v="123.6"/>
    <n v="1571.6999999999998"/>
    <n v="122.6"/>
    <n v="118.6"/>
    <n v="122"/>
    <n v="363.2"/>
    <n v="116.5"/>
    <n v="115.7"/>
    <n v="117.5"/>
    <x v="70"/>
    <n v="115.1"/>
    <n v="109.8"/>
    <n v="224.89999999999998"/>
    <n v="110.1"/>
    <n v="113.9"/>
    <n v="119.5"/>
    <n v="233.4"/>
    <n v="123"/>
    <n v="113.8"/>
    <n v="236.8"/>
    <n v="119.4"/>
  </r>
  <r>
    <x v="0"/>
    <x v="2"/>
    <x v="0"/>
    <x v="46"/>
    <n v="123.1"/>
    <n v="122.1"/>
    <n v="124.9"/>
    <n v="111"/>
    <n v="130.4"/>
    <n v="132.30000000000001"/>
    <n v="117.2"/>
    <n v="100.5"/>
    <n v="117.2"/>
    <n v="117.9"/>
    <n v="125.6"/>
    <n v="122.8"/>
    <n v="1568.1"/>
    <n v="124.4"/>
    <n v="121.6"/>
    <n v="124"/>
    <n v="370"/>
    <n v="139.25"/>
    <n v="118.4"/>
    <n v="118.9"/>
    <x v="71"/>
    <n v="116.6"/>
    <n v="110.2"/>
    <n v="226.8"/>
    <n v="111"/>
    <n v="114"/>
    <n v="118.2"/>
    <n v="232.2"/>
    <n v="122.7"/>
    <n v="114.5"/>
    <n v="237.2"/>
    <n v="120.3"/>
  </r>
  <r>
    <x v="1"/>
    <x v="2"/>
    <x v="0"/>
    <x v="61"/>
    <n v="125.5"/>
    <n v="126.6"/>
    <n v="125.2"/>
    <n v="104.3"/>
    <n v="121.3"/>
    <n v="134.4"/>
    <n v="122.9"/>
    <n v="96.1"/>
    <n v="126.6"/>
    <n v="116.5"/>
    <n v="128"/>
    <n v="123.5"/>
    <n v="1574.8999999999999"/>
    <n v="121"/>
    <n v="116.1"/>
    <n v="120.2"/>
    <n v="357.3"/>
    <n v="117.3"/>
    <n v="113.4"/>
    <n v="117.2"/>
    <x v="72"/>
    <n v="113.7"/>
    <n v="111.4"/>
    <n v="225.10000000000002"/>
    <n v="107.9"/>
    <n v="114.6"/>
    <n v="120.8"/>
    <n v="235.39999999999998"/>
    <n v="127.4"/>
    <n v="113.4"/>
    <n v="240.8"/>
    <n v="118.5"/>
  </r>
  <r>
    <x v="2"/>
    <x v="2"/>
    <x v="0"/>
    <x v="62"/>
    <n v="123.9"/>
    <n v="123.8"/>
    <n v="125"/>
    <n v="108.5"/>
    <n v="126.2"/>
    <n v="133"/>
    <n v="119.1"/>
    <n v="99"/>
    <n v="120.3"/>
    <n v="117.3"/>
    <n v="126.7"/>
    <n v="123.1"/>
    <n v="1569.3"/>
    <n v="123.1"/>
    <n v="119.3"/>
    <n v="122.5"/>
    <n v="364.9"/>
    <n v="117.3"/>
    <n v="116.5"/>
    <n v="118.1"/>
    <x v="73"/>
    <n v="115.5"/>
    <n v="110.7"/>
    <n v="226.2"/>
    <n v="109.4"/>
    <n v="114.3"/>
    <n v="119.7"/>
    <n v="234"/>
    <n v="124"/>
    <n v="114"/>
    <n v="238"/>
    <n v="119.5"/>
  </r>
  <r>
    <x v="0"/>
    <x v="2"/>
    <x v="1"/>
    <x v="62"/>
    <n v="124.4"/>
    <n v="122.1"/>
    <n v="125.8"/>
    <n v="111.5"/>
    <n v="129.4"/>
    <n v="128.19999999999999"/>
    <n v="118.8"/>
    <n v="100"/>
    <n v="118.6"/>
    <n v="118.8"/>
    <n v="126.8"/>
    <n v="122.8"/>
    <n v="1570.5999999999997"/>
    <n v="125.4"/>
    <n v="122.7"/>
    <n v="125"/>
    <n v="373.1"/>
    <n v="139.25"/>
    <n v="120"/>
    <n v="119.6"/>
    <x v="74"/>
    <n v="117.7"/>
    <n v="110.8"/>
    <n v="228.5"/>
    <n v="110.9"/>
    <n v="114.8"/>
    <n v="118.7"/>
    <n v="233.5"/>
    <n v="124.2"/>
    <n v="115"/>
    <n v="239.2"/>
    <n v="120.6"/>
  </r>
  <r>
    <x v="1"/>
    <x v="2"/>
    <x v="1"/>
    <x v="63"/>
    <n v="126.5"/>
    <n v="119.5"/>
    <n v="125.6"/>
    <n v="104.9"/>
    <n v="121.6"/>
    <n v="131.80000000000001"/>
    <n v="125.1"/>
    <n v="95"/>
    <n v="127.7"/>
    <n v="116.8"/>
    <n v="128.6"/>
    <n v="123.7"/>
    <n v="1571.1000000000001"/>
    <n v="121.3"/>
    <n v="116.5"/>
    <n v="120.6"/>
    <n v="358.4"/>
    <n v="118.1"/>
    <n v="114"/>
    <n v="117.7"/>
    <x v="75"/>
    <n v="114.1"/>
    <n v="111.7"/>
    <n v="225.8"/>
    <n v="106.8"/>
    <n v="114.9"/>
    <n v="120.4"/>
    <n v="235.3"/>
    <n v="128.1"/>
    <n v="113.2"/>
    <n v="241.3"/>
    <n v="118.7"/>
  </r>
  <r>
    <x v="2"/>
    <x v="2"/>
    <x v="1"/>
    <x v="64"/>
    <n v="125.1"/>
    <n v="121.1"/>
    <n v="125.7"/>
    <n v="109.1"/>
    <n v="125.8"/>
    <n v="129.4"/>
    <n v="120.9"/>
    <n v="98.3"/>
    <n v="121.6"/>
    <n v="118"/>
    <n v="127.6"/>
    <n v="123.1"/>
    <n v="1569.3999999999996"/>
    <n v="123.8"/>
    <n v="120.1"/>
    <n v="123.3"/>
    <n v="367.2"/>
    <n v="118.1"/>
    <n v="117.7"/>
    <n v="118.7"/>
    <x v="76"/>
    <n v="116.3"/>
    <n v="111.2"/>
    <n v="227.5"/>
    <n v="108.7"/>
    <n v="114.9"/>
    <n v="119.7"/>
    <n v="234.60000000000002"/>
    <n v="125.2"/>
    <n v="114.1"/>
    <n v="239.3"/>
    <n v="119.7"/>
  </r>
  <r>
    <x v="0"/>
    <x v="2"/>
    <x v="2"/>
    <x v="60"/>
    <n v="124.7"/>
    <n v="118.9"/>
    <n v="126"/>
    <n v="111.8"/>
    <n v="130.9"/>
    <n v="128"/>
    <n v="119.9"/>
    <n v="98.9"/>
    <n v="119.4"/>
    <n v="118.9"/>
    <n v="127.7"/>
    <n v="123.1"/>
    <n v="1571.5"/>
    <n v="126"/>
    <n v="122.9"/>
    <n v="125.5"/>
    <n v="374.4"/>
    <n v="139.25"/>
    <n v="120.6"/>
    <n v="120.2"/>
    <x v="77"/>
    <n v="118.2"/>
    <n v="110.8"/>
    <n v="229"/>
    <n v="111.6"/>
    <n v="115.5"/>
    <n v="119.4"/>
    <n v="234.9"/>
    <n v="124.7"/>
    <n v="115.5"/>
    <n v="240.2"/>
    <n v="121.1"/>
  </r>
  <r>
    <x v="1"/>
    <x v="2"/>
    <x v="2"/>
    <x v="61"/>
    <n v="126.7"/>
    <n v="113.5"/>
    <n v="125.9"/>
    <n v="104.8"/>
    <n v="123.8"/>
    <n v="131.4"/>
    <n v="127.2"/>
    <n v="93.2"/>
    <n v="127.4"/>
    <n v="117"/>
    <n v="129.19999999999999"/>
    <n v="123.9"/>
    <n v="1568.0000000000002"/>
    <n v="121.7"/>
    <n v="116.9"/>
    <n v="120.9"/>
    <n v="359.5"/>
    <n v="118.6"/>
    <n v="114.4"/>
    <n v="118"/>
    <x v="78"/>
    <n v="114.3"/>
    <n v="111.3"/>
    <n v="225.6"/>
    <n v="108.4"/>
    <n v="115.4"/>
    <n v="120.6"/>
    <n v="236"/>
    <n v="128.80000000000001"/>
    <n v="113.8"/>
    <n v="242.60000000000002"/>
    <n v="119.1"/>
  </r>
  <r>
    <x v="2"/>
    <x v="2"/>
    <x v="2"/>
    <x v="65"/>
    <n v="125.4"/>
    <n v="116.8"/>
    <n v="126"/>
    <n v="109.2"/>
    <n v="127.6"/>
    <n v="129.19999999999999"/>
    <n v="122.4"/>
    <n v="97"/>
    <n v="122.1"/>
    <n v="118.1"/>
    <n v="128.4"/>
    <n v="123.4"/>
    <n v="1569.1"/>
    <n v="124.3"/>
    <n v="120.4"/>
    <n v="123.7"/>
    <n v="368.4"/>
    <n v="118.6"/>
    <n v="118.3"/>
    <n v="119.2"/>
    <x v="79"/>
    <n v="116.7"/>
    <n v="111"/>
    <n v="227.7"/>
    <n v="109.9"/>
    <n v="115.4"/>
    <n v="120.1"/>
    <n v="235.5"/>
    <n v="125.8"/>
    <n v="114.7"/>
    <n v="240.5"/>
    <n v="120.2"/>
  </r>
  <r>
    <x v="0"/>
    <x v="2"/>
    <x v="3"/>
    <x v="60"/>
    <n v="125.5"/>
    <n v="117.2"/>
    <n v="126.8"/>
    <n v="111.9"/>
    <n v="134.19999999999999"/>
    <n v="127.5"/>
    <n v="121.5"/>
    <n v="97.8"/>
    <n v="119.8"/>
    <n v="119.4"/>
    <n v="128.69999999999999"/>
    <n v="123.6"/>
    <n v="1577.2"/>
    <n v="126.4"/>
    <n v="123.3"/>
    <n v="126"/>
    <n v="375.7"/>
    <n v="139.25"/>
    <n v="121.2"/>
    <n v="120.9"/>
    <x v="80"/>
    <n v="118.6"/>
    <n v="111.6"/>
    <n v="230.2"/>
    <n v="111.9"/>
    <n v="116.2"/>
    <n v="119.9"/>
    <n v="236.10000000000002"/>
    <n v="125.7"/>
    <n v="116"/>
    <n v="241.7"/>
    <n v="121.5"/>
  </r>
  <r>
    <x v="1"/>
    <x v="2"/>
    <x v="3"/>
    <x v="49"/>
    <n v="128.19999999999999"/>
    <n v="110"/>
    <n v="126.3"/>
    <n v="104.5"/>
    <n v="130.6"/>
    <n v="130.80000000000001"/>
    <n v="131.30000000000001"/>
    <n v="91.6"/>
    <n v="127.7"/>
    <n v="117.2"/>
    <n v="129.5"/>
    <n v="124.6"/>
    <n v="1576.1"/>
    <n v="122.1"/>
    <n v="117.2"/>
    <n v="121.3"/>
    <n v="360.6"/>
    <n v="119.2"/>
    <n v="114.7"/>
    <n v="118.4"/>
    <x v="81"/>
    <n v="114.6"/>
    <n v="111.8"/>
    <n v="226.39999999999998"/>
    <n v="108.4"/>
    <n v="115.6"/>
    <n v="121.7"/>
    <n v="237.3"/>
    <n v="130.1"/>
    <n v="114.2"/>
    <n v="244.3"/>
    <n v="119.7"/>
  </r>
  <r>
    <x v="2"/>
    <x v="2"/>
    <x v="3"/>
    <x v="65"/>
    <n v="126.4"/>
    <n v="114.4"/>
    <n v="126.6"/>
    <n v="109.2"/>
    <n v="132.5"/>
    <n v="128.6"/>
    <n v="124.8"/>
    <n v="95.7"/>
    <n v="122.4"/>
    <n v="118.5"/>
    <n v="129.1"/>
    <n v="124"/>
    <n v="1575.7"/>
    <n v="124.7"/>
    <n v="120.8"/>
    <n v="124.1"/>
    <n v="369.6"/>
    <n v="119.2"/>
    <n v="118.7"/>
    <n v="119.7"/>
    <x v="82"/>
    <n v="117.1"/>
    <n v="111.7"/>
    <n v="228.8"/>
    <n v="110.1"/>
    <n v="115.9"/>
    <n v="121"/>
    <n v="236.9"/>
    <n v="126.9"/>
    <n v="115.1"/>
    <n v="242"/>
    <n v="120.7"/>
  </r>
  <r>
    <x v="0"/>
    <x v="2"/>
    <x v="4"/>
    <x v="65"/>
    <n v="127.1"/>
    <n v="117.3"/>
    <n v="127.7"/>
    <n v="112.5"/>
    <n v="134.1"/>
    <n v="128.5"/>
    <n v="124.3"/>
    <n v="97.6"/>
    <n v="120.7"/>
    <n v="120.2"/>
    <n v="129.80000000000001"/>
    <n v="124.4"/>
    <n v="1587.7"/>
    <n v="127.3"/>
    <n v="124.1"/>
    <n v="126.8"/>
    <n v="378.2"/>
    <n v="139.25"/>
    <n v="121.9"/>
    <n v="121.5"/>
    <x v="83"/>
    <n v="119.4"/>
    <n v="112.3"/>
    <n v="231.7"/>
    <n v="113.3"/>
    <n v="116.7"/>
    <n v="120.5"/>
    <n v="237.2"/>
    <n v="126.7"/>
    <n v="116.9"/>
    <n v="243.60000000000002"/>
    <n v="122.4"/>
  </r>
  <r>
    <x v="1"/>
    <x v="2"/>
    <x v="4"/>
    <x v="49"/>
    <n v="129.69999999999999"/>
    <n v="111.3"/>
    <n v="126.6"/>
    <n v="105.2"/>
    <n v="130.80000000000001"/>
    <n v="135.6"/>
    <n v="142.6"/>
    <n v="90.8"/>
    <n v="128.80000000000001"/>
    <n v="117.7"/>
    <n v="129.9"/>
    <n v="126.1"/>
    <n v="1598.9"/>
    <n v="122.4"/>
    <n v="117.4"/>
    <n v="121.6"/>
    <n v="361.4"/>
    <n v="119.6"/>
    <n v="114.9"/>
    <n v="118.7"/>
    <x v="84"/>
    <n v="114.9"/>
    <n v="112.4"/>
    <n v="227.3"/>
    <n v="110.8"/>
    <n v="116"/>
    <n v="122"/>
    <n v="238"/>
    <n v="131.30000000000001"/>
    <n v="115.2"/>
    <n v="246.5"/>
    <n v="120.7"/>
  </r>
  <r>
    <x v="2"/>
    <x v="2"/>
    <x v="4"/>
    <x v="66"/>
    <n v="128"/>
    <n v="115"/>
    <n v="127.3"/>
    <n v="109.8"/>
    <n v="132.6"/>
    <n v="130.9"/>
    <n v="130.5"/>
    <n v="95.3"/>
    <n v="123.4"/>
    <n v="119.2"/>
    <n v="129.80000000000001"/>
    <n v="125"/>
    <n v="1590.4"/>
    <n v="125.4"/>
    <n v="121.3"/>
    <n v="124.7"/>
    <n v="371.4"/>
    <n v="119.6"/>
    <n v="119.2"/>
    <n v="120.2"/>
    <x v="85"/>
    <n v="117.7"/>
    <n v="112.3"/>
    <n v="230"/>
    <n v="112"/>
    <n v="116.3"/>
    <n v="121.4"/>
    <n v="237.7"/>
    <n v="127.9"/>
    <n v="116.1"/>
    <n v="244"/>
    <n v="121.6"/>
  </r>
  <r>
    <x v="0"/>
    <x v="2"/>
    <x v="5"/>
    <x v="67"/>
    <n v="130.4"/>
    <n v="122.1"/>
    <n v="128.69999999999999"/>
    <n v="114.1"/>
    <n v="133.19999999999999"/>
    <n v="135.19999999999999"/>
    <n v="131.9"/>
    <n v="96.3"/>
    <n v="123"/>
    <n v="121.1"/>
    <n v="131.19999999999999"/>
    <n v="126.6"/>
    <n v="1617.8999999999999"/>
    <n v="128.4"/>
    <n v="125.1"/>
    <n v="128"/>
    <n v="381.5"/>
    <n v="139.25"/>
    <n v="122.6"/>
    <n v="122.8"/>
    <x v="86"/>
    <n v="120.4"/>
    <n v="113"/>
    <n v="233.4"/>
    <n v="114.2"/>
    <n v="117.9"/>
    <n v="122"/>
    <n v="239.9"/>
    <n v="128.19999999999999"/>
    <n v="117.9"/>
    <n v="246.1"/>
    <n v="124.1"/>
  </r>
  <r>
    <x v="1"/>
    <x v="2"/>
    <x v="5"/>
    <x v="66"/>
    <n v="134.4"/>
    <n v="120.9"/>
    <n v="127.3"/>
    <n v="106"/>
    <n v="132.30000000000001"/>
    <n v="146.69999999999999"/>
    <n v="148.1"/>
    <n v="89.8"/>
    <n v="130.5"/>
    <n v="118"/>
    <n v="130.5"/>
    <n v="128.5"/>
    <n v="1636.6"/>
    <n v="123.2"/>
    <n v="117.6"/>
    <n v="122.3"/>
    <n v="363.1"/>
    <n v="119"/>
    <n v="115.1"/>
    <n v="119.2"/>
    <x v="87"/>
    <n v="115.4"/>
    <n v="112.5"/>
    <n v="227.9"/>
    <n v="111.7"/>
    <n v="116.2"/>
    <n v="123.8"/>
    <n v="240"/>
    <n v="132.1"/>
    <n v="116"/>
    <n v="248.1"/>
    <n v="121.7"/>
  </r>
  <r>
    <x v="2"/>
    <x v="2"/>
    <x v="5"/>
    <x v="68"/>
    <n v="131.80000000000001"/>
    <n v="121.6"/>
    <n v="128.19999999999999"/>
    <n v="111.1"/>
    <n v="132.80000000000001"/>
    <n v="139.1"/>
    <n v="137.4"/>
    <n v="94.1"/>
    <n v="125.5"/>
    <n v="119.8"/>
    <n v="130.9"/>
    <n v="127.3"/>
    <n v="1623.5"/>
    <n v="126.4"/>
    <n v="122"/>
    <n v="125.7"/>
    <n v="374.1"/>
    <n v="119"/>
    <n v="119.8"/>
    <n v="121.1"/>
    <x v="88"/>
    <n v="118.5"/>
    <n v="112.8"/>
    <n v="231.3"/>
    <n v="112.9"/>
    <n v="116.9"/>
    <n v="123.1"/>
    <n v="240"/>
    <n v="129.19999999999999"/>
    <n v="117"/>
    <n v="246.2"/>
    <n v="123"/>
  </r>
  <r>
    <x v="0"/>
    <x v="2"/>
    <x v="6"/>
    <x v="61"/>
    <n v="131.5"/>
    <n v="122"/>
    <n v="128.69999999999999"/>
    <n v="113.5"/>
    <n v="133.30000000000001"/>
    <n v="140.80000000000001"/>
    <n v="133.80000000000001"/>
    <n v="94.1"/>
    <n v="123.4"/>
    <n v="121"/>
    <n v="131.69999999999999"/>
    <n v="127.5"/>
    <n v="1625.3"/>
    <n v="128.80000000000001"/>
    <n v="125.5"/>
    <n v="128.30000000000001"/>
    <n v="382.6"/>
    <n v="139.25"/>
    <n v="123"/>
    <n v="123"/>
    <x v="89"/>
    <n v="120.8"/>
    <n v="112.7"/>
    <n v="233.5"/>
    <n v="114.1"/>
    <n v="118"/>
    <n v="122.9"/>
    <n v="240.9"/>
    <n v="129.4"/>
    <n v="118.1"/>
    <n v="247.5"/>
    <n v="124.7"/>
  </r>
  <r>
    <x v="1"/>
    <x v="2"/>
    <x v="6"/>
    <x v="58"/>
    <n v="134.30000000000001"/>
    <n v="119.5"/>
    <n v="127.7"/>
    <n v="106.3"/>
    <n v="132.80000000000001"/>
    <n v="153.5"/>
    <n v="149.5"/>
    <n v="85.7"/>
    <n v="131.5"/>
    <n v="118.3"/>
    <n v="131.1"/>
    <n v="129.5"/>
    <n v="1642.8999999999999"/>
    <n v="123.5"/>
    <n v="117.9"/>
    <n v="122.7"/>
    <n v="364.1"/>
    <n v="119.9"/>
    <n v="115.3"/>
    <n v="119.5"/>
    <x v="90"/>
    <n v="116"/>
    <n v="111.7"/>
    <n v="227.7"/>
    <n v="111.5"/>
    <n v="116.6"/>
    <n v="125.4"/>
    <n v="242"/>
    <n v="133.1"/>
    <n v="116.3"/>
    <n v="249.39999999999998"/>
    <n v="122.4"/>
  </r>
  <r>
    <x v="2"/>
    <x v="2"/>
    <x v="6"/>
    <x v="64"/>
    <n v="132.5"/>
    <n v="121"/>
    <n v="128.30000000000001"/>
    <n v="110.9"/>
    <n v="133.1"/>
    <n v="145.1"/>
    <n v="139.1"/>
    <n v="91.3"/>
    <n v="126.1"/>
    <n v="119.9"/>
    <n v="131.4"/>
    <n v="128.19999999999999"/>
    <n v="1630.6000000000001"/>
    <n v="126.7"/>
    <n v="122.3"/>
    <n v="126.1"/>
    <n v="375.1"/>
    <n v="119.9"/>
    <n v="120.1"/>
    <n v="121.3"/>
    <x v="91"/>
    <n v="119"/>
    <n v="112.3"/>
    <n v="231.3"/>
    <n v="112.7"/>
    <n v="117.2"/>
    <n v="124.4"/>
    <n v="241.60000000000002"/>
    <n v="130.4"/>
    <n v="117.2"/>
    <n v="247.60000000000002"/>
    <n v="123.6"/>
  </r>
  <r>
    <x v="0"/>
    <x v="2"/>
    <x v="7"/>
    <x v="69"/>
    <n v="131.30000000000001"/>
    <n v="121.3"/>
    <n v="128.80000000000001"/>
    <n v="114"/>
    <n v="134.19999999999999"/>
    <n v="153.6"/>
    <n v="137.9"/>
    <n v="93.1"/>
    <n v="123.9"/>
    <n v="121.5"/>
    <n v="132.5"/>
    <n v="129.80000000000001"/>
    <n v="1646.6"/>
    <n v="129.5"/>
    <n v="126.3"/>
    <n v="129"/>
    <n v="384.8"/>
    <n v="139.25"/>
    <n v="123.8"/>
    <n v="123.7"/>
    <x v="92"/>
    <n v="121.1"/>
    <n v="112.5"/>
    <n v="233.6"/>
    <n v="113.6"/>
    <n v="118.5"/>
    <n v="123.6"/>
    <n v="242.1"/>
    <n v="130.1"/>
    <n v="118.2"/>
    <n v="248.3"/>
    <n v="126.1"/>
  </r>
  <r>
    <x v="1"/>
    <x v="2"/>
    <x v="7"/>
    <x v="46"/>
    <n v="131.69999999999999"/>
    <n v="118.1"/>
    <n v="128"/>
    <n v="106.8"/>
    <n v="130.1"/>
    <n v="165.5"/>
    <n v="156"/>
    <n v="85.3"/>
    <n v="132.69999999999999"/>
    <n v="118.8"/>
    <n v="131.69999999999999"/>
    <n v="131.1"/>
    <n v="1658.8999999999999"/>
    <n v="123.7"/>
    <n v="118.2"/>
    <n v="122.9"/>
    <n v="364.8"/>
    <n v="120.9"/>
    <n v="115.3"/>
    <n v="120"/>
    <x v="93"/>
    <n v="116.6"/>
    <n v="112"/>
    <n v="228.6"/>
    <n v="109.9"/>
    <n v="117.2"/>
    <n v="126.2"/>
    <n v="243.4"/>
    <n v="134.19999999999999"/>
    <n v="116.2"/>
    <n v="250.39999999999998"/>
    <n v="123.2"/>
  </r>
  <r>
    <x v="2"/>
    <x v="2"/>
    <x v="7"/>
    <x v="54"/>
    <n v="131.4"/>
    <n v="120.1"/>
    <n v="128.5"/>
    <n v="111.4"/>
    <n v="132.30000000000001"/>
    <n v="157.6"/>
    <n v="144"/>
    <n v="90.5"/>
    <n v="126.8"/>
    <n v="120.4"/>
    <n v="132.1"/>
    <n v="130.30000000000001"/>
    <n v="1649.6"/>
    <n v="127.2"/>
    <n v="122.9"/>
    <n v="126.6"/>
    <n v="376.70000000000005"/>
    <n v="120.9"/>
    <n v="120.6"/>
    <n v="122"/>
    <x v="94"/>
    <n v="119.4"/>
    <n v="112.3"/>
    <n v="231.7"/>
    <n v="111.7"/>
    <n v="117.8"/>
    <n v="125.1"/>
    <n v="242.89999999999998"/>
    <n v="131.19999999999999"/>
    <n v="117.2"/>
    <n v="248.39999999999998"/>
    <n v="124.8"/>
  </r>
  <r>
    <x v="0"/>
    <x v="2"/>
    <x v="8"/>
    <x v="70"/>
    <n v="131.1"/>
    <n v="120.7"/>
    <n v="129.19999999999999"/>
    <n v="114.7"/>
    <n v="132.30000000000001"/>
    <n v="158.9"/>
    <n v="142.1"/>
    <n v="92.5"/>
    <n v="125.4"/>
    <n v="121.9"/>
    <n v="132.69999999999999"/>
    <n v="131"/>
    <n v="1657.6000000000001"/>
    <n v="130.4"/>
    <n v="126.8"/>
    <n v="129.9"/>
    <n v="387.1"/>
    <n v="139.25"/>
    <n v="123.7"/>
    <n v="124.5"/>
    <x v="95"/>
    <n v="121.4"/>
    <n v="113.7"/>
    <n v="235.10000000000002"/>
    <n v="113.8"/>
    <n v="119.6"/>
    <n v="124.5"/>
    <n v="244.1"/>
    <n v="131"/>
    <n v="118.8"/>
    <n v="249.8"/>
    <n v="127"/>
  </r>
  <r>
    <x v="1"/>
    <x v="2"/>
    <x v="8"/>
    <x v="62"/>
    <n v="129"/>
    <n v="115.6"/>
    <n v="128.30000000000001"/>
    <n v="107"/>
    <n v="124"/>
    <n v="168.5"/>
    <n v="165.4"/>
    <n v="86.3"/>
    <n v="134.4"/>
    <n v="119.1"/>
    <n v="132.30000000000001"/>
    <n v="131.5"/>
    <n v="1664.8"/>
    <n v="124"/>
    <n v="118.6"/>
    <n v="123.2"/>
    <n v="365.8"/>
    <n v="121.6"/>
    <n v="115.1"/>
    <n v="120.4"/>
    <x v="96"/>
    <n v="117.1"/>
    <n v="112.9"/>
    <n v="230"/>
    <n v="109.1"/>
    <n v="117.3"/>
    <n v="126.5"/>
    <n v="243.8"/>
    <n v="134.69999999999999"/>
    <n v="116.2"/>
    <n v="250.89999999999998"/>
    <n v="123.5"/>
  </r>
  <r>
    <x v="2"/>
    <x v="2"/>
    <x v="8"/>
    <x v="57"/>
    <n v="130.4"/>
    <n v="118.7"/>
    <n v="128.9"/>
    <n v="111.9"/>
    <n v="128.4"/>
    <n v="162.19999999999999"/>
    <n v="150"/>
    <n v="90.4"/>
    <n v="128.4"/>
    <n v="120.7"/>
    <n v="132.5"/>
    <n v="131.19999999999999"/>
    <n v="1658.3000000000002"/>
    <n v="127.9"/>
    <n v="123.4"/>
    <n v="127.2"/>
    <n v="378.5"/>
    <n v="121.6"/>
    <n v="120.4"/>
    <n v="122.6"/>
    <x v="97"/>
    <n v="119.8"/>
    <n v="113.4"/>
    <n v="233.2"/>
    <n v="111.3"/>
    <n v="118.3"/>
    <n v="125.7"/>
    <n v="244"/>
    <n v="132"/>
    <n v="117.5"/>
    <n v="249.5"/>
    <n v="125.4"/>
  </r>
  <r>
    <x v="0"/>
    <x v="2"/>
    <x v="9"/>
    <x v="71"/>
    <n v="130.4"/>
    <n v="120.8"/>
    <n v="129.4"/>
    <n v="115.8"/>
    <n v="133.19999999999999"/>
    <n v="157.69999999999999"/>
    <n v="154.19999999999999"/>
    <n v="93.7"/>
    <n v="126.6"/>
    <n v="122.3"/>
    <n v="133.1"/>
    <n v="131.80000000000001"/>
    <n v="1674.6"/>
    <n v="131.1"/>
    <n v="127.3"/>
    <n v="130.6"/>
    <n v="389"/>
    <n v="139.25"/>
    <n v="124.4"/>
    <n v="125.1"/>
    <x v="98"/>
    <n v="122"/>
    <n v="114.2"/>
    <n v="236.2"/>
    <n v="113.8"/>
    <n v="120.1"/>
    <n v="125.1"/>
    <n v="245.2"/>
    <n v="131.5"/>
    <n v="119.2"/>
    <n v="250.7"/>
    <n v="127.7"/>
  </r>
  <r>
    <x v="1"/>
    <x v="2"/>
    <x v="9"/>
    <x v="66"/>
    <n v="128.6"/>
    <n v="115.9"/>
    <n v="128.5"/>
    <n v="109"/>
    <n v="124.1"/>
    <n v="165.8"/>
    <n v="187.2"/>
    <n v="89.4"/>
    <n v="135.80000000000001"/>
    <n v="119.4"/>
    <n v="132.9"/>
    <n v="132.6"/>
    <n v="1692.8000000000002"/>
    <n v="124.4"/>
    <n v="118.8"/>
    <n v="123.6"/>
    <n v="366.79999999999995"/>
    <n v="122.4"/>
    <n v="114.9"/>
    <n v="120.7"/>
    <x v="99"/>
    <n v="117.7"/>
    <n v="113.5"/>
    <n v="231.2"/>
    <n v="109.3"/>
    <n v="117.7"/>
    <n v="126.5"/>
    <n v="244.2"/>
    <n v="135.30000000000001"/>
    <n v="116.5"/>
    <n v="251.8"/>
    <n v="124.2"/>
  </r>
  <r>
    <x v="2"/>
    <x v="2"/>
    <x v="9"/>
    <x v="72"/>
    <n v="129.80000000000001"/>
    <n v="118.9"/>
    <n v="129.1"/>
    <n v="113.3"/>
    <n v="129"/>
    <n v="160.4"/>
    <n v="165.3"/>
    <n v="92.3"/>
    <n v="129.69999999999999"/>
    <n v="121.1"/>
    <n v="133"/>
    <n v="132.1"/>
    <n v="1678.9999999999998"/>
    <n v="128.5"/>
    <n v="123.8"/>
    <n v="127.8"/>
    <n v="380.1"/>
    <n v="122.4"/>
    <n v="120.8"/>
    <n v="123"/>
    <x v="100"/>
    <n v="120.4"/>
    <n v="113.9"/>
    <n v="234.3"/>
    <n v="111.4"/>
    <n v="118.7"/>
    <n v="125.9"/>
    <n v="244.60000000000002"/>
    <n v="132.5"/>
    <n v="117.9"/>
    <n v="250.4"/>
    <n v="126.1"/>
  </r>
  <r>
    <x v="0"/>
    <x v="2"/>
    <x v="11"/>
    <x v="73"/>
    <n v="130.6"/>
    <n v="121.7"/>
    <n v="129.5"/>
    <n v="117.8"/>
    <n v="132.1"/>
    <n v="155.19999999999999"/>
    <n v="160.80000000000001"/>
    <n v="94.5"/>
    <n v="128.30000000000001"/>
    <n v="123.1"/>
    <n v="134.19999999999999"/>
    <n v="132.4"/>
    <n v="1686.3"/>
    <n v="132.1"/>
    <n v="128.19999999999999"/>
    <n v="131.5"/>
    <n v="391.79999999999995"/>
    <n v="139.25"/>
    <n v="125.6"/>
    <n v="125.6"/>
    <x v="101"/>
    <n v="122.6"/>
    <n v="114.2"/>
    <n v="236.8"/>
    <n v="114"/>
    <n v="120.9"/>
    <n v="125.8"/>
    <n v="246.7"/>
    <n v="132.19999999999999"/>
    <n v="119.6"/>
    <n v="251.79999999999998"/>
    <n v="128.30000000000001"/>
  </r>
  <r>
    <x v="1"/>
    <x v="2"/>
    <x v="11"/>
    <x v="61"/>
    <n v="129.80000000000001"/>
    <n v="121.5"/>
    <n v="128.6"/>
    <n v="110"/>
    <n v="123.7"/>
    <n v="164.6"/>
    <n v="191.6"/>
    <n v="90.8"/>
    <n v="137.1"/>
    <n v="119.8"/>
    <n v="133.69999999999999"/>
    <n v="133.30000000000001"/>
    <n v="1708.4999999999998"/>
    <n v="125"/>
    <n v="119.3"/>
    <n v="124.2"/>
    <n v="368.5"/>
    <n v="122.9"/>
    <n v="115.1"/>
    <n v="121"/>
    <x v="85"/>
    <n v="118.1"/>
    <n v="113.3"/>
    <n v="231.39999999999998"/>
    <n v="109.3"/>
    <n v="117.9"/>
    <n v="126.6"/>
    <n v="244.5"/>
    <n v="137.6"/>
    <n v="116.6"/>
    <n v="254.2"/>
    <n v="124.6"/>
  </r>
  <r>
    <x v="2"/>
    <x v="2"/>
    <x v="11"/>
    <x v="74"/>
    <n v="130.30000000000001"/>
    <n v="121.6"/>
    <n v="129.19999999999999"/>
    <n v="114.9"/>
    <n v="128.19999999999999"/>
    <n v="158.4"/>
    <n v="171.2"/>
    <n v="93.3"/>
    <n v="131.19999999999999"/>
    <n v="121.7"/>
    <n v="134"/>
    <n v="132.69999999999999"/>
    <n v="1692.1"/>
    <n v="129.30000000000001"/>
    <n v="124.5"/>
    <n v="128.6"/>
    <n v="382.4"/>
    <n v="122.9"/>
    <n v="121.6"/>
    <n v="123.4"/>
    <x v="102"/>
    <n v="120.9"/>
    <n v="113.8"/>
    <n v="234.7"/>
    <n v="111.5"/>
    <n v="119.2"/>
    <n v="126.3"/>
    <n v="245.5"/>
    <n v="133.6"/>
    <n v="118.1"/>
    <n v="251.7"/>
    <n v="126.6"/>
  </r>
  <r>
    <x v="0"/>
    <x v="2"/>
    <x v="12"/>
    <x v="75"/>
    <n v="131.30000000000001"/>
    <n v="123.3"/>
    <n v="129.80000000000001"/>
    <n v="118.3"/>
    <n v="131.6"/>
    <n v="145.5"/>
    <n v="162.1"/>
    <n v="95.4"/>
    <n v="128.9"/>
    <n v="123.3"/>
    <n v="135.1"/>
    <n v="131.4"/>
    <n v="1682.3000000000002"/>
    <n v="132.5"/>
    <n v="128.5"/>
    <n v="131.9"/>
    <n v="392.9"/>
    <n v="139.25"/>
    <n v="125.7"/>
    <n v="126"/>
    <x v="103"/>
    <n v="123.1"/>
    <n v="114.1"/>
    <n v="237.2"/>
    <n v="114"/>
    <n v="121.6"/>
    <n v="125.6"/>
    <n v="247.2"/>
    <n v="133.1"/>
    <n v="119.8"/>
    <n v="252.89999999999998"/>
    <n v="127.9"/>
  </r>
  <r>
    <x v="1"/>
    <x v="2"/>
    <x v="12"/>
    <x v="63"/>
    <n v="131.69999999999999"/>
    <n v="127.1"/>
    <n v="128.6"/>
    <n v="110"/>
    <n v="120.8"/>
    <n v="149"/>
    <n v="190.1"/>
    <n v="92.7"/>
    <n v="138.6"/>
    <n v="120.2"/>
    <n v="134.19999999999999"/>
    <n v="131.5"/>
    <n v="1698.8"/>
    <n v="125.4"/>
    <n v="119.5"/>
    <n v="124.5"/>
    <n v="369.4"/>
    <n v="122.4"/>
    <n v="116"/>
    <n v="121"/>
    <x v="104"/>
    <n v="118.6"/>
    <n v="113.2"/>
    <n v="231.8"/>
    <n v="109.3"/>
    <n v="118.1"/>
    <n v="126.6"/>
    <n v="244.7"/>
    <n v="138.19999999999999"/>
    <n v="116.7"/>
    <n v="254.89999999999998"/>
    <n v="124"/>
  </r>
  <r>
    <x v="2"/>
    <x v="2"/>
    <x v="12"/>
    <x v="76"/>
    <n v="131.4"/>
    <n v="124.8"/>
    <n v="129.4"/>
    <n v="115.3"/>
    <n v="126.6"/>
    <n v="146.69999999999999"/>
    <n v="171.5"/>
    <n v="94.5"/>
    <n v="132.1"/>
    <n v="122"/>
    <n v="134.69999999999999"/>
    <n v="131.4"/>
    <n v="1686.1000000000001"/>
    <n v="129.69999999999999"/>
    <n v="124.8"/>
    <n v="129"/>
    <n v="383.5"/>
    <n v="122.4"/>
    <n v="122"/>
    <n v="123.6"/>
    <x v="105"/>
    <n v="121.4"/>
    <n v="113.7"/>
    <n v="235.10000000000002"/>
    <n v="111.5"/>
    <n v="119.6"/>
    <n v="126.2"/>
    <n v="245.8"/>
    <n v="134.5"/>
    <n v="118.3"/>
    <n v="252.8"/>
    <n v="126.1"/>
  </r>
  <r>
    <x v="0"/>
    <x v="3"/>
    <x v="0"/>
    <x v="77"/>
    <n v="133.19999999999999"/>
    <n v="126.5"/>
    <n v="130.30000000000001"/>
    <n v="118.9"/>
    <n v="131.6"/>
    <n v="140.1"/>
    <n v="163.80000000000001"/>
    <n v="97.7"/>
    <n v="129.6"/>
    <n v="124.3"/>
    <n v="135.9"/>
    <n v="131.4"/>
    <n v="1690.1000000000001"/>
    <n v="133.19999999999999"/>
    <n v="128.9"/>
    <n v="132.6"/>
    <n v="394.70000000000005"/>
    <n v="139.25"/>
    <n v="126.2"/>
    <n v="126.6"/>
    <x v="106"/>
    <n v="123.7"/>
    <n v="114.9"/>
    <n v="238.60000000000002"/>
    <n v="113.6"/>
    <n v="121.4"/>
    <n v="126.2"/>
    <n v="247.60000000000002"/>
    <n v="133.6"/>
    <n v="120.1"/>
    <n v="253.7"/>
    <n v="128.1"/>
  </r>
  <r>
    <x v="1"/>
    <x v="3"/>
    <x v="0"/>
    <x v="69"/>
    <n v="135.9"/>
    <n v="132"/>
    <n v="129.19999999999999"/>
    <n v="109.7"/>
    <n v="119"/>
    <n v="144.1"/>
    <n v="184.2"/>
    <n v="96.7"/>
    <n v="139.5"/>
    <n v="120.5"/>
    <n v="134.69999999999999"/>
    <n v="131.19999999999999"/>
    <n v="1701.4"/>
    <n v="125.8"/>
    <n v="119.8"/>
    <n v="124.9"/>
    <n v="370.5"/>
    <n v="123.4"/>
    <n v="116.9"/>
    <n v="121.6"/>
    <x v="107"/>
    <n v="119.1"/>
    <n v="114"/>
    <n v="233.1"/>
    <n v="108.9"/>
    <n v="118.5"/>
    <n v="126.4"/>
    <n v="244.9"/>
    <n v="139.5"/>
    <n v="116.8"/>
    <n v="256.3"/>
    <n v="124.2"/>
  </r>
  <r>
    <x v="2"/>
    <x v="3"/>
    <x v="0"/>
    <x v="73"/>
    <n v="134.1"/>
    <n v="128.6"/>
    <n v="129.9"/>
    <n v="115.5"/>
    <n v="125.7"/>
    <n v="141.5"/>
    <n v="170.7"/>
    <n v="97.4"/>
    <n v="132.9"/>
    <n v="122.7"/>
    <n v="135.30000000000001"/>
    <n v="131.30000000000001"/>
    <n v="1691.7"/>
    <n v="130.30000000000001"/>
    <n v="125.1"/>
    <n v="129.5"/>
    <n v="384.9"/>
    <n v="123.4"/>
    <n v="122.7"/>
    <n v="124.2"/>
    <x v="108"/>
    <n v="122"/>
    <n v="114.5"/>
    <n v="236.5"/>
    <n v="111.1"/>
    <n v="119.8"/>
    <n v="126.3"/>
    <n v="246.1"/>
    <n v="135.19999999999999"/>
    <n v="118.5"/>
    <n v="253.7"/>
    <n v="126.3"/>
  </r>
  <r>
    <x v="0"/>
    <x v="3"/>
    <x v="1"/>
    <x v="78"/>
    <n v="133.69999999999999"/>
    <n v="127.7"/>
    <n v="130.69999999999999"/>
    <n v="118.5"/>
    <n v="130.4"/>
    <n v="130.9"/>
    <n v="162.80000000000001"/>
    <n v="98.7"/>
    <n v="130.6"/>
    <n v="124.8"/>
    <n v="136.4"/>
    <n v="130.30000000000001"/>
    <n v="1682.6"/>
    <n v="133.9"/>
    <n v="129.80000000000001"/>
    <n v="133.4"/>
    <n v="397.1"/>
    <n v="139.25"/>
    <n v="127.5"/>
    <n v="127.1"/>
    <x v="109"/>
    <n v="124.3"/>
    <n v="116.8"/>
    <n v="241.1"/>
    <n v="113.9"/>
    <n v="122.3"/>
    <n v="127.1"/>
    <n v="249.39999999999998"/>
    <n v="134.4"/>
    <n v="120.9"/>
    <n v="255.3"/>
    <n v="127.9"/>
  </r>
  <r>
    <x v="1"/>
    <x v="3"/>
    <x v="1"/>
    <x v="52"/>
    <n v="135.1"/>
    <n v="130.30000000000001"/>
    <n v="129.6"/>
    <n v="108.4"/>
    <n v="118.6"/>
    <n v="129.19999999999999"/>
    <n v="176.4"/>
    <n v="99.1"/>
    <n v="139.69999999999999"/>
    <n v="120.6"/>
    <n v="135.19999999999999"/>
    <n v="129.1"/>
    <n v="1676.1"/>
    <n v="126.2"/>
    <n v="120.1"/>
    <n v="125.3"/>
    <n v="371.6"/>
    <n v="124.4"/>
    <n v="116"/>
    <n v="121.8"/>
    <x v="110"/>
    <n v="119.5"/>
    <n v="116.2"/>
    <n v="235.7"/>
    <n v="109.1"/>
    <n v="118.8"/>
    <n v="126.3"/>
    <n v="245.1"/>
    <n v="140"/>
    <n v="117.2"/>
    <n v="257.2"/>
    <n v="123.8"/>
  </r>
  <r>
    <x v="2"/>
    <x v="3"/>
    <x v="1"/>
    <x v="79"/>
    <n v="134.19999999999999"/>
    <n v="128.69999999999999"/>
    <n v="130.30000000000001"/>
    <n v="114.8"/>
    <n v="124.9"/>
    <n v="130.30000000000001"/>
    <n v="167.4"/>
    <n v="98.8"/>
    <n v="133.6"/>
    <n v="123"/>
    <n v="135.80000000000001"/>
    <n v="129.9"/>
    <n v="1678.1"/>
    <n v="130.9"/>
    <n v="125.8"/>
    <n v="130.19999999999999"/>
    <n v="386.9"/>
    <n v="124.4"/>
    <n v="123.1"/>
    <n v="124.6"/>
    <x v="111"/>
    <n v="122.5"/>
    <n v="116.6"/>
    <n v="239.1"/>
    <n v="111.4"/>
    <n v="120.3"/>
    <n v="126.6"/>
    <n v="246.89999999999998"/>
    <n v="135.9"/>
    <n v="119.1"/>
    <n v="255"/>
    <n v="126"/>
  </r>
  <r>
    <x v="0"/>
    <x v="3"/>
    <x v="2"/>
    <x v="80"/>
    <n v="134.4"/>
    <n v="125.1"/>
    <n v="130.5"/>
    <n v="118.3"/>
    <n v="131.69999999999999"/>
    <n v="130.69999999999999"/>
    <n v="161.19999999999999"/>
    <n v="100.4"/>
    <n v="130.80000000000001"/>
    <n v="124.9"/>
    <n v="137"/>
    <n v="130.4"/>
    <n v="1682.7000000000003"/>
    <n v="134.4"/>
    <n v="130.19999999999999"/>
    <n v="133.80000000000001"/>
    <n v="398.40000000000003"/>
    <n v="139.25"/>
    <n v="127"/>
    <n v="127.7"/>
    <x v="112"/>
    <n v="124.8"/>
    <n v="117.4"/>
    <n v="242.2"/>
    <n v="113.6"/>
    <n v="122.5"/>
    <n v="127.5"/>
    <n v="250"/>
    <n v="135"/>
    <n v="121.1"/>
    <n v="256.10000000000002"/>
    <n v="128"/>
  </r>
  <r>
    <x v="1"/>
    <x v="3"/>
    <x v="2"/>
    <x v="52"/>
    <n v="136.30000000000001"/>
    <n v="123.7"/>
    <n v="129.69999999999999"/>
    <n v="107.9"/>
    <n v="119.9"/>
    <n v="128.1"/>
    <n v="170.3"/>
    <n v="101.8"/>
    <n v="140.1"/>
    <n v="120.7"/>
    <n v="135.4"/>
    <n v="128.9"/>
    <n v="1667.6000000000001"/>
    <n v="126.4"/>
    <n v="120.3"/>
    <n v="125.5"/>
    <n v="372.2"/>
    <n v="124.9"/>
    <n v="114.8"/>
    <n v="122.3"/>
    <x v="113"/>
    <n v="119.7"/>
    <n v="117.1"/>
    <n v="236.8"/>
    <n v="108.5"/>
    <n v="119.1"/>
    <n v="126.4"/>
    <n v="245.5"/>
    <n v="140.6"/>
    <n v="117.3"/>
    <n v="257.89999999999998"/>
    <n v="123.8"/>
  </r>
  <r>
    <x v="2"/>
    <x v="3"/>
    <x v="2"/>
    <x v="81"/>
    <n v="135.1"/>
    <n v="124.6"/>
    <n v="130.19999999999999"/>
    <n v="114.5"/>
    <n v="126.2"/>
    <n v="129.80000000000001"/>
    <n v="164.3"/>
    <n v="100.9"/>
    <n v="133.9"/>
    <n v="123.1"/>
    <n v="136.30000000000001"/>
    <n v="129.80000000000001"/>
    <n v="1675.2"/>
    <n v="131.30000000000001"/>
    <n v="126.1"/>
    <n v="130.5"/>
    <n v="387.9"/>
    <n v="124.9"/>
    <n v="122.4"/>
    <n v="125.1"/>
    <x v="114"/>
    <n v="122.9"/>
    <n v="117.3"/>
    <n v="240.2"/>
    <n v="110.9"/>
    <n v="120.6"/>
    <n v="126.9"/>
    <n v="247.5"/>
    <n v="136.5"/>
    <n v="119.3"/>
    <n v="255.8"/>
    <n v="126"/>
  </r>
  <r>
    <x v="0"/>
    <x v="3"/>
    <x v="3"/>
    <x v="82"/>
    <n v="135.4"/>
    <n v="123.4"/>
    <n v="131.30000000000001"/>
    <n v="118.2"/>
    <n v="138.1"/>
    <n v="134.1"/>
    <n v="162.69999999999999"/>
    <n v="105"/>
    <n v="131.4"/>
    <n v="125.4"/>
    <n v="137.4"/>
    <n v="131.80000000000001"/>
    <n v="1701.6000000000004"/>
    <n v="135"/>
    <n v="130.6"/>
    <n v="134.4"/>
    <n v="400"/>
    <n v="139.25"/>
    <n v="127"/>
    <n v="128"/>
    <x v="115"/>
    <n v="125.2"/>
    <n v="118.4"/>
    <n v="243.60000000000002"/>
    <n v="114.4"/>
    <n v="123.2"/>
    <n v="127.9"/>
    <n v="251.10000000000002"/>
    <n v="135.5"/>
    <n v="121.7"/>
    <n v="257.2"/>
    <n v="129"/>
  </r>
  <r>
    <x v="1"/>
    <x v="3"/>
    <x v="3"/>
    <x v="83"/>
    <n v="139.30000000000001"/>
    <n v="119.9"/>
    <n v="130.19999999999999"/>
    <n v="108.9"/>
    <n v="131.1"/>
    <n v="136.80000000000001"/>
    <n v="176.9"/>
    <n v="109.1"/>
    <n v="140.4"/>
    <n v="121.1"/>
    <n v="135.9"/>
    <n v="131.80000000000001"/>
    <n v="1706.3"/>
    <n v="126.8"/>
    <n v="120.5"/>
    <n v="125.8"/>
    <n v="373.1"/>
    <n v="125.6"/>
    <n v="114.6"/>
    <n v="122.8"/>
    <x v="116"/>
    <n v="120"/>
    <n v="117.6"/>
    <n v="237.6"/>
    <n v="110"/>
    <n v="119.5"/>
    <n v="127.6"/>
    <n v="247.1"/>
    <n v="141.5"/>
    <n v="118.2"/>
    <n v="259.7"/>
    <n v="125.3"/>
  </r>
  <r>
    <x v="2"/>
    <x v="3"/>
    <x v="3"/>
    <x v="84"/>
    <n v="136.80000000000001"/>
    <n v="122"/>
    <n v="130.9"/>
    <n v="114.8"/>
    <n v="134.80000000000001"/>
    <n v="135"/>
    <n v="167.5"/>
    <n v="106.4"/>
    <n v="134.4"/>
    <n v="123.6"/>
    <n v="136.69999999999999"/>
    <n v="131.80000000000001"/>
    <n v="1701.3"/>
    <n v="131.80000000000001"/>
    <n v="126.4"/>
    <n v="131"/>
    <n v="389.20000000000005"/>
    <n v="125.6"/>
    <n v="122.3"/>
    <n v="125.5"/>
    <x v="117"/>
    <n v="123.2"/>
    <n v="118.1"/>
    <n v="241.3"/>
    <n v="112.1"/>
    <n v="121.1"/>
    <n v="127.7"/>
    <n v="248.8"/>
    <n v="137.1"/>
    <n v="120"/>
    <n v="257.10000000000002"/>
    <n v="127.3"/>
  </r>
  <r>
    <x v="0"/>
    <x v="3"/>
    <x v="4"/>
    <x v="85"/>
    <n v="137.5"/>
    <n v="124.4"/>
    <n v="132.4"/>
    <n v="118.2"/>
    <n v="138.1"/>
    <n v="141.80000000000001"/>
    <n v="166"/>
    <n v="107.5"/>
    <n v="132.19999999999999"/>
    <n v="126.1"/>
    <n v="138.30000000000001"/>
    <n v="133.6"/>
    <n v="1723.6999999999998"/>
    <n v="135.4"/>
    <n v="131.1"/>
    <n v="134.80000000000001"/>
    <n v="401.3"/>
    <n v="139.25"/>
    <n v="127.4"/>
    <n v="128.5"/>
    <x v="118"/>
    <n v="125.8"/>
    <n v="119.7"/>
    <n v="245.5"/>
    <n v="115.1"/>
    <n v="123.6"/>
    <n v="129.1"/>
    <n v="252.7"/>
    <n v="136"/>
    <n v="122.5"/>
    <n v="258.5"/>
    <n v="130.30000000000001"/>
  </r>
  <r>
    <x v="1"/>
    <x v="3"/>
    <x v="4"/>
    <x v="72"/>
    <n v="142.1"/>
    <n v="127"/>
    <n v="130.4"/>
    <n v="109.6"/>
    <n v="133.5"/>
    <n v="151.4"/>
    <n v="182.8"/>
    <n v="111.1"/>
    <n v="141.5"/>
    <n v="121.5"/>
    <n v="136.30000000000001"/>
    <n v="134.6"/>
    <n v="1746.7999999999997"/>
    <n v="127.2"/>
    <n v="120.7"/>
    <n v="126.2"/>
    <n v="374.1"/>
    <n v="126"/>
    <n v="115"/>
    <n v="123.2"/>
    <x v="119"/>
    <n v="120.3"/>
    <n v="118.5"/>
    <n v="238.8"/>
    <n v="110.7"/>
    <n v="119.8"/>
    <n v="128"/>
    <n v="247.8"/>
    <n v="142.19999999999999"/>
    <n v="118.7"/>
    <n v="260.89999999999998"/>
    <n v="126.6"/>
  </r>
  <r>
    <x v="2"/>
    <x v="3"/>
    <x v="4"/>
    <x v="77"/>
    <n v="139.1"/>
    <n v="125.4"/>
    <n v="131.69999999999999"/>
    <n v="115"/>
    <n v="136"/>
    <n v="145.1"/>
    <n v="171.7"/>
    <n v="108.7"/>
    <n v="135.30000000000001"/>
    <n v="124.2"/>
    <n v="137.4"/>
    <n v="134"/>
    <n v="1730.4"/>
    <n v="132.19999999999999"/>
    <n v="126.8"/>
    <n v="131.4"/>
    <n v="390.4"/>
    <n v="126"/>
    <n v="122.7"/>
    <n v="126"/>
    <x v="120"/>
    <n v="123.7"/>
    <n v="119.2"/>
    <n v="242.9"/>
    <n v="112.8"/>
    <n v="121.5"/>
    <n v="128.5"/>
    <n v="250"/>
    <n v="137.69999999999999"/>
    <n v="120.7"/>
    <n v="258.39999999999998"/>
    <n v="128.6"/>
  </r>
  <r>
    <x v="0"/>
    <x v="3"/>
    <x v="5"/>
    <x v="86"/>
    <n v="138.6"/>
    <n v="126.6"/>
    <n v="133.6"/>
    <n v="118.6"/>
    <n v="137.4"/>
    <n v="152.5"/>
    <n v="169.2"/>
    <n v="108.8"/>
    <n v="133.1"/>
    <n v="126.4"/>
    <n v="139.19999999999999"/>
    <n v="136"/>
    <n v="1748.6"/>
    <n v="136.30000000000001"/>
    <n v="131.6"/>
    <n v="135.6"/>
    <n v="403.5"/>
    <n v="139.25"/>
    <n v="128"/>
    <n v="129.30000000000001"/>
    <x v="121"/>
    <n v="126.2"/>
    <n v="119.9"/>
    <n v="246.10000000000002"/>
    <n v="116.3"/>
    <n v="124.1"/>
    <n v="130.19999999999999"/>
    <n v="254.29999999999998"/>
    <n v="137.19999999999999"/>
    <n v="123.3"/>
    <n v="260.5"/>
    <n v="131.9"/>
  </r>
  <r>
    <x v="1"/>
    <x v="3"/>
    <x v="5"/>
    <x v="87"/>
    <n v="143.9"/>
    <n v="130.9"/>
    <n v="131"/>
    <n v="110.2"/>
    <n v="135.5"/>
    <n v="173.7"/>
    <n v="184.4"/>
    <n v="112"/>
    <n v="142.80000000000001"/>
    <n v="121.6"/>
    <n v="136.9"/>
    <n v="138.19999999999999"/>
    <n v="1787.0000000000002"/>
    <n v="127.6"/>
    <n v="121.1"/>
    <n v="126.6"/>
    <n v="375.29999999999995"/>
    <n v="125.5"/>
    <n v="115.5"/>
    <n v="123.2"/>
    <x v="119"/>
    <n v="120.6"/>
    <n v="118.8"/>
    <n v="239.39999999999998"/>
    <n v="112.3"/>
    <n v="119.9"/>
    <n v="129.30000000000001"/>
    <n v="249.20000000000002"/>
    <n v="142.69999999999999"/>
    <n v="119.6"/>
    <n v="262.29999999999995"/>
    <n v="128.1"/>
  </r>
  <r>
    <x v="2"/>
    <x v="3"/>
    <x v="5"/>
    <x v="88"/>
    <n v="140.5"/>
    <n v="128.30000000000001"/>
    <n v="132.6"/>
    <n v="115.5"/>
    <n v="136.5"/>
    <n v="159.69999999999999"/>
    <n v="174.3"/>
    <n v="109.9"/>
    <n v="136.30000000000001"/>
    <n v="124.4"/>
    <n v="138.1"/>
    <n v="136.80000000000001"/>
    <n v="1760.6"/>
    <n v="132.9"/>
    <n v="127.2"/>
    <n v="132"/>
    <n v="392.1"/>
    <n v="125.5"/>
    <n v="123.3"/>
    <n v="126.4"/>
    <x v="122"/>
    <n v="124.1"/>
    <n v="119.4"/>
    <n v="243.5"/>
    <n v="114.2"/>
    <n v="121.7"/>
    <n v="129.69999999999999"/>
    <n v="251.39999999999998"/>
    <n v="138.69999999999999"/>
    <n v="121.5"/>
    <n v="260.2"/>
    <n v="130.1"/>
  </r>
  <r>
    <x v="0"/>
    <x v="3"/>
    <x v="6"/>
    <x v="89"/>
    <n v="139.5"/>
    <n v="129.6"/>
    <n v="134.5"/>
    <n v="119.5"/>
    <n v="138.5"/>
    <n v="158.19999999999999"/>
    <n v="171.8"/>
    <n v="110.3"/>
    <n v="134.30000000000001"/>
    <n v="127.3"/>
    <n v="139.9"/>
    <n v="137.6"/>
    <n v="1770.2999999999997"/>
    <n v="137.19999999999999"/>
    <n v="132.19999999999999"/>
    <n v="136.5"/>
    <n v="405.9"/>
    <n v="139.25"/>
    <n v="128.19999999999999"/>
    <n v="130"/>
    <x v="123"/>
    <n v="126.7"/>
    <n v="120.9"/>
    <n v="247.60000000000002"/>
    <n v="116.4"/>
    <n v="125.2"/>
    <n v="130.80000000000001"/>
    <n v="256"/>
    <n v="138"/>
    <n v="123.8"/>
    <n v="261.8"/>
    <n v="133"/>
  </r>
  <r>
    <x v="1"/>
    <x v="3"/>
    <x v="6"/>
    <x v="77"/>
    <n v="144.19999999999999"/>
    <n v="136.6"/>
    <n v="131.80000000000001"/>
    <n v="111"/>
    <n v="137"/>
    <n v="179.5"/>
    <n v="188.4"/>
    <n v="113.3"/>
    <n v="143.9"/>
    <n v="121.7"/>
    <n v="137.5"/>
    <n v="139.80000000000001"/>
    <n v="1811.5000000000002"/>
    <n v="127.9"/>
    <n v="121.1"/>
    <n v="126.9"/>
    <n v="375.9"/>
    <n v="126.4"/>
    <n v="115.5"/>
    <n v="123.5"/>
    <x v="124"/>
    <n v="120.9"/>
    <n v="120"/>
    <n v="240.9"/>
    <n v="111.7"/>
    <n v="120.3"/>
    <n v="130.80000000000001"/>
    <n v="251.10000000000002"/>
    <n v="142.9"/>
    <n v="119.9"/>
    <n v="262.8"/>
    <n v="129"/>
  </r>
  <r>
    <x v="2"/>
    <x v="3"/>
    <x v="6"/>
    <x v="90"/>
    <n v="141.19999999999999"/>
    <n v="132.30000000000001"/>
    <n v="133.5"/>
    <n v="116.4"/>
    <n v="137.80000000000001"/>
    <n v="165.4"/>
    <n v="177.4"/>
    <n v="111.3"/>
    <n v="137.5"/>
    <n v="125"/>
    <n v="138.80000000000001"/>
    <n v="138.4"/>
    <n v="1783.5"/>
    <n v="133.5"/>
    <n v="127.6"/>
    <n v="132.69999999999999"/>
    <n v="393.8"/>
    <n v="126.4"/>
    <n v="123.4"/>
    <n v="126.9"/>
    <x v="125"/>
    <n v="124.5"/>
    <n v="120.5"/>
    <n v="245"/>
    <n v="113.9"/>
    <n v="122.4"/>
    <n v="130.80000000000001"/>
    <n v="253.20000000000002"/>
    <n v="139.30000000000001"/>
    <n v="121.9"/>
    <n v="261.20000000000005"/>
    <n v="131.1"/>
  </r>
  <r>
    <x v="0"/>
    <x v="3"/>
    <x v="7"/>
    <x v="91"/>
    <n v="138.80000000000001"/>
    <n v="130.30000000000001"/>
    <n v="135.30000000000001"/>
    <n v="119.9"/>
    <n v="140.19999999999999"/>
    <n v="156.9"/>
    <n v="172.2"/>
    <n v="112.1"/>
    <n v="134.9"/>
    <n v="128.1"/>
    <n v="140.69999999999999"/>
    <n v="138"/>
    <n v="1777.4999999999998"/>
    <n v="137.80000000000001"/>
    <n v="133"/>
    <n v="137.1"/>
    <n v="407.9"/>
    <n v="139.25"/>
    <n v="129.1"/>
    <n v="130.6"/>
    <x v="126"/>
    <n v="127"/>
    <n v="122"/>
    <n v="249"/>
    <n v="116"/>
    <n v="125.5"/>
    <n v="131.9"/>
    <n v="257.39999999999998"/>
    <n v="138.9"/>
    <n v="124.2"/>
    <n v="263.10000000000002"/>
    <n v="133.5"/>
  </r>
  <r>
    <x v="1"/>
    <x v="3"/>
    <x v="7"/>
    <x v="85"/>
    <n v="140.30000000000001"/>
    <n v="133.69999999999999"/>
    <n v="132.19999999999999"/>
    <n v="111.8"/>
    <n v="135.80000000000001"/>
    <n v="163.5"/>
    <n v="182.3"/>
    <n v="114.6"/>
    <n v="144.6"/>
    <n v="121.9"/>
    <n v="138.1"/>
    <n v="137.6"/>
    <n v="1783.9999999999995"/>
    <n v="128.30000000000001"/>
    <n v="121.4"/>
    <n v="127.3"/>
    <n v="377"/>
    <n v="127.3"/>
    <n v="114.7"/>
    <n v="123.9"/>
    <x v="127"/>
    <n v="121.2"/>
    <n v="120.9"/>
    <n v="242.10000000000002"/>
    <n v="110.4"/>
    <n v="120.6"/>
    <n v="131.5"/>
    <n v="252.1"/>
    <n v="143.6"/>
    <n v="119.9"/>
    <n v="263.5"/>
    <n v="128.4"/>
  </r>
  <r>
    <x v="2"/>
    <x v="3"/>
    <x v="7"/>
    <x v="89"/>
    <n v="139.30000000000001"/>
    <n v="131.6"/>
    <n v="134.1"/>
    <n v="116.9"/>
    <n v="138.1"/>
    <n v="159.1"/>
    <n v="175.6"/>
    <n v="112.9"/>
    <n v="138.1"/>
    <n v="125.5"/>
    <n v="139.5"/>
    <n v="137.9"/>
    <n v="1777.9"/>
    <n v="134.1"/>
    <n v="128.19999999999999"/>
    <n v="133.19999999999999"/>
    <n v="395.49999999999994"/>
    <n v="127.3"/>
    <n v="123.6"/>
    <n v="127.4"/>
    <x v="128"/>
    <n v="124.8"/>
    <n v="121.5"/>
    <n v="246.3"/>
    <n v="113.1"/>
    <n v="122.7"/>
    <n v="131.69999999999999"/>
    <n v="254.39999999999998"/>
    <n v="140.19999999999999"/>
    <n v="122.1"/>
    <n v="262.29999999999995"/>
    <n v="131.1"/>
  </r>
  <r>
    <x v="0"/>
    <x v="3"/>
    <x v="8"/>
    <x v="92"/>
    <n v="138.19999999999999"/>
    <n v="130.5"/>
    <n v="135.5"/>
    <n v="120.2"/>
    <n v="139.19999999999999"/>
    <n v="149.5"/>
    <n v="170.4"/>
    <n v="113.1"/>
    <n v="135.80000000000001"/>
    <n v="128.80000000000001"/>
    <n v="141.5"/>
    <n v="137.19999999999999"/>
    <n v="1770.7"/>
    <n v="138.5"/>
    <n v="133.5"/>
    <n v="137.80000000000001"/>
    <n v="409.8"/>
    <n v="139.25"/>
    <n v="129.69999999999999"/>
    <n v="131.1"/>
    <x v="129"/>
    <n v="127.8"/>
    <n v="122.8"/>
    <n v="250.6"/>
    <n v="117"/>
    <n v="125.7"/>
    <n v="132.19999999999999"/>
    <n v="257.89999999999998"/>
    <n v="139.9"/>
    <n v="124.9"/>
    <n v="264.8"/>
    <n v="133.4"/>
  </r>
  <r>
    <x v="1"/>
    <x v="3"/>
    <x v="8"/>
    <x v="93"/>
    <n v="137.69999999999999"/>
    <n v="130.6"/>
    <n v="132.6"/>
    <n v="111.9"/>
    <n v="132.5"/>
    <n v="152.9"/>
    <n v="173.6"/>
    <n v="115.1"/>
    <n v="144.80000000000001"/>
    <n v="122.1"/>
    <n v="138.80000000000001"/>
    <n v="135.69999999999999"/>
    <n v="1756.3999999999996"/>
    <n v="128.69999999999999"/>
    <n v="121.6"/>
    <n v="127.7"/>
    <n v="378"/>
    <n v="127.9"/>
    <n v="114.8"/>
    <n v="124.3"/>
    <x v="130"/>
    <n v="121.4"/>
    <n v="121.2"/>
    <n v="242.60000000000002"/>
    <n v="111.8"/>
    <n v="120.8"/>
    <n v="131.6"/>
    <n v="252.39999999999998"/>
    <n v="143.9"/>
    <n v="120.5"/>
    <n v="264.39999999999998"/>
    <n v="128"/>
  </r>
  <r>
    <x v="2"/>
    <x v="3"/>
    <x v="8"/>
    <x v="94"/>
    <n v="138"/>
    <n v="130.5"/>
    <n v="134.4"/>
    <n v="117.2"/>
    <n v="136.1"/>
    <n v="150.69999999999999"/>
    <n v="171.5"/>
    <n v="113.8"/>
    <n v="138.80000000000001"/>
    <n v="126"/>
    <n v="140.19999999999999"/>
    <n v="136.6"/>
    <n v="1763.6999999999998"/>
    <n v="134.6"/>
    <n v="128.6"/>
    <n v="133.80000000000001"/>
    <n v="397"/>
    <n v="127.9"/>
    <n v="124.1"/>
    <n v="127.9"/>
    <x v="131"/>
    <n v="125.4"/>
    <n v="122.1"/>
    <n v="247.5"/>
    <n v="114.3"/>
    <n v="122.9"/>
    <n v="131.80000000000001"/>
    <n v="254.70000000000002"/>
    <n v="141"/>
    <n v="122.8"/>
    <n v="263.8"/>
    <n v="130.9"/>
  </r>
  <r>
    <x v="0"/>
    <x v="3"/>
    <x v="9"/>
    <x v="95"/>
    <n v="137.6"/>
    <n v="130.1"/>
    <n v="136"/>
    <n v="120.8"/>
    <n v="138.4"/>
    <n v="149.19999999999999"/>
    <n v="170.2"/>
    <n v="113.4"/>
    <n v="136.30000000000001"/>
    <n v="128.69999999999999"/>
    <n v="142.4"/>
    <n v="137.4"/>
    <n v="1771.8000000000002"/>
    <n v="139.6"/>
    <n v="134.30000000000001"/>
    <n v="138.80000000000001"/>
    <n v="412.7"/>
    <n v="139.25"/>
    <n v="129.80000000000001"/>
    <n v="131.80000000000001"/>
    <x v="132"/>
    <n v="128.69999999999999"/>
    <n v="123"/>
    <n v="251.7"/>
    <n v="117.8"/>
    <n v="126.5"/>
    <n v="133"/>
    <n v="259.5"/>
    <n v="140.9"/>
    <n v="125.7"/>
    <n v="266.60000000000002"/>
    <n v="133.80000000000001"/>
  </r>
  <r>
    <x v="1"/>
    <x v="3"/>
    <x v="9"/>
    <x v="96"/>
    <n v="138.4"/>
    <n v="130.30000000000001"/>
    <n v="132.69999999999999"/>
    <n v="112.5"/>
    <n v="130.4"/>
    <n v="155.1"/>
    <n v="175.7"/>
    <n v="115.4"/>
    <n v="145.30000000000001"/>
    <n v="122.5"/>
    <n v="139.6"/>
    <n v="136.30000000000001"/>
    <n v="1762.8999999999999"/>
    <n v="129.1"/>
    <n v="121.9"/>
    <n v="128"/>
    <n v="379"/>
    <n v="128.69999999999999"/>
    <n v="115.2"/>
    <n v="124.5"/>
    <x v="133"/>
    <n v="121.8"/>
    <n v="120.8"/>
    <n v="242.6"/>
    <n v="112.8"/>
    <n v="121.2"/>
    <n v="131.9"/>
    <n v="253.10000000000002"/>
    <n v="144.30000000000001"/>
    <n v="120.9"/>
    <n v="265.20000000000005"/>
    <n v="128.6"/>
  </r>
  <r>
    <x v="2"/>
    <x v="3"/>
    <x v="9"/>
    <x v="97"/>
    <n v="137.9"/>
    <n v="130.19999999999999"/>
    <n v="134.80000000000001"/>
    <n v="117.8"/>
    <n v="134.69999999999999"/>
    <n v="151.19999999999999"/>
    <n v="172.1"/>
    <n v="114.1"/>
    <n v="139.30000000000001"/>
    <n v="126.1"/>
    <n v="141.1"/>
    <n v="137"/>
    <n v="1766.7999999999995"/>
    <n v="135.5"/>
    <n v="129.1"/>
    <n v="134.5"/>
    <n v="399.1"/>
    <n v="128.69999999999999"/>
    <n v="124.3"/>
    <n v="128.4"/>
    <x v="134"/>
    <n v="126.1"/>
    <n v="122.1"/>
    <n v="248.2"/>
    <n v="115.2"/>
    <n v="123.5"/>
    <n v="132.4"/>
    <n v="255.9"/>
    <n v="141.80000000000001"/>
    <n v="123.4"/>
    <n v="265.20000000000005"/>
    <n v="131.4"/>
  </r>
  <r>
    <x v="0"/>
    <x v="3"/>
    <x v="11"/>
    <x v="98"/>
    <n v="137.4"/>
    <n v="130.6"/>
    <n v="136.19999999999999"/>
    <n v="121.1"/>
    <n v="136.9"/>
    <n v="141.80000000000001"/>
    <n v="170"/>
    <n v="113.4"/>
    <n v="136.80000000000001"/>
    <n v="128.69999999999999"/>
    <n v="143.1"/>
    <n v="136.6"/>
    <n v="1764.6"/>
    <n v="139.9"/>
    <n v="134.5"/>
    <n v="139.19999999999999"/>
    <n v="413.59999999999997"/>
    <n v="139.25"/>
    <n v="130.30000000000001"/>
    <n v="132.1"/>
    <x v="135"/>
    <n v="129.1"/>
    <n v="123.5"/>
    <n v="252.6"/>
    <n v="118.2"/>
    <n v="126.9"/>
    <n v="133.69999999999999"/>
    <n v="260.60000000000002"/>
    <n v="141.19999999999999"/>
    <n v="126.1"/>
    <n v="267.29999999999995"/>
    <n v="133.6"/>
  </r>
  <r>
    <x v="1"/>
    <x v="3"/>
    <x v="11"/>
    <x v="99"/>
    <n v="138.5"/>
    <n v="134.1"/>
    <n v="132.9"/>
    <n v="112.6"/>
    <n v="130.80000000000001"/>
    <n v="142"/>
    <n v="174.9"/>
    <n v="115.6"/>
    <n v="145.4"/>
    <n v="122.7"/>
    <n v="140.30000000000001"/>
    <n v="135.19999999999999"/>
    <n v="1755.2"/>
    <n v="129.6"/>
    <n v="122.1"/>
    <n v="128.5"/>
    <n v="380.2"/>
    <n v="129.1"/>
    <n v="116.2"/>
    <n v="124.7"/>
    <x v="136"/>
    <n v="122.1"/>
    <n v="121.3"/>
    <n v="243.39999999999998"/>
    <n v="113.4"/>
    <n v="121.7"/>
    <n v="132.1"/>
    <n v="253.8"/>
    <n v="144.30000000000001"/>
    <n v="121.3"/>
    <n v="265.60000000000002"/>
    <n v="128.5"/>
  </r>
  <r>
    <x v="2"/>
    <x v="3"/>
    <x v="11"/>
    <x v="100"/>
    <n v="137.80000000000001"/>
    <n v="132"/>
    <n v="135"/>
    <n v="118"/>
    <n v="134.1"/>
    <n v="141.9"/>
    <n v="171.7"/>
    <n v="114.1"/>
    <n v="139.69999999999999"/>
    <n v="126.2"/>
    <n v="141.80000000000001"/>
    <n v="136.1"/>
    <n v="1759.8"/>
    <n v="135.80000000000001"/>
    <n v="129.30000000000001"/>
    <n v="135"/>
    <n v="400.1"/>
    <n v="129.1"/>
    <n v="125"/>
    <n v="128.6"/>
    <x v="137"/>
    <n v="126.4"/>
    <n v="122.6"/>
    <n v="249"/>
    <n v="115.7"/>
    <n v="124"/>
    <n v="132.80000000000001"/>
    <n v="256.8"/>
    <n v="142"/>
    <n v="123.8"/>
    <n v="265.8"/>
    <n v="131.19999999999999"/>
  </r>
  <r>
    <x v="0"/>
    <x v="3"/>
    <x v="12"/>
    <x v="101"/>
    <n v="137.30000000000001"/>
    <n v="131.6"/>
    <n v="136.30000000000001"/>
    <n v="121.6"/>
    <n v="135.6"/>
    <n v="127.5"/>
    <n v="167.9"/>
    <n v="113.8"/>
    <n v="137.5"/>
    <n v="129.1"/>
    <n v="143.6"/>
    <n v="134.69999999999999"/>
    <n v="1749.1"/>
    <n v="140.4"/>
    <n v="135.19999999999999"/>
    <n v="139.69999999999999"/>
    <n v="415.3"/>
    <n v="139.25"/>
    <n v="132"/>
    <n v="132.9"/>
    <x v="138"/>
    <n v="129.69999999999999"/>
    <n v="121.9"/>
    <n v="251.6"/>
    <n v="118.6"/>
    <n v="127.3"/>
    <n v="134.19999999999999"/>
    <n v="261.5"/>
    <n v="142.4"/>
    <n v="126.3"/>
    <n v="268.7"/>
    <n v="132.80000000000001"/>
  </r>
  <r>
    <x v="1"/>
    <x v="3"/>
    <x v="12"/>
    <x v="102"/>
    <n v="138.19999999999999"/>
    <n v="134.9"/>
    <n v="133.1"/>
    <n v="113.5"/>
    <n v="129.30000000000001"/>
    <n v="121.1"/>
    <n v="170.3"/>
    <n v="115.5"/>
    <n v="145.5"/>
    <n v="123.1"/>
    <n v="140.9"/>
    <n v="132.80000000000001"/>
    <n v="1729.8"/>
    <n v="130"/>
    <n v="122.2"/>
    <n v="128.80000000000001"/>
    <n v="381"/>
    <n v="128.5"/>
    <n v="117.8"/>
    <n v="125"/>
    <x v="139"/>
    <n v="122.3"/>
    <n v="119.9"/>
    <n v="242.2"/>
    <n v="113.7"/>
    <n v="121.8"/>
    <n v="132.30000000000001"/>
    <n v="254.10000000000002"/>
    <n v="145"/>
    <n v="121.4"/>
    <n v="266.39999999999998"/>
    <n v="127.6"/>
  </r>
  <r>
    <x v="2"/>
    <x v="3"/>
    <x v="12"/>
    <x v="103"/>
    <n v="137.6"/>
    <n v="132.9"/>
    <n v="135.1"/>
    <n v="118.6"/>
    <n v="132.69999999999999"/>
    <n v="125.3"/>
    <n v="168.7"/>
    <n v="114.4"/>
    <n v="140.19999999999999"/>
    <n v="126.6"/>
    <n v="142.30000000000001"/>
    <n v="134"/>
    <n v="1740.7"/>
    <n v="136.30000000000001"/>
    <n v="129.80000000000001"/>
    <n v="135.4"/>
    <n v="401.5"/>
    <n v="128.5"/>
    <n v="126.6"/>
    <n v="129.19999999999999"/>
    <x v="140"/>
    <n v="126.9"/>
    <n v="121.1"/>
    <n v="248"/>
    <n v="116"/>
    <n v="124.2"/>
    <n v="133.1"/>
    <n v="257.3"/>
    <n v="143.1"/>
    <n v="123.9"/>
    <n v="267"/>
    <n v="130.4"/>
  </r>
  <r>
    <x v="0"/>
    <x v="4"/>
    <x v="0"/>
    <x v="104"/>
    <n v="137.80000000000001"/>
    <n v="131.9"/>
    <n v="136.69999999999999"/>
    <n v="122"/>
    <n v="136"/>
    <n v="119.8"/>
    <n v="161.69999999999999"/>
    <n v="114.8"/>
    <n v="136.9"/>
    <n v="129"/>
    <n v="143.9"/>
    <n v="133.69999999999999"/>
    <n v="1737.3000000000002"/>
    <n v="140.69999999999999"/>
    <n v="135.80000000000001"/>
    <n v="140"/>
    <n v="416.5"/>
    <n v="139.25"/>
    <n v="132.1"/>
    <n v="133.19999999999999"/>
    <x v="141"/>
    <n v="129.9"/>
    <n v="122.3"/>
    <n v="252.2"/>
    <n v="119.1"/>
    <n v="127"/>
    <n v="134.6"/>
    <n v="261.60000000000002"/>
    <n v="143.1"/>
    <n v="126.6"/>
    <n v="269.7"/>
    <n v="132.4"/>
  </r>
  <r>
    <x v="1"/>
    <x v="4"/>
    <x v="0"/>
    <x v="105"/>
    <n v="138.9"/>
    <n v="132.6"/>
    <n v="133.1"/>
    <n v="114"/>
    <n v="129.6"/>
    <n v="118.7"/>
    <n v="155.1"/>
    <n v="117.3"/>
    <n v="144.9"/>
    <n v="123.2"/>
    <n v="141.6"/>
    <n v="132"/>
    <n v="1713.2"/>
    <n v="130.19999999999999"/>
    <n v="122.3"/>
    <n v="129"/>
    <n v="381.5"/>
    <n v="129.6"/>
    <n v="118"/>
    <n v="125.1"/>
    <x v="142"/>
    <n v="122.6"/>
    <n v="120.9"/>
    <n v="243.5"/>
    <n v="115.2"/>
    <n v="122"/>
    <n v="132.4"/>
    <n v="254.4"/>
    <n v="145.6"/>
    <n v="122.1"/>
    <n v="267.7"/>
    <n v="127.8"/>
  </r>
  <r>
    <x v="2"/>
    <x v="4"/>
    <x v="0"/>
    <x v="106"/>
    <n v="138.19999999999999"/>
    <n v="132.19999999999999"/>
    <n v="135.4"/>
    <n v="119.1"/>
    <n v="133"/>
    <n v="119.4"/>
    <n v="159.5"/>
    <n v="115.6"/>
    <n v="139.6"/>
    <n v="126.6"/>
    <n v="142.80000000000001"/>
    <n v="133.1"/>
    <n v="1727.2999999999995"/>
    <n v="136.6"/>
    <n v="130.19999999999999"/>
    <n v="135.6"/>
    <n v="402.4"/>
    <n v="129.6"/>
    <n v="126.8"/>
    <n v="129.4"/>
    <x v="143"/>
    <n v="127.1"/>
    <n v="121.7"/>
    <n v="248.8"/>
    <n v="117"/>
    <n v="124.2"/>
    <n v="133.30000000000001"/>
    <n v="257.5"/>
    <n v="143.80000000000001"/>
    <n v="124.4"/>
    <n v="268.20000000000005"/>
    <n v="130.30000000000001"/>
  </r>
  <r>
    <x v="0"/>
    <x v="4"/>
    <x v="1"/>
    <x v="107"/>
    <n v="138.30000000000001"/>
    <n v="129.30000000000001"/>
    <n v="137.19999999999999"/>
    <n v="122.1"/>
    <n v="138.69999999999999"/>
    <n v="119.1"/>
    <n v="156.9"/>
    <n v="116.2"/>
    <n v="136"/>
    <n v="129.4"/>
    <n v="144.4"/>
    <n v="133.6"/>
    <n v="1734.5000000000002"/>
    <n v="140.9"/>
    <n v="135.80000000000001"/>
    <n v="140.19999999999999"/>
    <n v="416.90000000000003"/>
    <n v="139.25"/>
    <n v="133.19999999999999"/>
    <n v="133.6"/>
    <x v="144"/>
    <n v="130.1"/>
    <n v="123.2"/>
    <n v="253.3"/>
    <n v="119.5"/>
    <n v="127.7"/>
    <n v="134.9"/>
    <n v="262.60000000000002"/>
    <n v="143.69999999999999"/>
    <n v="127"/>
    <n v="270.7"/>
    <n v="132.6"/>
  </r>
  <r>
    <x v="1"/>
    <x v="4"/>
    <x v="1"/>
    <x v="106"/>
    <n v="139.80000000000001"/>
    <n v="129.30000000000001"/>
    <n v="133.5"/>
    <n v="114.3"/>
    <n v="131.4"/>
    <n v="120.2"/>
    <n v="143.1"/>
    <n v="119.5"/>
    <n v="144"/>
    <n v="123.4"/>
    <n v="141.9"/>
    <n v="132.1"/>
    <n v="1705.3000000000002"/>
    <n v="130.5"/>
    <n v="122.5"/>
    <n v="129.30000000000001"/>
    <n v="382.3"/>
    <n v="130.5"/>
    <n v="119.2"/>
    <n v="125.3"/>
    <x v="145"/>
    <n v="122.9"/>
    <n v="121.7"/>
    <n v="244.60000000000002"/>
    <n v="115.5"/>
    <n v="122.2"/>
    <n v="132.4"/>
    <n v="254.60000000000002"/>
    <n v="146.30000000000001"/>
    <n v="122.4"/>
    <n v="268.70000000000005"/>
    <n v="128.19999999999999"/>
  </r>
  <r>
    <x v="2"/>
    <x v="4"/>
    <x v="1"/>
    <x v="104"/>
    <n v="138.80000000000001"/>
    <n v="129.30000000000001"/>
    <n v="135.80000000000001"/>
    <n v="119.2"/>
    <n v="135.30000000000001"/>
    <n v="119.5"/>
    <n v="152.19999999999999"/>
    <n v="117.3"/>
    <n v="138.69999999999999"/>
    <n v="126.9"/>
    <n v="143.19999999999999"/>
    <n v="133"/>
    <n v="1722.3000000000002"/>
    <n v="136.80000000000001"/>
    <n v="130.30000000000001"/>
    <n v="135.9"/>
    <n v="403"/>
    <n v="130.5"/>
    <n v="127.9"/>
    <n v="129.69999999999999"/>
    <x v="146"/>
    <n v="127.4"/>
    <n v="122.6"/>
    <n v="250"/>
    <n v="117.4"/>
    <n v="124.6"/>
    <n v="133.4"/>
    <n v="258"/>
    <n v="144.4"/>
    <n v="124.8"/>
    <n v="269.2"/>
    <n v="130.6"/>
  </r>
  <r>
    <x v="0"/>
    <x v="4"/>
    <x v="2"/>
    <x v="108"/>
    <n v="138.80000000000001"/>
    <n v="128.80000000000001"/>
    <n v="137.19999999999999"/>
    <n v="121.6"/>
    <n v="139.69999999999999"/>
    <n v="119.7"/>
    <n v="148"/>
    <n v="116.9"/>
    <n v="135.6"/>
    <n v="129.80000000000001"/>
    <n v="145.4"/>
    <n v="133.4"/>
    <n v="1728.5000000000002"/>
    <n v="141.6"/>
    <n v="136.19999999999999"/>
    <n v="140.80000000000001"/>
    <n v="418.59999999999997"/>
    <n v="139.25"/>
    <n v="134.19999999999999"/>
    <n v="134.1"/>
    <x v="147"/>
    <n v="130.6"/>
    <n v="123.3"/>
    <n v="253.89999999999998"/>
    <n v="119.8"/>
    <n v="128.30000000000001"/>
    <n v="135.19999999999999"/>
    <n v="263.5"/>
    <n v="144.19999999999999"/>
    <n v="127.4"/>
    <n v="271.60000000000002"/>
    <n v="132.80000000000001"/>
  </r>
  <r>
    <x v="1"/>
    <x v="4"/>
    <x v="2"/>
    <x v="109"/>
    <n v="139.4"/>
    <n v="128.4"/>
    <n v="134.9"/>
    <n v="114"/>
    <n v="136.80000000000001"/>
    <n v="122.2"/>
    <n v="135.80000000000001"/>
    <n v="120.3"/>
    <n v="142.6"/>
    <n v="123.6"/>
    <n v="142.4"/>
    <n v="132.6"/>
    <n v="1705.6999999999998"/>
    <n v="130.80000000000001"/>
    <n v="122.8"/>
    <n v="129.6"/>
    <n v="383.20000000000005"/>
    <n v="131.1"/>
    <n v="120.8"/>
    <n v="125.6"/>
    <x v="148"/>
    <n v="123.1"/>
    <n v="121.7"/>
    <n v="244.8"/>
    <n v="115.6"/>
    <n v="122.4"/>
    <n v="132.80000000000001"/>
    <n v="255.20000000000002"/>
    <n v="147.5"/>
    <n v="122.6"/>
    <n v="270.10000000000002"/>
    <n v="128.69999999999999"/>
  </r>
  <r>
    <x v="2"/>
    <x v="4"/>
    <x v="2"/>
    <x v="107"/>
    <n v="139"/>
    <n v="128.6"/>
    <n v="136.30000000000001"/>
    <n v="118.8"/>
    <n v="138.30000000000001"/>
    <n v="120.5"/>
    <n v="143.9"/>
    <n v="118"/>
    <n v="137.9"/>
    <n v="127.2"/>
    <n v="144"/>
    <n v="133.1"/>
    <n v="1718.9"/>
    <n v="137.30000000000001"/>
    <n v="130.6"/>
    <n v="136.4"/>
    <n v="404.29999999999995"/>
    <n v="131.1"/>
    <n v="129.1"/>
    <n v="130.1"/>
    <x v="149"/>
    <n v="127.8"/>
    <n v="122.6"/>
    <n v="250.39999999999998"/>
    <n v="117.6"/>
    <n v="125"/>
    <n v="133.80000000000001"/>
    <n v="258.8"/>
    <n v="145.1"/>
    <n v="125.1"/>
    <n v="270.2"/>
    <n v="130.9"/>
  </r>
  <r>
    <x v="0"/>
    <x v="4"/>
    <x v="3"/>
    <x v="110"/>
    <n v="138.69999999999999"/>
    <n v="127.1"/>
    <n v="137.69999999999999"/>
    <n v="121.3"/>
    <n v="141.80000000000001"/>
    <n v="121.5"/>
    <n v="144.5"/>
    <n v="117.4"/>
    <n v="134.1"/>
    <n v="130"/>
    <n v="145.5"/>
    <n v="133.5"/>
    <n v="1726.3"/>
    <n v="142.4"/>
    <n v="136.80000000000001"/>
    <n v="141.6"/>
    <n v="420.80000000000007"/>
    <n v="139.25"/>
    <n v="135"/>
    <n v="134.30000000000001"/>
    <x v="150"/>
    <n v="131"/>
    <n v="123.7"/>
    <n v="254.7"/>
    <n v="119.2"/>
    <n v="128.30000000000001"/>
    <n v="135.69999999999999"/>
    <n v="264"/>
    <n v="144.4"/>
    <n v="127.5"/>
    <n v="271.89999999999998"/>
    <n v="132.9"/>
  </r>
  <r>
    <x v="1"/>
    <x v="4"/>
    <x v="3"/>
    <x v="109"/>
    <n v="140.6"/>
    <n v="124.5"/>
    <n v="136.30000000000001"/>
    <n v="113.5"/>
    <n v="137.69999999999999"/>
    <n v="127.1"/>
    <n v="133.80000000000001"/>
    <n v="120.8"/>
    <n v="141.30000000000001"/>
    <n v="123.8"/>
    <n v="142.6"/>
    <n v="133.4"/>
    <n v="1708.1"/>
    <n v="131.19999999999999"/>
    <n v="123"/>
    <n v="130"/>
    <n v="384.2"/>
    <n v="131.69999999999999"/>
    <n v="121.4"/>
    <n v="126"/>
    <x v="151"/>
    <n v="123.4"/>
    <n v="122.2"/>
    <n v="245.60000000000002"/>
    <n v="114.3"/>
    <n v="122.6"/>
    <n v="133.6"/>
    <n v="256.2"/>
    <n v="148"/>
    <n v="122.5"/>
    <n v="270.5"/>
    <n v="129.1"/>
  </r>
  <r>
    <x v="2"/>
    <x v="4"/>
    <x v="3"/>
    <x v="111"/>
    <n v="139.4"/>
    <n v="126.1"/>
    <n v="137.19999999999999"/>
    <n v="118.4"/>
    <n v="139.9"/>
    <n v="123.4"/>
    <n v="140.9"/>
    <n v="118.5"/>
    <n v="136.5"/>
    <n v="127.4"/>
    <n v="144.19999999999999"/>
    <n v="133.5"/>
    <n v="1718.4"/>
    <n v="138"/>
    <n v="131.1"/>
    <n v="137"/>
    <n v="406.1"/>
    <n v="131.69999999999999"/>
    <n v="129.80000000000001"/>
    <n v="130.4"/>
    <x v="152"/>
    <n v="128.1"/>
    <n v="123.1"/>
    <n v="251.2"/>
    <n v="116.6"/>
    <n v="125.1"/>
    <n v="134.5"/>
    <n v="259.60000000000002"/>
    <n v="145.4"/>
    <n v="125.1"/>
    <n v="270.5"/>
    <n v="131.1"/>
  </r>
  <r>
    <x v="0"/>
    <x v="4"/>
    <x v="4"/>
    <x v="104"/>
    <n v="140.30000000000001"/>
    <n v="126.8"/>
    <n v="138.19999999999999"/>
    <n v="120.8"/>
    <n v="140.19999999999999"/>
    <n v="123.8"/>
    <n v="141.80000000000001"/>
    <n v="118.6"/>
    <n v="134"/>
    <n v="130.30000000000001"/>
    <n v="145.80000000000001"/>
    <n v="133.80000000000001"/>
    <n v="1727.4999999999995"/>
    <n v="142.5"/>
    <n v="137.30000000000001"/>
    <n v="141.80000000000001"/>
    <n v="421.6"/>
    <n v="139.25"/>
    <n v="135"/>
    <n v="134.9"/>
    <x v="153"/>
    <n v="131.4"/>
    <n v="123.7"/>
    <n v="255.10000000000002"/>
    <n v="119.4"/>
    <n v="129.4"/>
    <n v="136.30000000000001"/>
    <n v="265.70000000000005"/>
    <n v="145.5"/>
    <n v="127.9"/>
    <n v="273.39999999999998"/>
    <n v="133.30000000000001"/>
  </r>
  <r>
    <x v="1"/>
    <x v="4"/>
    <x v="4"/>
    <x v="101"/>
    <n v="144.1"/>
    <n v="125.6"/>
    <n v="136.80000000000001"/>
    <n v="113.4"/>
    <n v="135.19999999999999"/>
    <n v="129.19999999999999"/>
    <n v="131.5"/>
    <n v="121"/>
    <n v="139.9"/>
    <n v="123.8"/>
    <n v="142.9"/>
    <n v="133.6"/>
    <n v="1709.6"/>
    <n v="131.5"/>
    <n v="123.2"/>
    <n v="130.19999999999999"/>
    <n v="384.9"/>
    <n v="132.1"/>
    <n v="120.1"/>
    <n v="126.5"/>
    <x v="154"/>
    <n v="123.6"/>
    <n v="122"/>
    <n v="245.6"/>
    <n v="114.3"/>
    <n v="122.8"/>
    <n v="133.80000000000001"/>
    <n v="256.60000000000002"/>
    <n v="148.30000000000001"/>
    <n v="122.6"/>
    <n v="270.89999999999998"/>
    <n v="129.30000000000001"/>
  </r>
  <r>
    <x v="2"/>
    <x v="4"/>
    <x v="4"/>
    <x v="112"/>
    <n v="141.6"/>
    <n v="126.3"/>
    <n v="137.69999999999999"/>
    <n v="118.1"/>
    <n v="137.9"/>
    <n v="125.6"/>
    <n v="138.30000000000001"/>
    <n v="119.4"/>
    <n v="136"/>
    <n v="127.6"/>
    <n v="144.5"/>
    <n v="133.69999999999999"/>
    <n v="1719.6000000000001"/>
    <n v="138.19999999999999"/>
    <n v="131.4"/>
    <n v="137.19999999999999"/>
    <n v="406.8"/>
    <n v="132.1"/>
    <n v="129.4"/>
    <n v="130.9"/>
    <x v="155"/>
    <n v="128.4"/>
    <n v="123"/>
    <n v="251.4"/>
    <n v="116.7"/>
    <n v="125.7"/>
    <n v="134.80000000000001"/>
    <n v="260.5"/>
    <n v="146.19999999999999"/>
    <n v="125.3"/>
    <n v="271.5"/>
    <n v="131.4"/>
  </r>
  <r>
    <x v="0"/>
    <x v="4"/>
    <x v="5"/>
    <x v="113"/>
    <n v="143.69999999999999"/>
    <n v="128"/>
    <n v="138.6"/>
    <n v="120.9"/>
    <n v="140.9"/>
    <n v="128.80000000000001"/>
    <n v="140.19999999999999"/>
    <n v="118.9"/>
    <n v="133.5"/>
    <n v="130.4"/>
    <n v="146.5"/>
    <n v="134.9"/>
    <n v="1738.8000000000002"/>
    <n v="143.1"/>
    <n v="137.69999999999999"/>
    <n v="142.30000000000001"/>
    <n v="423.09999999999997"/>
    <n v="139.25"/>
    <n v="134.80000000000001"/>
    <n v="135.19999999999999"/>
    <x v="156"/>
    <n v="131.30000000000001"/>
    <n v="124.1"/>
    <n v="255.4"/>
    <n v="119.4"/>
    <n v="129.80000000000001"/>
    <n v="136.9"/>
    <n v="266.70000000000005"/>
    <n v="145.80000000000001"/>
    <n v="128.1"/>
    <n v="273.89999999999998"/>
    <n v="133.9"/>
  </r>
  <r>
    <x v="1"/>
    <x v="4"/>
    <x v="5"/>
    <x v="112"/>
    <n v="148.69999999999999"/>
    <n v="128.30000000000001"/>
    <n v="137.30000000000001"/>
    <n v="113.5"/>
    <n v="137.19999999999999"/>
    <n v="142.19999999999999"/>
    <n v="128.19999999999999"/>
    <n v="120.9"/>
    <n v="138.80000000000001"/>
    <n v="124.2"/>
    <n v="143.1"/>
    <n v="135.69999999999999"/>
    <n v="1731.0000000000002"/>
    <n v="131.5"/>
    <n v="123.2"/>
    <n v="130.19999999999999"/>
    <n v="384.9"/>
    <n v="131.4"/>
    <n v="119"/>
    <n v="126.8"/>
    <x v="157"/>
    <n v="123.8"/>
    <n v="122.5"/>
    <n v="246.3"/>
    <n v="113.9"/>
    <n v="122.9"/>
    <n v="134.30000000000001"/>
    <n v="257.20000000000005"/>
    <n v="148.6"/>
    <n v="122.7"/>
    <n v="271.3"/>
    <n v="129.9"/>
  </r>
  <r>
    <x v="2"/>
    <x v="4"/>
    <x v="5"/>
    <x v="107"/>
    <n v="145.5"/>
    <n v="128.1"/>
    <n v="138.1"/>
    <n v="118.2"/>
    <n v="139.19999999999999"/>
    <n v="133.30000000000001"/>
    <n v="136.19999999999999"/>
    <n v="119.6"/>
    <n v="135.30000000000001"/>
    <n v="127.8"/>
    <n v="144.9"/>
    <n v="135.19999999999999"/>
    <n v="1734.7"/>
    <n v="138.5"/>
    <n v="131.69999999999999"/>
    <n v="137.5"/>
    <n v="407.7"/>
    <n v="131.4"/>
    <n v="128.80000000000001"/>
    <n v="131.19999999999999"/>
    <x v="158"/>
    <n v="128.5"/>
    <n v="123.4"/>
    <n v="251.9"/>
    <n v="116.5"/>
    <n v="125.9"/>
    <n v="135.4"/>
    <n v="261.3"/>
    <n v="146.5"/>
    <n v="125.5"/>
    <n v="272"/>
    <n v="132"/>
  </r>
  <r>
    <x v="0"/>
    <x v="4"/>
    <x v="6"/>
    <x v="114"/>
    <n v="144.19999999999999"/>
    <n v="129.80000000000001"/>
    <n v="139"/>
    <n v="120.9"/>
    <n v="143.9"/>
    <n v="151.5"/>
    <n v="138.1"/>
    <n v="120"/>
    <n v="133.9"/>
    <n v="131.4"/>
    <n v="147.69999999999999"/>
    <n v="138.5"/>
    <n v="1772.9"/>
    <n v="144.30000000000001"/>
    <n v="138.1"/>
    <n v="143.5"/>
    <n v="425.9"/>
    <n v="139.25"/>
    <n v="135.30000000000001"/>
    <n v="136.1"/>
    <x v="159"/>
    <n v="132.1"/>
    <n v="124.4"/>
    <n v="256.5"/>
    <n v="119.1"/>
    <n v="130.6"/>
    <n v="138.6"/>
    <n v="269.2"/>
    <n v="147.4"/>
    <n v="128.6"/>
    <n v="276"/>
    <n v="136.19999999999999"/>
  </r>
  <r>
    <x v="1"/>
    <x v="4"/>
    <x v="6"/>
    <x v="106"/>
    <n v="148.4"/>
    <n v="129.4"/>
    <n v="137.69999999999999"/>
    <n v="113.4"/>
    <n v="139.4"/>
    <n v="175.1"/>
    <n v="124.7"/>
    <n v="121.5"/>
    <n v="137.80000000000001"/>
    <n v="124.4"/>
    <n v="143.69999999999999"/>
    <n v="139.80000000000001"/>
    <n v="1768.1"/>
    <n v="131.6"/>
    <n v="123.7"/>
    <n v="130.4"/>
    <n v="385.70000000000005"/>
    <n v="132.6"/>
    <n v="119.7"/>
    <n v="127.2"/>
    <x v="160"/>
    <n v="125"/>
    <n v="122.4"/>
    <n v="247.4"/>
    <n v="113.2"/>
    <n v="123.5"/>
    <n v="135.5"/>
    <n v="259"/>
    <n v="150.5"/>
    <n v="123"/>
    <n v="273.5"/>
    <n v="131.80000000000001"/>
  </r>
  <r>
    <x v="2"/>
    <x v="4"/>
    <x v="6"/>
    <x v="108"/>
    <n v="145.69999999999999"/>
    <n v="129.6"/>
    <n v="138.5"/>
    <n v="118.1"/>
    <n v="141.80000000000001"/>
    <n v="159.5"/>
    <n v="133.6"/>
    <n v="120.5"/>
    <n v="135.19999999999999"/>
    <n v="128.5"/>
    <n v="145.80000000000001"/>
    <n v="139"/>
    <n v="1769.3999999999999"/>
    <n v="139.30000000000001"/>
    <n v="132.1"/>
    <n v="138.30000000000001"/>
    <n v="409.7"/>
    <n v="132.6"/>
    <n v="129.4"/>
    <n v="131.9"/>
    <x v="161"/>
    <n v="129.4"/>
    <n v="123.6"/>
    <n v="253"/>
    <n v="116"/>
    <n v="126.6"/>
    <n v="136.80000000000001"/>
    <n v="263.39999999999998"/>
    <n v="148.19999999999999"/>
    <n v="125.9"/>
    <n v="274.10000000000002"/>
    <n v="134.19999999999999"/>
  </r>
  <r>
    <x v="0"/>
    <x v="4"/>
    <x v="7"/>
    <x v="115"/>
    <n v="143.1"/>
    <n v="130"/>
    <n v="139.4"/>
    <n v="120.5"/>
    <n v="148"/>
    <n v="162.9"/>
    <n v="137.4"/>
    <n v="120.8"/>
    <n v="134.69999999999999"/>
    <n v="131.6"/>
    <n v="148.69999999999999"/>
    <n v="140.6"/>
    <n v="1792.4999999999998"/>
    <n v="145.30000000000001"/>
    <n v="139.19999999999999"/>
    <n v="144.5"/>
    <n v="429"/>
    <n v="139.25"/>
    <n v="136.4"/>
    <n v="137.30000000000001"/>
    <x v="162"/>
    <n v="133"/>
    <n v="125.4"/>
    <n v="258.39999999999998"/>
    <n v="120.3"/>
    <n v="131.5"/>
    <n v="140.19999999999999"/>
    <n v="271.7"/>
    <n v="149"/>
    <n v="129.69999999999999"/>
    <n v="278.7"/>
    <n v="137.80000000000001"/>
  </r>
  <r>
    <x v="1"/>
    <x v="4"/>
    <x v="7"/>
    <x v="110"/>
    <n v="143.9"/>
    <n v="128.30000000000001"/>
    <n v="138.30000000000001"/>
    <n v="114.1"/>
    <n v="142.69999999999999"/>
    <n v="179.8"/>
    <n v="123.5"/>
    <n v="122.1"/>
    <n v="137.5"/>
    <n v="124.6"/>
    <n v="144.5"/>
    <n v="140.5"/>
    <n v="1772.9999999999998"/>
    <n v="132.69999999999999"/>
    <n v="124.3"/>
    <n v="131.4"/>
    <n v="388.4"/>
    <n v="134.4"/>
    <n v="118.9"/>
    <n v="127.7"/>
    <x v="163"/>
    <n v="125.7"/>
    <n v="123.3"/>
    <n v="249"/>
    <n v="114.6"/>
    <n v="124.1"/>
    <n v="135.69999999999999"/>
    <n v="259.79999999999995"/>
    <n v="152.1"/>
    <n v="123.8"/>
    <n v="275.89999999999998"/>
    <n v="132.69999999999999"/>
  </r>
  <r>
    <x v="2"/>
    <x v="4"/>
    <x v="7"/>
    <x v="116"/>
    <n v="143.4"/>
    <n v="129.30000000000001"/>
    <n v="139"/>
    <n v="118.1"/>
    <n v="145.5"/>
    <n v="168.6"/>
    <n v="132.69999999999999"/>
    <n v="121.2"/>
    <n v="135.6"/>
    <n v="128.69999999999999"/>
    <n v="146.80000000000001"/>
    <n v="140.6"/>
    <n v="1783.8"/>
    <n v="140.30000000000001"/>
    <n v="133"/>
    <n v="139.30000000000001"/>
    <n v="412.6"/>
    <n v="134.4"/>
    <n v="129.80000000000001"/>
    <n v="132.80000000000001"/>
    <x v="164"/>
    <n v="130.19999999999999"/>
    <n v="124.5"/>
    <n v="254.7"/>
    <n v="117.3"/>
    <n v="127.3"/>
    <n v="137.6"/>
    <n v="264.89999999999998"/>
    <n v="149.80000000000001"/>
    <n v="126.8"/>
    <n v="276.60000000000002"/>
    <n v="135.4"/>
  </r>
  <r>
    <x v="0"/>
    <x v="4"/>
    <x v="8"/>
    <x v="117"/>
    <n v="142"/>
    <n v="130.5"/>
    <n v="140.19999999999999"/>
    <n v="120.7"/>
    <n v="147.80000000000001"/>
    <n v="154.5"/>
    <n v="137.1"/>
    <n v="121"/>
    <n v="134.69999999999999"/>
    <n v="131.69999999999999"/>
    <n v="149.30000000000001"/>
    <n v="139.6"/>
    <n v="1784.3"/>
    <n v="146.1"/>
    <n v="139.69999999999999"/>
    <n v="145.19999999999999"/>
    <n v="430.99999999999994"/>
    <n v="139.25"/>
    <n v="137.4"/>
    <n v="137.9"/>
    <x v="165"/>
    <n v="133.4"/>
    <n v="126.7"/>
    <n v="260.10000000000002"/>
    <n v="121.2"/>
    <n v="132.30000000000001"/>
    <n v="139.6"/>
    <n v="271.89999999999998"/>
    <n v="149.80000000000001"/>
    <n v="130.30000000000001"/>
    <n v="280.10000000000002"/>
    <n v="137.6"/>
  </r>
  <r>
    <x v="1"/>
    <x v="4"/>
    <x v="8"/>
    <x v="108"/>
    <n v="143"/>
    <n v="129.69999999999999"/>
    <n v="138.69999999999999"/>
    <n v="114.5"/>
    <n v="137.5"/>
    <n v="160.69999999999999"/>
    <n v="124.5"/>
    <n v="122.4"/>
    <n v="137.30000000000001"/>
    <n v="124.8"/>
    <n v="145"/>
    <n v="138"/>
    <n v="1749.7"/>
    <n v="133.30000000000001"/>
    <n v="124.6"/>
    <n v="132"/>
    <n v="389.9"/>
    <n v="135.69999999999999"/>
    <n v="120.6"/>
    <n v="128.1"/>
    <x v="166"/>
    <n v="126.1"/>
    <n v="124.4"/>
    <n v="250.5"/>
    <n v="115.7"/>
    <n v="124.5"/>
    <n v="135.9"/>
    <n v="260.39999999999998"/>
    <n v="153.6"/>
    <n v="124.5"/>
    <n v="278.10000000000002"/>
    <n v="132.4"/>
  </r>
  <r>
    <x v="2"/>
    <x v="4"/>
    <x v="8"/>
    <x v="118"/>
    <n v="142.4"/>
    <n v="130.19999999999999"/>
    <n v="139.6"/>
    <n v="118.4"/>
    <n v="143"/>
    <n v="156.6"/>
    <n v="132.9"/>
    <n v="121.5"/>
    <n v="135.6"/>
    <n v="128.80000000000001"/>
    <n v="147.30000000000001"/>
    <n v="139"/>
    <n v="1769.9999999999998"/>
    <n v="141.1"/>
    <n v="133.4"/>
    <n v="140"/>
    <n v="414.5"/>
    <n v="135.69999999999999"/>
    <n v="131"/>
    <n v="133.30000000000001"/>
    <x v="167"/>
    <n v="130.6"/>
    <n v="125.7"/>
    <n v="256.3"/>
    <n v="118.3"/>
    <n v="127.9"/>
    <n v="137.4"/>
    <n v="265.3"/>
    <n v="150.80000000000001"/>
    <n v="127.5"/>
    <n v="278.3"/>
    <n v="135.19999999999999"/>
  </r>
  <r>
    <x v="0"/>
    <x v="4"/>
    <x v="9"/>
    <x v="119"/>
    <n v="141.9"/>
    <n v="131"/>
    <n v="141.5"/>
    <n v="121.4"/>
    <n v="146.69999999999999"/>
    <n v="157.1"/>
    <n v="136.4"/>
    <n v="121.4"/>
    <n v="135.6"/>
    <n v="131.30000000000001"/>
    <n v="150.30000000000001"/>
    <n v="140.4"/>
    <n v="1790.8999999999999"/>
    <n v="147.19999999999999"/>
    <n v="140.6"/>
    <n v="146.19999999999999"/>
    <n v="433.99999999999994"/>
    <n v="139.25"/>
    <n v="138.1"/>
    <n v="138.4"/>
    <x v="168"/>
    <n v="134.19999999999999"/>
    <n v="127.4"/>
    <n v="261.60000000000002"/>
    <n v="121"/>
    <n v="133"/>
    <n v="140.1"/>
    <n v="273.10000000000002"/>
    <n v="150.5"/>
    <n v="130.69999999999999"/>
    <n v="281.2"/>
    <n v="138.30000000000001"/>
  </r>
  <r>
    <x v="1"/>
    <x v="4"/>
    <x v="9"/>
    <x v="120"/>
    <n v="142.80000000000001"/>
    <n v="131.4"/>
    <n v="139.1"/>
    <n v="114.9"/>
    <n v="135.6"/>
    <n v="173.2"/>
    <n v="124.1"/>
    <n v="122.6"/>
    <n v="137.80000000000001"/>
    <n v="125.1"/>
    <n v="145.5"/>
    <n v="139.69999999999999"/>
    <n v="1765.6999999999998"/>
    <n v="134"/>
    <n v="124.9"/>
    <n v="132.6"/>
    <n v="391.5"/>
    <n v="137.30000000000001"/>
    <n v="122.6"/>
    <n v="128.30000000000001"/>
    <x v="169"/>
    <n v="126.6"/>
    <n v="124.6"/>
    <n v="251.2"/>
    <n v="115"/>
    <n v="124.8"/>
    <n v="136.30000000000001"/>
    <n v="261.10000000000002"/>
    <n v="154.6"/>
    <n v="124.5"/>
    <n v="279.10000000000002"/>
    <n v="133.5"/>
  </r>
  <r>
    <x v="2"/>
    <x v="4"/>
    <x v="9"/>
    <x v="121"/>
    <n v="142.19999999999999"/>
    <n v="131.19999999999999"/>
    <n v="140.6"/>
    <n v="119"/>
    <n v="141.5"/>
    <n v="162.6"/>
    <n v="132.30000000000001"/>
    <n v="121.8"/>
    <n v="136.30000000000001"/>
    <n v="128.69999999999999"/>
    <n v="148.1"/>
    <n v="140.1"/>
    <n v="1779.6999999999998"/>
    <n v="142"/>
    <n v="134.1"/>
    <n v="140.80000000000001"/>
    <n v="416.90000000000003"/>
    <n v="137.30000000000001"/>
    <n v="132.19999999999999"/>
    <n v="133.6"/>
    <x v="170"/>
    <n v="131.30000000000001"/>
    <n v="126.2"/>
    <n v="257.5"/>
    <n v="117.8"/>
    <n v="128.4"/>
    <n v="137.9"/>
    <n v="266.3"/>
    <n v="151.6"/>
    <n v="127.7"/>
    <n v="279.3"/>
    <n v="136.1"/>
  </r>
  <r>
    <x v="0"/>
    <x v="4"/>
    <x v="11"/>
    <x v="122"/>
    <n v="142.5"/>
    <n v="140.5"/>
    <n v="141.5"/>
    <n v="121.6"/>
    <n v="147.30000000000001"/>
    <n v="168"/>
    <n v="135.80000000000001"/>
    <n v="122.5"/>
    <n v="136"/>
    <n v="131.9"/>
    <n v="151.4"/>
    <n v="142.4"/>
    <n v="1817.7000000000003"/>
    <n v="148.19999999999999"/>
    <n v="141.5"/>
    <n v="147.30000000000001"/>
    <n v="437"/>
    <n v="139.25"/>
    <n v="141.1"/>
    <n v="139.4"/>
    <x v="171"/>
    <n v="135.80000000000001"/>
    <n v="128.1"/>
    <n v="263.89999999999998"/>
    <n v="121.6"/>
    <n v="133.69999999999999"/>
    <n v="141.5"/>
    <n v="275.2"/>
    <n v="152.1"/>
    <n v="131.69999999999999"/>
    <n v="283.79999999999995"/>
    <n v="140"/>
  </r>
  <r>
    <x v="1"/>
    <x v="4"/>
    <x v="11"/>
    <x v="116"/>
    <n v="142.1"/>
    <n v="146.69999999999999"/>
    <n v="139.5"/>
    <n v="115.2"/>
    <n v="136.4"/>
    <n v="185.2"/>
    <n v="122.2"/>
    <n v="123.9"/>
    <n v="138.30000000000001"/>
    <n v="125.4"/>
    <n v="146"/>
    <n v="141.5"/>
    <n v="1796.7"/>
    <n v="135"/>
    <n v="125.4"/>
    <n v="133.5"/>
    <n v="393.9"/>
    <n v="138.6"/>
    <n v="125.7"/>
    <n v="128.80000000000001"/>
    <x v="172"/>
    <n v="127.4"/>
    <n v="124.9"/>
    <n v="252.3"/>
    <n v="115.3"/>
    <n v="125.1"/>
    <n v="136.6"/>
    <n v="261.7"/>
    <n v="156.19999999999999"/>
    <n v="124.9"/>
    <n v="281.10000000000002"/>
    <n v="134.80000000000001"/>
  </r>
  <r>
    <x v="2"/>
    <x v="4"/>
    <x v="11"/>
    <x v="123"/>
    <n v="142.4"/>
    <n v="142.9"/>
    <n v="140.80000000000001"/>
    <n v="119.2"/>
    <n v="142.19999999999999"/>
    <n v="173.8"/>
    <n v="131.19999999999999"/>
    <n v="123"/>
    <n v="136.80000000000001"/>
    <n v="129.19999999999999"/>
    <n v="148.9"/>
    <n v="142.1"/>
    <n v="1808.2"/>
    <n v="143"/>
    <n v="134.80000000000001"/>
    <n v="141.80000000000001"/>
    <n v="419.6"/>
    <n v="138.6"/>
    <n v="135.30000000000001"/>
    <n v="134.4"/>
    <x v="173"/>
    <n v="132.6"/>
    <n v="126.8"/>
    <n v="259.39999999999998"/>
    <n v="118.3"/>
    <n v="128.9"/>
    <n v="138.6"/>
    <n v="267.5"/>
    <n v="153.19999999999999"/>
    <n v="128.4"/>
    <n v="281.60000000000002"/>
    <n v="137.6"/>
  </r>
  <r>
    <x v="0"/>
    <x v="4"/>
    <x v="12"/>
    <x v="124"/>
    <n v="143.69999999999999"/>
    <n v="144.80000000000001"/>
    <n v="141.9"/>
    <n v="123.1"/>
    <n v="147.19999999999999"/>
    <n v="161"/>
    <n v="133.80000000000001"/>
    <n v="121.9"/>
    <n v="135.80000000000001"/>
    <n v="131.1"/>
    <n v="151.4"/>
    <n v="141.5"/>
    <n v="1813.6000000000001"/>
    <n v="148"/>
    <n v="141.9"/>
    <n v="147.19999999999999"/>
    <n v="437.09999999999997"/>
    <n v="139.25"/>
    <n v="142.6"/>
    <n v="139.5"/>
    <x v="174"/>
    <n v="136.1"/>
    <n v="127.8"/>
    <n v="263.89999999999998"/>
    <n v="122"/>
    <n v="133.4"/>
    <n v="141.1"/>
    <n v="274.5"/>
    <n v="153.19999999999999"/>
    <n v="131.9"/>
    <n v="285.10000000000002"/>
    <n v="139.80000000000001"/>
  </r>
  <r>
    <x v="1"/>
    <x v="4"/>
    <x v="12"/>
    <x v="125"/>
    <n v="142.6"/>
    <n v="145.9"/>
    <n v="139.5"/>
    <n v="115.9"/>
    <n v="135"/>
    <n v="163.19999999999999"/>
    <n v="119.8"/>
    <n v="120.7"/>
    <n v="139.69999999999999"/>
    <n v="125.7"/>
    <n v="146.30000000000001"/>
    <n v="138.80000000000001"/>
    <n v="1767.5"/>
    <n v="135.6"/>
    <n v="125.6"/>
    <n v="134"/>
    <n v="395.2"/>
    <n v="139.1"/>
    <n v="126.8"/>
    <n v="129.30000000000001"/>
    <x v="175"/>
    <n v="128.19999999999999"/>
    <n v="124.6"/>
    <n v="252.79999999999998"/>
    <n v="115.3"/>
    <n v="125.6"/>
    <n v="136.69999999999999"/>
    <n v="262.29999999999995"/>
    <n v="157"/>
    <n v="125.1"/>
    <n v="282.10000000000002"/>
    <n v="134.1"/>
  </r>
  <r>
    <x v="2"/>
    <x v="4"/>
    <x v="12"/>
    <x v="126"/>
    <n v="143.30000000000001"/>
    <n v="145.19999999999999"/>
    <n v="141"/>
    <n v="120.5"/>
    <n v="141.5"/>
    <n v="161.69999999999999"/>
    <n v="129.1"/>
    <n v="121.5"/>
    <n v="137.1"/>
    <n v="128.80000000000001"/>
    <n v="149"/>
    <n v="140.5"/>
    <n v="1794.9999999999998"/>
    <n v="143.1"/>
    <n v="135.1"/>
    <n v="142"/>
    <n v="420.2"/>
    <n v="139.1"/>
    <n v="136.6"/>
    <n v="134.69999999999999"/>
    <x v="176"/>
    <n v="133.1"/>
    <n v="126.5"/>
    <n v="259.60000000000002"/>
    <n v="118.5"/>
    <n v="129"/>
    <n v="138.5"/>
    <n v="267.5"/>
    <n v="154.19999999999999"/>
    <n v="128.6"/>
    <n v="282.79999999999995"/>
    <n v="137.19999999999999"/>
  </r>
  <r>
    <x v="0"/>
    <x v="5"/>
    <x v="0"/>
    <x v="127"/>
    <n v="144.4"/>
    <n v="143.80000000000001"/>
    <n v="142"/>
    <n v="123.2"/>
    <n v="147.9"/>
    <n v="152.1"/>
    <n v="131.80000000000001"/>
    <n v="119.5"/>
    <n v="136"/>
    <n v="131.19999999999999"/>
    <n v="151.80000000000001"/>
    <n v="140.4"/>
    <n v="1800.7"/>
    <n v="148.30000000000001"/>
    <n v="142.30000000000001"/>
    <n v="147.5"/>
    <n v="438.1"/>
    <n v="139.25"/>
    <n v="142.30000000000001"/>
    <n v="139.80000000000001"/>
    <x v="174"/>
    <n v="136"/>
    <n v="128.6"/>
    <n v="264.60000000000002"/>
    <n v="122.7"/>
    <n v="134.30000000000001"/>
    <n v="141.6"/>
    <n v="275.89999999999998"/>
    <n v="153.6"/>
    <n v="132.30000000000001"/>
    <n v="285.89999999999998"/>
    <n v="139.30000000000001"/>
  </r>
  <r>
    <x v="1"/>
    <x v="5"/>
    <x v="0"/>
    <x v="128"/>
    <n v="143.69999999999999"/>
    <n v="143.6"/>
    <n v="139.6"/>
    <n v="116.4"/>
    <n v="133.80000000000001"/>
    <n v="150.5"/>
    <n v="118.4"/>
    <n v="117.3"/>
    <n v="140.5"/>
    <n v="125.9"/>
    <n v="146.80000000000001"/>
    <n v="137.19999999999999"/>
    <n v="1748.3000000000002"/>
    <n v="136"/>
    <n v="125.9"/>
    <n v="134.4"/>
    <n v="396.29999999999995"/>
    <n v="140.4"/>
    <n v="127.3"/>
    <n v="129.5"/>
    <x v="177"/>
    <n v="129"/>
    <n v="125.5"/>
    <n v="254.5"/>
    <n v="116.3"/>
    <n v="126.2"/>
    <n v="137.1"/>
    <n v="263.3"/>
    <n v="157.69999999999999"/>
    <n v="125.8"/>
    <n v="283.5"/>
    <n v="134.1"/>
  </r>
  <r>
    <x v="2"/>
    <x v="5"/>
    <x v="0"/>
    <x v="129"/>
    <n v="144.19999999999999"/>
    <n v="143.69999999999999"/>
    <n v="141.1"/>
    <n v="120.7"/>
    <n v="141.30000000000001"/>
    <n v="151.6"/>
    <n v="127.3"/>
    <n v="118.8"/>
    <n v="137.5"/>
    <n v="129"/>
    <n v="149.5"/>
    <n v="139.19999999999999"/>
    <n v="1779.9"/>
    <n v="143.5"/>
    <n v="135.5"/>
    <n v="142.30000000000001"/>
    <n v="421.3"/>
    <n v="140.4"/>
    <n v="136.6"/>
    <n v="134.9"/>
    <x v="178"/>
    <n v="133.30000000000001"/>
    <n v="127.3"/>
    <n v="260.60000000000002"/>
    <n v="119.3"/>
    <n v="129.69999999999999"/>
    <n v="139"/>
    <n v="268.7"/>
    <n v="154.69999999999999"/>
    <n v="129.1"/>
    <n v="283.79999999999995"/>
    <n v="136.9"/>
  </r>
  <r>
    <x v="0"/>
    <x v="5"/>
    <x v="1"/>
    <x v="124"/>
    <n v="143.69999999999999"/>
    <n v="140.6"/>
    <n v="141.5"/>
    <n v="122.9"/>
    <n v="149.4"/>
    <n v="142.4"/>
    <n v="130.19999999999999"/>
    <n v="117.9"/>
    <n v="135.6"/>
    <n v="130.5"/>
    <n v="151.69999999999999"/>
    <n v="138.69999999999999"/>
    <n v="1781.5"/>
    <n v="148.69999999999999"/>
    <n v="142.4"/>
    <n v="147.80000000000001"/>
    <n v="438.90000000000003"/>
    <n v="139.25"/>
    <n v="142.4"/>
    <n v="139.9"/>
    <x v="179"/>
    <n v="136.19999999999999"/>
    <n v="128.80000000000001"/>
    <n v="265"/>
    <n v="123.3"/>
    <n v="134.30000000000001"/>
    <n v="141.5"/>
    <n v="275.8"/>
    <n v="153.30000000000001"/>
    <n v="132.5"/>
    <n v="285.8"/>
    <n v="138.5"/>
  </r>
  <r>
    <x v="1"/>
    <x v="5"/>
    <x v="1"/>
    <x v="115"/>
    <n v="143"/>
    <n v="139.9"/>
    <n v="139.9"/>
    <n v="116.2"/>
    <n v="135.5"/>
    <n v="136.9"/>
    <n v="117"/>
    <n v="115.4"/>
    <n v="140.69999999999999"/>
    <n v="125.9"/>
    <n v="147.1"/>
    <n v="135.6"/>
    <n v="1727.9"/>
    <n v="136.30000000000001"/>
    <n v="126.1"/>
    <n v="134.69999999999999"/>
    <n v="397.09999999999997"/>
    <n v="141.30000000000001"/>
    <n v="127.3"/>
    <n v="129.9"/>
    <x v="180"/>
    <n v="129.80000000000001"/>
    <n v="126.2"/>
    <n v="256"/>
    <n v="117.4"/>
    <n v="126.5"/>
    <n v="137.19999999999999"/>
    <n v="263.7"/>
    <n v="159.30000000000001"/>
    <n v="126.5"/>
    <n v="285.8"/>
    <n v="134"/>
  </r>
  <r>
    <x v="2"/>
    <x v="5"/>
    <x v="1"/>
    <x v="119"/>
    <n v="143.5"/>
    <n v="140.30000000000001"/>
    <n v="140.9"/>
    <n v="120.4"/>
    <n v="142.9"/>
    <n v="140.5"/>
    <n v="125.8"/>
    <n v="117.1"/>
    <n v="137.30000000000001"/>
    <n v="128.6"/>
    <n v="149.6"/>
    <n v="137.6"/>
    <n v="1760.3999999999996"/>
    <n v="143.80000000000001"/>
    <n v="135.6"/>
    <n v="142.6"/>
    <n v="422"/>
    <n v="141.30000000000001"/>
    <n v="136.69999999999999"/>
    <n v="135.19999999999999"/>
    <x v="181"/>
    <n v="133.80000000000001"/>
    <n v="127.7"/>
    <n v="261.5"/>
    <n v="120.2"/>
    <n v="129.9"/>
    <n v="139"/>
    <n v="268.89999999999998"/>
    <n v="154.9"/>
    <n v="129.6"/>
    <n v="284.5"/>
    <n v="136.4"/>
  </r>
  <r>
    <x v="0"/>
    <x v="5"/>
    <x v="2"/>
    <x v="130"/>
    <n v="143.80000000000001"/>
    <n v="140"/>
    <n v="142"/>
    <n v="123.2"/>
    <n v="152.9"/>
    <n v="138"/>
    <n v="129.30000000000001"/>
    <n v="117.1"/>
    <n v="136.30000000000001"/>
    <n v="131.19999999999999"/>
    <n v="152.80000000000001"/>
    <n v="138.6"/>
    <n v="1781.9999999999998"/>
    <n v="149.19999999999999"/>
    <n v="143"/>
    <n v="148.30000000000001"/>
    <n v="440.5"/>
    <n v="139.25"/>
    <n v="142.6"/>
    <n v="139.9"/>
    <x v="182"/>
    <n v="136.69999999999999"/>
    <n v="129.30000000000001"/>
    <n v="266"/>
    <n v="124.6"/>
    <n v="135.1"/>
    <n v="142.69999999999999"/>
    <n v="277.79999999999995"/>
    <n v="155.1"/>
    <n v="133.30000000000001"/>
    <n v="288.39999999999998"/>
    <n v="138.69999999999999"/>
  </r>
  <r>
    <x v="1"/>
    <x v="5"/>
    <x v="2"/>
    <x v="131"/>
    <n v="143.1"/>
    <n v="135.5"/>
    <n v="139.9"/>
    <n v="116.5"/>
    <n v="138.5"/>
    <n v="128"/>
    <n v="115.5"/>
    <n v="114.2"/>
    <n v="140.69999999999999"/>
    <n v="126.2"/>
    <n v="147.6"/>
    <n v="134.80000000000001"/>
    <n v="1715.5"/>
    <n v="136.69999999999999"/>
    <n v="126.7"/>
    <n v="135.19999999999999"/>
    <n v="398.59999999999997"/>
    <n v="142"/>
    <n v="126.4"/>
    <n v="130.80000000000001"/>
    <x v="183"/>
    <n v="130.5"/>
    <n v="126.7"/>
    <n v="257.2"/>
    <n v="117.8"/>
    <n v="126.8"/>
    <n v="137.80000000000001"/>
    <n v="264.60000000000002"/>
    <n v="159.69999999999999"/>
    <n v="127.1"/>
    <n v="286.79999999999995"/>
    <n v="134"/>
  </r>
  <r>
    <x v="2"/>
    <x v="5"/>
    <x v="2"/>
    <x v="132"/>
    <n v="143.6"/>
    <n v="138.30000000000001"/>
    <n v="141.19999999999999"/>
    <n v="120.7"/>
    <n v="146.19999999999999"/>
    <n v="134.6"/>
    <n v="124.6"/>
    <n v="116.1"/>
    <n v="137.80000000000001"/>
    <n v="129.1"/>
    <n v="150.4"/>
    <n v="137.19999999999999"/>
    <n v="1756"/>
    <n v="144.30000000000001"/>
    <n v="136.19999999999999"/>
    <n v="143.1"/>
    <n v="423.6"/>
    <n v="142"/>
    <n v="136.5"/>
    <n v="135.6"/>
    <x v="184"/>
    <n v="134.30000000000001"/>
    <n v="128.19999999999999"/>
    <n v="262.5"/>
    <n v="121"/>
    <n v="130.4"/>
    <n v="139.80000000000001"/>
    <n v="270.20000000000005"/>
    <n v="156.30000000000001"/>
    <n v="130.30000000000001"/>
    <n v="286.60000000000002"/>
    <n v="136.5"/>
  </r>
  <r>
    <x v="0"/>
    <x v="5"/>
    <x v="3"/>
    <x v="133"/>
    <n v="144.5"/>
    <n v="135.9"/>
    <n v="142.4"/>
    <n v="123.5"/>
    <n v="156.4"/>
    <n v="135.1"/>
    <n v="128.4"/>
    <n v="115.2"/>
    <n v="137.19999999999999"/>
    <n v="131.9"/>
    <n v="153.80000000000001"/>
    <n v="138.6"/>
    <n v="1780"/>
    <n v="150.1"/>
    <n v="143.30000000000001"/>
    <n v="149.1"/>
    <n v="442.5"/>
    <n v="139.25"/>
    <n v="143.80000000000001"/>
    <n v="140.9"/>
    <x v="185"/>
    <n v="137.6"/>
    <n v="130.4"/>
    <n v="268"/>
    <n v="125.3"/>
    <n v="136"/>
    <n v="143.69999999999999"/>
    <n v="279.7"/>
    <n v="156.1"/>
    <n v="134.19999999999999"/>
    <n v="290.29999999999995"/>
    <n v="139.1"/>
  </r>
  <r>
    <x v="1"/>
    <x v="5"/>
    <x v="3"/>
    <x v="131"/>
    <n v="144.30000000000001"/>
    <n v="130.80000000000001"/>
    <n v="140.30000000000001"/>
    <n v="116.6"/>
    <n v="150.1"/>
    <n v="127.6"/>
    <n v="114"/>
    <n v="110.6"/>
    <n v="140.19999999999999"/>
    <n v="126.5"/>
    <n v="148.30000000000001"/>
    <n v="135.69999999999999"/>
    <n v="1720.0000000000002"/>
    <n v="137.80000000000001"/>
    <n v="127.4"/>
    <n v="136.19999999999999"/>
    <n v="401.40000000000003"/>
    <n v="142.9"/>
    <n v="124.6"/>
    <n v="131.80000000000001"/>
    <x v="186"/>
    <n v="131.30000000000001"/>
    <n v="127.6"/>
    <n v="258.89999999999998"/>
    <n v="118.9"/>
    <n v="127.6"/>
    <n v="139.69999999999999"/>
    <n v="267.29999999999995"/>
    <n v="159.19999999999999"/>
    <n v="128.19999999999999"/>
    <n v="287.39999999999998"/>
    <n v="134.80000000000001"/>
  </r>
  <r>
    <x v="2"/>
    <x v="5"/>
    <x v="3"/>
    <x v="124"/>
    <n v="144.4"/>
    <n v="133.9"/>
    <n v="141.6"/>
    <n v="121"/>
    <n v="153.5"/>
    <n v="132.6"/>
    <n v="123.5"/>
    <n v="113.7"/>
    <n v="138.19999999999999"/>
    <n v="129.6"/>
    <n v="151.19999999999999"/>
    <n v="137.5"/>
    <n v="1757.1000000000001"/>
    <n v="145.30000000000001"/>
    <n v="136.69999999999999"/>
    <n v="144"/>
    <n v="426"/>
    <n v="142.9"/>
    <n v="136.5"/>
    <n v="136.6"/>
    <x v="187"/>
    <n v="135.19999999999999"/>
    <n v="129.19999999999999"/>
    <n v="264.39999999999998"/>
    <n v="121.9"/>
    <n v="131.30000000000001"/>
    <n v="141.4"/>
    <n v="272.70000000000005"/>
    <n v="156.9"/>
    <n v="131.30000000000001"/>
    <n v="288.20000000000005"/>
    <n v="137.1"/>
  </r>
  <r>
    <x v="0"/>
    <x v="5"/>
    <x v="4"/>
    <x v="134"/>
    <n v="145.69999999999999"/>
    <n v="135.5"/>
    <n v="142.9"/>
    <n v="123.6"/>
    <n v="157.5"/>
    <n v="137.80000000000001"/>
    <n v="127.2"/>
    <n v="111.8"/>
    <n v="137.4"/>
    <n v="132.19999999999999"/>
    <n v="154.30000000000001"/>
    <n v="139.1"/>
    <n v="1782.4"/>
    <n v="150.80000000000001"/>
    <n v="144.1"/>
    <n v="149.80000000000001"/>
    <n v="444.7"/>
    <n v="139.25"/>
    <n v="144.30000000000001"/>
    <n v="141.80000000000001"/>
    <x v="188"/>
    <n v="138.4"/>
    <n v="131.19999999999999"/>
    <n v="269.60000000000002"/>
    <n v="126.4"/>
    <n v="136.80000000000001"/>
    <n v="144.4"/>
    <n v="281.20000000000005"/>
    <n v="157"/>
    <n v="135.1"/>
    <n v="292.10000000000002"/>
    <n v="139.80000000000001"/>
  </r>
  <r>
    <x v="1"/>
    <x v="5"/>
    <x v="4"/>
    <x v="131"/>
    <n v="148.19999999999999"/>
    <n v="130.5"/>
    <n v="140.69999999999999"/>
    <n v="116.4"/>
    <n v="151.30000000000001"/>
    <n v="131.4"/>
    <n v="112.8"/>
    <n v="105.3"/>
    <n v="139.6"/>
    <n v="126.6"/>
    <n v="148.69999999999999"/>
    <n v="136.4"/>
    <n v="1722.8999999999999"/>
    <n v="138.6"/>
    <n v="127.9"/>
    <n v="137"/>
    <n v="403.5"/>
    <n v="143.19999999999999"/>
    <n v="124.7"/>
    <n v="132.5"/>
    <x v="189"/>
    <n v="132"/>
    <n v="128.1"/>
    <n v="260.10000000000002"/>
    <n v="119.8"/>
    <n v="128"/>
    <n v="140.4"/>
    <n v="268.39999999999998"/>
    <n v="160.30000000000001"/>
    <n v="128.9"/>
    <n v="289.20000000000005"/>
    <n v="135.4"/>
  </r>
  <r>
    <x v="2"/>
    <x v="5"/>
    <x v="4"/>
    <x v="127"/>
    <n v="146.6"/>
    <n v="133.6"/>
    <n v="142.1"/>
    <n v="121"/>
    <n v="154.6"/>
    <n v="135.6"/>
    <n v="122.3"/>
    <n v="109.6"/>
    <n v="138.1"/>
    <n v="129.9"/>
    <n v="151.69999999999999"/>
    <n v="138.1"/>
    <n v="1759.8"/>
    <n v="146"/>
    <n v="137.4"/>
    <n v="144.69999999999999"/>
    <n v="428.09999999999997"/>
    <n v="143.19999999999999"/>
    <n v="136.9"/>
    <n v="137.4"/>
    <x v="190"/>
    <n v="136"/>
    <n v="129.9"/>
    <n v="265.89999999999998"/>
    <n v="122.9"/>
    <n v="131.80000000000001"/>
    <n v="142.1"/>
    <n v="273.89999999999998"/>
    <n v="157.9"/>
    <n v="132.1"/>
    <n v="290"/>
    <n v="137.80000000000001"/>
  </r>
  <r>
    <x v="0"/>
    <x v="5"/>
    <x v="5"/>
    <x v="135"/>
    <n v="148.1"/>
    <n v="136.69999999999999"/>
    <n v="143.19999999999999"/>
    <n v="124"/>
    <n v="154.1"/>
    <n v="143.5"/>
    <n v="126"/>
    <n v="112.4"/>
    <n v="137.6"/>
    <n v="132.80000000000001"/>
    <n v="154.30000000000001"/>
    <n v="140"/>
    <n v="1790.2999999999997"/>
    <n v="151.30000000000001"/>
    <n v="144.69999999999999"/>
    <n v="150.30000000000001"/>
    <n v="446.3"/>
    <n v="139.25"/>
    <n v="145.1"/>
    <n v="142.19999999999999"/>
    <x v="191"/>
    <n v="138.4"/>
    <n v="131.4"/>
    <n v="269.8"/>
    <n v="127.4"/>
    <n v="137.80000000000001"/>
    <n v="145.1"/>
    <n v="282.89999999999998"/>
    <n v="157.30000000000001"/>
    <n v="135.6"/>
    <n v="292.89999999999998"/>
    <n v="140.5"/>
  </r>
  <r>
    <x v="1"/>
    <x v="5"/>
    <x v="5"/>
    <x v="121"/>
    <n v="149.69999999999999"/>
    <n v="133.9"/>
    <n v="140.80000000000001"/>
    <n v="116.6"/>
    <n v="152.19999999999999"/>
    <n v="144"/>
    <n v="112.3"/>
    <n v="108.4"/>
    <n v="140"/>
    <n v="126.7"/>
    <n v="149"/>
    <n v="138.4"/>
    <n v="1747.3000000000002"/>
    <n v="138.9"/>
    <n v="128.69999999999999"/>
    <n v="137.4"/>
    <n v="405"/>
    <n v="142.5"/>
    <n v="126.5"/>
    <n v="133.1"/>
    <x v="192"/>
    <n v="132.6"/>
    <n v="128.19999999999999"/>
    <n v="260.79999999999995"/>
    <n v="120.4"/>
    <n v="128.5"/>
    <n v="141.19999999999999"/>
    <n v="269.7"/>
    <n v="161"/>
    <n v="129.5"/>
    <n v="290.5"/>
    <n v="136.19999999999999"/>
  </r>
  <r>
    <x v="2"/>
    <x v="5"/>
    <x v="5"/>
    <x v="136"/>
    <n v="148.69999999999999"/>
    <n v="135.6"/>
    <n v="142.30000000000001"/>
    <n v="121.3"/>
    <n v="153.19999999999999"/>
    <n v="143.69999999999999"/>
    <n v="121.4"/>
    <n v="111.1"/>
    <n v="138.4"/>
    <n v="130.30000000000001"/>
    <n v="151.80000000000001"/>
    <n v="139.4"/>
    <n v="1774.1000000000001"/>
    <n v="146.4"/>
    <n v="138.1"/>
    <n v="145.19999999999999"/>
    <n v="429.7"/>
    <n v="142.5"/>
    <n v="138.1"/>
    <n v="137.9"/>
    <x v="193"/>
    <n v="136.19999999999999"/>
    <n v="130.1"/>
    <n v="266.29999999999995"/>
    <n v="123.7"/>
    <n v="132.6"/>
    <n v="142.80000000000001"/>
    <n v="275.39999999999998"/>
    <n v="158.30000000000001"/>
    <n v="132.6"/>
    <n v="290.89999999999998"/>
    <n v="138.5"/>
  </r>
  <r>
    <x v="0"/>
    <x v="5"/>
    <x v="6"/>
    <x v="137"/>
    <n v="149.30000000000001"/>
    <n v="139.30000000000001"/>
    <n v="143.4"/>
    <n v="124.1"/>
    <n v="153.30000000000001"/>
    <n v="154.19999999999999"/>
    <n v="126.4"/>
    <n v="114.3"/>
    <n v="138.19999999999999"/>
    <n v="132.80000000000001"/>
    <n v="154.80000000000001"/>
    <n v="142"/>
    <n v="1810.5000000000002"/>
    <n v="151.5"/>
    <n v="145.1"/>
    <n v="150.6"/>
    <n v="447.20000000000005"/>
    <n v="139.25"/>
    <n v="146.80000000000001"/>
    <n v="143.1"/>
    <x v="194"/>
    <n v="139"/>
    <n v="131.4"/>
    <n v="270.39999999999998"/>
    <n v="127.5"/>
    <n v="138.4"/>
    <n v="145.80000000000001"/>
    <n v="284.20000000000005"/>
    <n v="156.1"/>
    <n v="136"/>
    <n v="292.10000000000002"/>
    <n v="141.80000000000001"/>
  </r>
  <r>
    <x v="1"/>
    <x v="5"/>
    <x v="6"/>
    <x v="138"/>
    <n v="148.6"/>
    <n v="139.1"/>
    <n v="141"/>
    <n v="116.7"/>
    <n v="149.69999999999999"/>
    <n v="159.19999999999999"/>
    <n v="112.6"/>
    <n v="111.8"/>
    <n v="140.30000000000001"/>
    <n v="126.8"/>
    <n v="149.4"/>
    <n v="140.30000000000001"/>
    <n v="1771.1"/>
    <n v="139.6"/>
    <n v="128.9"/>
    <n v="137.9"/>
    <n v="406.4"/>
    <n v="143.6"/>
    <n v="128.1"/>
    <n v="133.6"/>
    <x v="195"/>
    <n v="133.6"/>
    <n v="128.19999999999999"/>
    <n v="261.79999999999995"/>
    <n v="120.1"/>
    <n v="129"/>
    <n v="144"/>
    <n v="273"/>
    <n v="161.4"/>
    <n v="130.19999999999999"/>
    <n v="291.60000000000002"/>
    <n v="137.5"/>
  </r>
  <r>
    <x v="2"/>
    <x v="5"/>
    <x v="6"/>
    <x v="139"/>
    <n v="149.1"/>
    <n v="139.19999999999999"/>
    <n v="142.5"/>
    <n v="121.4"/>
    <n v="151.6"/>
    <n v="155.9"/>
    <n v="121.7"/>
    <n v="113.5"/>
    <n v="138.9"/>
    <n v="130.30000000000001"/>
    <n v="152.30000000000001"/>
    <n v="141.4"/>
    <n v="1795.3"/>
    <n v="146.80000000000001"/>
    <n v="138.4"/>
    <n v="145.6"/>
    <n v="430.80000000000007"/>
    <n v="143.6"/>
    <n v="139.69999999999999"/>
    <n v="138.6"/>
    <x v="196"/>
    <n v="137"/>
    <n v="130.1"/>
    <n v="267.10000000000002"/>
    <n v="123.6"/>
    <n v="133.1"/>
    <n v="144.69999999999999"/>
    <n v="277.79999999999995"/>
    <n v="157.5"/>
    <n v="133.19999999999999"/>
    <n v="290.7"/>
    <n v="139.80000000000001"/>
  </r>
  <r>
    <x v="0"/>
    <x v="5"/>
    <x v="7"/>
    <x v="140"/>
    <n v="148.80000000000001"/>
    <n v="139.1"/>
    <n v="143.5"/>
    <n v="125"/>
    <n v="154.4"/>
    <n v="156.30000000000001"/>
    <n v="126.8"/>
    <n v="115.4"/>
    <n v="138.6"/>
    <n v="133.80000000000001"/>
    <n v="155.19999999999999"/>
    <n v="142.69999999999999"/>
    <n v="1818.8"/>
    <n v="152.1"/>
    <n v="145.80000000000001"/>
    <n v="151.30000000000001"/>
    <n v="449.2"/>
    <n v="139.25"/>
    <n v="147.69999999999999"/>
    <n v="143.80000000000001"/>
    <x v="197"/>
    <n v="139.4"/>
    <n v="131.30000000000001"/>
    <n v="270.70000000000005"/>
    <n v="128.30000000000001"/>
    <n v="138.6"/>
    <n v="146.9"/>
    <n v="285.5"/>
    <n v="156.4"/>
    <n v="136.6"/>
    <n v="293"/>
    <n v="142.5"/>
  </r>
  <r>
    <x v="1"/>
    <x v="5"/>
    <x v="7"/>
    <x v="141"/>
    <n v="146.4"/>
    <n v="136.6"/>
    <n v="141.19999999999999"/>
    <n v="117.4"/>
    <n v="146.30000000000001"/>
    <n v="157.30000000000001"/>
    <n v="113.6"/>
    <n v="113.3"/>
    <n v="141.1"/>
    <n v="127.4"/>
    <n v="150.4"/>
    <n v="140.1"/>
    <n v="1767.6"/>
    <n v="140"/>
    <n v="129"/>
    <n v="138.30000000000001"/>
    <n v="407.3"/>
    <n v="144.6"/>
    <n v="129.80000000000001"/>
    <n v="134.4"/>
    <x v="198"/>
    <n v="134.9"/>
    <n v="128.30000000000001"/>
    <n v="263.20000000000005"/>
    <n v="120.7"/>
    <n v="129.80000000000001"/>
    <n v="145.30000000000001"/>
    <n v="275.10000000000002"/>
    <n v="162.1"/>
    <n v="131"/>
    <n v="293.10000000000002"/>
    <n v="138"/>
  </r>
  <r>
    <x v="2"/>
    <x v="5"/>
    <x v="7"/>
    <x v="142"/>
    <n v="148"/>
    <n v="138.1"/>
    <n v="142.6"/>
    <n v="122.2"/>
    <n v="150.6"/>
    <n v="156.6"/>
    <n v="122.4"/>
    <n v="114.7"/>
    <n v="139.4"/>
    <n v="131.1"/>
    <n v="153"/>
    <n v="141.69999999999999"/>
    <n v="1798.7000000000003"/>
    <n v="147.30000000000001"/>
    <n v="138.80000000000001"/>
    <n v="146.1"/>
    <n v="432.20000000000005"/>
    <n v="144.6"/>
    <n v="140.9"/>
    <n v="139.4"/>
    <x v="199"/>
    <n v="137.69999999999999"/>
    <n v="130.1"/>
    <n v="267.79999999999995"/>
    <n v="124.3"/>
    <n v="133.6"/>
    <n v="146"/>
    <n v="279.60000000000002"/>
    <n v="157.9"/>
    <n v="133.9"/>
    <n v="291.8"/>
    <n v="140.4"/>
  </r>
  <r>
    <x v="0"/>
    <x v="5"/>
    <x v="8"/>
    <x v="143"/>
    <n v="147.19999999999999"/>
    <n v="136.6"/>
    <n v="143.69999999999999"/>
    <n v="124.6"/>
    <n v="150.1"/>
    <n v="149.4"/>
    <n v="125.4"/>
    <n v="114.4"/>
    <n v="138.69999999999999"/>
    <n v="133.1"/>
    <n v="155.9"/>
    <n v="141.30000000000001"/>
    <n v="1799.8000000000002"/>
    <n v="152.1"/>
    <n v="146.1"/>
    <n v="151.30000000000001"/>
    <n v="449.5"/>
    <n v="139.25"/>
    <n v="149"/>
    <n v="144"/>
    <x v="200"/>
    <n v="140"/>
    <n v="132"/>
    <n v="272"/>
    <n v="129.9"/>
    <n v="140"/>
    <n v="147.6"/>
    <n v="287.60000000000002"/>
    <n v="157.69999999999999"/>
    <n v="137.4"/>
    <n v="295.10000000000002"/>
    <n v="142.1"/>
  </r>
  <r>
    <x v="1"/>
    <x v="5"/>
    <x v="8"/>
    <x v="144"/>
    <n v="143.1"/>
    <n v="132.80000000000001"/>
    <n v="141.5"/>
    <n v="117.8"/>
    <n v="140"/>
    <n v="151.30000000000001"/>
    <n v="113.5"/>
    <n v="112.3"/>
    <n v="141.19999999999999"/>
    <n v="127.7"/>
    <n v="151.30000000000001"/>
    <n v="138.9"/>
    <n v="1748.4"/>
    <n v="140.80000000000001"/>
    <n v="129.30000000000001"/>
    <n v="139.1"/>
    <n v="409.20000000000005"/>
    <n v="145.30000000000001"/>
    <n v="131.19999999999999"/>
    <n v="134.9"/>
    <x v="201"/>
    <n v="135.69999999999999"/>
    <n v="129.30000000000001"/>
    <n v="265"/>
    <n v="122.5"/>
    <n v="130.19999999999999"/>
    <n v="145.19999999999999"/>
    <n v="275.39999999999998"/>
    <n v="163.30000000000001"/>
    <n v="131.9"/>
    <n v="295.20000000000005"/>
    <n v="138.1"/>
  </r>
  <r>
    <x v="2"/>
    <x v="5"/>
    <x v="8"/>
    <x v="145"/>
    <n v="145.80000000000001"/>
    <n v="135.1"/>
    <n v="142.9"/>
    <n v="122.1"/>
    <n v="145.4"/>
    <n v="150"/>
    <n v="121.4"/>
    <n v="113.7"/>
    <n v="139.5"/>
    <n v="130.80000000000001"/>
    <n v="153.80000000000001"/>
    <n v="140.4"/>
    <n v="1779.5"/>
    <n v="147.69999999999999"/>
    <n v="139.1"/>
    <n v="146.5"/>
    <n v="433.29999999999995"/>
    <n v="145.30000000000001"/>
    <n v="142.30000000000001"/>
    <n v="139.69999999999999"/>
    <x v="202"/>
    <n v="138.4"/>
    <n v="130.9"/>
    <n v="269.3"/>
    <n v="126"/>
    <n v="134.5"/>
    <n v="146.19999999999999"/>
    <n v="280.7"/>
    <n v="159.19999999999999"/>
    <n v="134.69999999999999"/>
    <n v="293.89999999999998"/>
    <n v="140.19999999999999"/>
  </r>
  <r>
    <x v="0"/>
    <x v="5"/>
    <x v="9"/>
    <x v="146"/>
    <n v="147.6"/>
    <n v="134.6"/>
    <n v="141.9"/>
    <n v="123.5"/>
    <n v="144.5"/>
    <n v="147.6"/>
    <n v="121.4"/>
    <n v="112.3"/>
    <n v="139.5"/>
    <n v="134.6"/>
    <n v="155.19999999999999"/>
    <n v="140.19999999999999"/>
    <n v="1782.2"/>
    <n v="150.69999999999999"/>
    <n v="144.5"/>
    <n v="149.80000000000001"/>
    <n v="445"/>
    <n v="139.25"/>
    <n v="149.69999999999999"/>
    <n v="147.5"/>
    <x v="203"/>
    <n v="144.80000000000001"/>
    <n v="134.4"/>
    <n v="279.20000000000005"/>
    <n v="130.80000000000001"/>
    <n v="140.1"/>
    <n v="148"/>
    <n v="288.10000000000002"/>
    <n v="159.6"/>
    <n v="139.80000000000001"/>
    <n v="299.39999999999998"/>
    <n v="142.19999999999999"/>
  </r>
  <r>
    <x v="1"/>
    <x v="5"/>
    <x v="9"/>
    <x v="135"/>
    <n v="144.9"/>
    <n v="133.5"/>
    <n v="141.5"/>
    <n v="118"/>
    <n v="139.5"/>
    <n v="153"/>
    <n v="113.2"/>
    <n v="112.8"/>
    <n v="141.1"/>
    <n v="127.6"/>
    <n v="152"/>
    <n v="139.4"/>
    <n v="1754.1"/>
    <n v="141.5"/>
    <n v="129.80000000000001"/>
    <n v="139.69999999999999"/>
    <n v="411"/>
    <n v="146.30000000000001"/>
    <n v="133.4"/>
    <n v="135.1"/>
    <x v="204"/>
    <n v="136.19999999999999"/>
    <n v="130.4"/>
    <n v="266.60000000000002"/>
    <n v="123.3"/>
    <n v="130.69999999999999"/>
    <n v="145.5"/>
    <n v="276.2"/>
    <n v="164"/>
    <n v="132.5"/>
    <n v="296.5"/>
    <n v="138.9"/>
  </r>
  <r>
    <x v="2"/>
    <x v="5"/>
    <x v="9"/>
    <x v="134"/>
    <n v="149.5"/>
    <n v="137.30000000000001"/>
    <n v="141.9"/>
    <n v="121.1"/>
    <n v="142.5"/>
    <n v="146.69999999999999"/>
    <n v="119.1"/>
    <n v="111.9"/>
    <n v="141"/>
    <n v="133.6"/>
    <n v="154.5"/>
    <n v="139.69999999999999"/>
    <n v="1776.2"/>
    <n v="148"/>
    <n v="139.19999999999999"/>
    <n v="146.80000000000001"/>
    <n v="434"/>
    <n v="146.9"/>
    <n v="145.30000000000001"/>
    <n v="142.19999999999999"/>
    <x v="205"/>
    <n v="142.1"/>
    <n v="132"/>
    <n v="274.10000000000002"/>
    <n v="125.5"/>
    <n v="136.5"/>
    <n v="147.80000000000001"/>
    <n v="284.3"/>
    <n v="162.6"/>
    <n v="136.30000000000001"/>
    <n v="298.89999999999998"/>
    <n v="140.80000000000001"/>
  </r>
  <r>
    <x v="0"/>
    <x v="5"/>
    <x v="11"/>
    <x v="133"/>
    <n v="150.80000000000001"/>
    <n v="136.69999999999999"/>
    <n v="141.9"/>
    <n v="122.8"/>
    <n v="143.9"/>
    <n v="147.5"/>
    <n v="121"/>
    <n v="111.6"/>
    <n v="140.6"/>
    <n v="137.5"/>
    <n v="156.1"/>
    <n v="140"/>
    <n v="1787.4999999999995"/>
    <n v="151.69999999999999"/>
    <n v="145.5"/>
    <n v="150.80000000000001"/>
    <n v="448"/>
    <n v="139.25"/>
    <n v="150.30000000000001"/>
    <n v="148"/>
    <x v="206"/>
    <n v="145.4"/>
    <n v="133.1"/>
    <n v="278.5"/>
    <n v="130.30000000000001"/>
    <n v="143.1"/>
    <n v="150.19999999999999"/>
    <n v="293.29999999999995"/>
    <n v="161.9"/>
    <n v="140.1"/>
    <n v="302"/>
    <n v="142.4"/>
  </r>
  <r>
    <x v="1"/>
    <x v="5"/>
    <x v="11"/>
    <x v="147"/>
    <n v="146.30000000000001"/>
    <n v="137.80000000000001"/>
    <n v="141.6"/>
    <n v="118.1"/>
    <n v="141.5"/>
    <n v="145.19999999999999"/>
    <n v="115.3"/>
    <n v="112.5"/>
    <n v="141.4"/>
    <n v="128"/>
    <n v="152.6"/>
    <n v="139.1"/>
    <n v="1757.4999999999998"/>
    <n v="142.4"/>
    <n v="130.19999999999999"/>
    <n v="140.5"/>
    <n v="413.1"/>
    <n v="146.9"/>
    <n v="136.69999999999999"/>
    <n v="135.80000000000001"/>
    <x v="207"/>
    <n v="136.80000000000001"/>
    <n v="130.5"/>
    <n v="267.3"/>
    <n v="121.2"/>
    <n v="131.30000000000001"/>
    <n v="146.1"/>
    <n v="277.39999999999998"/>
    <n v="164.4"/>
    <n v="132.19999999999999"/>
    <n v="296.60000000000002"/>
    <n v="139"/>
  </r>
  <r>
    <x v="2"/>
    <x v="5"/>
    <x v="11"/>
    <x v="134"/>
    <n v="149.19999999999999"/>
    <n v="137.1"/>
    <n v="141.80000000000001"/>
    <n v="121.1"/>
    <n v="142.80000000000001"/>
    <n v="146.69999999999999"/>
    <n v="119.1"/>
    <n v="111.9"/>
    <n v="140.9"/>
    <n v="133.5"/>
    <n v="154.5"/>
    <n v="139.69999999999999"/>
    <n v="1775.7000000000003"/>
    <n v="148"/>
    <n v="139.1"/>
    <n v="146.69999999999999"/>
    <n v="433.8"/>
    <n v="146.9"/>
    <n v="145.1"/>
    <n v="142.19999999999999"/>
    <x v="208"/>
    <n v="142.1"/>
    <n v="132"/>
    <n v="274.10000000000002"/>
    <n v="125.5"/>
    <n v="136.5"/>
    <n v="147.80000000000001"/>
    <n v="284.3"/>
    <n v="162.6"/>
    <n v="136.30000000000001"/>
    <n v="298.89999999999998"/>
    <n v="140.80000000000001"/>
  </r>
  <r>
    <x v="0"/>
    <x v="5"/>
    <x v="12"/>
    <x v="133"/>
    <n v="151.9"/>
    <n v="137.4"/>
    <n v="142.4"/>
    <n v="124.2"/>
    <n v="140.19999999999999"/>
    <n v="136.6"/>
    <n v="120.9"/>
    <n v="109.9"/>
    <n v="140.19999999999999"/>
    <n v="137.80000000000001"/>
    <n v="156"/>
    <n v="138.5"/>
    <n v="1773.1000000000001"/>
    <n v="151.6"/>
    <n v="145.9"/>
    <n v="150.80000000000001"/>
    <n v="448.3"/>
    <n v="139.25"/>
    <n v="149"/>
    <n v="149.5"/>
    <x v="209"/>
    <n v="149.6"/>
    <n v="133.19999999999999"/>
    <n v="282.79999999999995"/>
    <n v="128.9"/>
    <n v="143.30000000000001"/>
    <n v="155.1"/>
    <n v="298.39999999999998"/>
    <n v="162.4"/>
    <n v="141.6"/>
    <n v="304"/>
    <n v="141.9"/>
  </r>
  <r>
    <x v="1"/>
    <x v="5"/>
    <x v="12"/>
    <x v="148"/>
    <n v="147.80000000000001"/>
    <n v="141.1"/>
    <n v="141.6"/>
    <n v="118.1"/>
    <n v="138.5"/>
    <n v="132.4"/>
    <n v="117.5"/>
    <n v="111"/>
    <n v="141.5"/>
    <n v="128.1"/>
    <n v="152.9"/>
    <n v="137.6"/>
    <n v="1746.6"/>
    <n v="142.69999999999999"/>
    <n v="130.30000000000001"/>
    <n v="140.80000000000001"/>
    <n v="413.8"/>
    <n v="146.5"/>
    <n v="132.4"/>
    <n v="136.19999999999999"/>
    <x v="210"/>
    <n v="137.30000000000001"/>
    <n v="130.80000000000001"/>
    <n v="268.10000000000002"/>
    <n v="118.8"/>
    <n v="131.69999999999999"/>
    <n v="146.5"/>
    <n v="278.2"/>
    <n v="164.6"/>
    <n v="131.69999999999999"/>
    <n v="296.29999999999995"/>
    <n v="138"/>
  </r>
  <r>
    <x v="2"/>
    <x v="5"/>
    <x v="12"/>
    <x v="139"/>
    <n v="150.5"/>
    <n v="138.80000000000001"/>
    <n v="142.1"/>
    <n v="122"/>
    <n v="139.4"/>
    <n v="135.19999999999999"/>
    <n v="119.8"/>
    <n v="110.3"/>
    <n v="140.6"/>
    <n v="133.80000000000001"/>
    <n v="154.6"/>
    <n v="138.19999999999999"/>
    <n v="1762.7999999999997"/>
    <n v="148.1"/>
    <n v="139.4"/>
    <n v="146.80000000000001"/>
    <n v="434.3"/>
    <n v="146.5"/>
    <n v="142.69999999999999"/>
    <n v="143.19999999999999"/>
    <x v="211"/>
    <n v="144.9"/>
    <n v="132.19999999999999"/>
    <n v="277.10000000000002"/>
    <n v="123.6"/>
    <n v="136.80000000000001"/>
    <n v="150.1"/>
    <n v="286.89999999999998"/>
    <n v="163"/>
    <n v="136.80000000000001"/>
    <n v="299.8"/>
    <n v="140.1"/>
  </r>
  <r>
    <x v="0"/>
    <x v="6"/>
    <x v="0"/>
    <x v="127"/>
    <n v="152.5"/>
    <n v="138.19999999999999"/>
    <n v="142.4"/>
    <n v="123.9"/>
    <n v="135.5"/>
    <n v="131.69999999999999"/>
    <n v="121.3"/>
    <n v="108.4"/>
    <n v="138.9"/>
    <n v="137"/>
    <n v="155.80000000000001"/>
    <n v="137.4"/>
    <n v="1759.6000000000001"/>
    <n v="150.6"/>
    <n v="145.1"/>
    <n v="149.9"/>
    <n v="445.6"/>
    <n v="139.25"/>
    <n v="146.19999999999999"/>
    <n v="150.1"/>
    <x v="212"/>
    <n v="149.6"/>
    <n v="133.5"/>
    <n v="283.10000000000002"/>
    <n v="128.6"/>
    <n v="142.9"/>
    <n v="155.19999999999999"/>
    <n v="298.10000000000002"/>
    <n v="162.69999999999999"/>
    <n v="141.69999999999999"/>
    <n v="304.39999999999998"/>
    <n v="141"/>
  </r>
  <r>
    <x v="1"/>
    <x v="6"/>
    <x v="0"/>
    <x v="142"/>
    <n v="149.4"/>
    <n v="143.5"/>
    <n v="141.69999999999999"/>
    <n v="118.1"/>
    <n v="135.19999999999999"/>
    <n v="130.5"/>
    <n v="118.2"/>
    <n v="110.4"/>
    <n v="140.4"/>
    <n v="128.1"/>
    <n v="153.19999999999999"/>
    <n v="137.30000000000001"/>
    <n v="1744.3000000000002"/>
    <n v="143"/>
    <n v="130.4"/>
    <n v="141.1"/>
    <n v="414.5"/>
    <n v="147.69999999999999"/>
    <n v="128.6"/>
    <n v="136.30000000000001"/>
    <x v="213"/>
    <n v="137.80000000000001"/>
    <n v="131.69999999999999"/>
    <n v="269.5"/>
    <n v="118.6"/>
    <n v="131.9"/>
    <n v="146.6"/>
    <n v="278.5"/>
    <n v="164.7"/>
    <n v="131.80000000000001"/>
    <n v="296.5"/>
    <n v="138"/>
  </r>
  <r>
    <x v="2"/>
    <x v="6"/>
    <x v="0"/>
    <x v="133"/>
    <n v="151.4"/>
    <n v="140.19999999999999"/>
    <n v="142.1"/>
    <n v="121.8"/>
    <n v="135.4"/>
    <n v="131.30000000000001"/>
    <n v="120.3"/>
    <n v="109.1"/>
    <n v="139.4"/>
    <n v="133.30000000000001"/>
    <n v="154.6"/>
    <n v="137.4"/>
    <n v="1753.3999999999999"/>
    <n v="147.6"/>
    <n v="139"/>
    <n v="146.4"/>
    <n v="433"/>
    <n v="147.69999999999999"/>
    <n v="139.5"/>
    <n v="143.6"/>
    <x v="214"/>
    <n v="145.1"/>
    <n v="132.80000000000001"/>
    <n v="277.89999999999998"/>
    <n v="123.3"/>
    <n v="136.69999999999999"/>
    <n v="150.19999999999999"/>
    <n v="286.89999999999998"/>
    <n v="163.19999999999999"/>
    <n v="136.9"/>
    <n v="300.10000000000002"/>
    <n v="139.6"/>
  </r>
  <r>
    <x v="0"/>
    <x v="6"/>
    <x v="1"/>
    <x v="130"/>
    <n v="153"/>
    <n v="139.1"/>
    <n v="142.5"/>
    <n v="124.1"/>
    <n v="135.80000000000001"/>
    <n v="128.69999999999999"/>
    <n v="121.5"/>
    <n v="108.3"/>
    <n v="139.19999999999999"/>
    <n v="137.4"/>
    <n v="156.19999999999999"/>
    <n v="137.19999999999999"/>
    <n v="1759.8000000000002"/>
    <n v="150.5"/>
    <n v="146.1"/>
    <n v="149.9"/>
    <n v="446.5"/>
    <n v="139.25"/>
    <n v="145.30000000000001"/>
    <n v="150.1"/>
    <x v="215"/>
    <n v="149.9"/>
    <n v="134.9"/>
    <n v="284.8"/>
    <n v="129.19999999999999"/>
    <n v="143.4"/>
    <n v="155.5"/>
    <n v="298.89999999999998"/>
    <n v="162.80000000000001"/>
    <n v="142.19999999999999"/>
    <n v="305"/>
    <n v="141"/>
  </r>
  <r>
    <x v="1"/>
    <x v="6"/>
    <x v="1"/>
    <x v="143"/>
    <n v="150.1"/>
    <n v="145.30000000000001"/>
    <n v="141.69999999999999"/>
    <n v="118.4"/>
    <n v="137"/>
    <n v="131.6"/>
    <n v="119.9"/>
    <n v="110.4"/>
    <n v="140.80000000000001"/>
    <n v="128.30000000000001"/>
    <n v="153.5"/>
    <n v="138"/>
    <n v="1754.4"/>
    <n v="143.30000000000001"/>
    <n v="130.80000000000001"/>
    <n v="141.4"/>
    <n v="415.5"/>
    <n v="148.5"/>
    <n v="127.1"/>
    <n v="136.6"/>
    <x v="216"/>
    <n v="138.5"/>
    <n v="133"/>
    <n v="271.5"/>
    <n v="119.2"/>
    <n v="132.19999999999999"/>
    <n v="146.6"/>
    <n v="278.79999999999995"/>
    <n v="164.9"/>
    <n v="132.4"/>
    <n v="297.3"/>
    <n v="138.6"/>
  </r>
  <r>
    <x v="2"/>
    <x v="6"/>
    <x v="1"/>
    <x v="135"/>
    <n v="152"/>
    <n v="141.5"/>
    <n v="142.19999999999999"/>
    <n v="122"/>
    <n v="136.4"/>
    <n v="129.69999999999999"/>
    <n v="121"/>
    <n v="109"/>
    <n v="139.69999999999999"/>
    <n v="133.6"/>
    <n v="154.9"/>
    <n v="137.5"/>
    <n v="1757.1"/>
    <n v="147.69999999999999"/>
    <n v="139.69999999999999"/>
    <n v="146.5"/>
    <n v="433.9"/>
    <n v="148.5"/>
    <n v="138.4"/>
    <n v="143.69999999999999"/>
    <x v="217"/>
    <n v="145.6"/>
    <n v="134.1"/>
    <n v="279.7"/>
    <n v="123.9"/>
    <n v="137.1"/>
    <n v="150.30000000000001"/>
    <n v="287.39999999999998"/>
    <n v="163.4"/>
    <n v="137.4"/>
    <n v="300.8"/>
    <n v="139.9"/>
  </r>
  <r>
    <x v="0"/>
    <x v="6"/>
    <x v="2"/>
    <x v="136"/>
    <n v="154.1"/>
    <n v="138.69999999999999"/>
    <n v="142.5"/>
    <n v="124.1"/>
    <n v="136.1"/>
    <n v="128.19999999999999"/>
    <n v="122.3"/>
    <n v="108.3"/>
    <n v="138.9"/>
    <n v="137.4"/>
    <n v="156.4"/>
    <n v="137.30000000000001"/>
    <n v="1761.2000000000003"/>
    <n v="150.80000000000001"/>
    <n v="146.1"/>
    <n v="150.1"/>
    <n v="447"/>
    <n v="139.25"/>
    <n v="146.4"/>
    <n v="150"/>
    <x v="218"/>
    <n v="150.4"/>
    <n v="134"/>
    <n v="284.39999999999998"/>
    <n v="129.9"/>
    <n v="143.80000000000001"/>
    <n v="155.5"/>
    <n v="299.3"/>
    <n v="162.9"/>
    <n v="142.4"/>
    <n v="305.3"/>
    <n v="141.19999999999999"/>
  </r>
  <r>
    <x v="1"/>
    <x v="6"/>
    <x v="2"/>
    <x v="149"/>
    <n v="151.1"/>
    <n v="142.9"/>
    <n v="141.9"/>
    <n v="118.4"/>
    <n v="139.4"/>
    <n v="141.19999999999999"/>
    <n v="120.7"/>
    <n v="110.4"/>
    <n v="140.69999999999999"/>
    <n v="128.5"/>
    <n v="153.9"/>
    <n v="139.6"/>
    <n v="1768.4"/>
    <n v="143.5"/>
    <n v="131.19999999999999"/>
    <n v="141.6"/>
    <n v="416.29999999999995"/>
    <n v="149"/>
    <n v="128.80000000000001"/>
    <n v="136.80000000000001"/>
    <x v="219"/>
    <n v="139.19999999999999"/>
    <n v="132.5"/>
    <n v="271.7"/>
    <n v="119.9"/>
    <n v="133"/>
    <n v="146.69999999999999"/>
    <n v="279.7"/>
    <n v="165.3"/>
    <n v="132.80000000000001"/>
    <n v="298.10000000000002"/>
    <n v="139.5"/>
  </r>
  <r>
    <x v="2"/>
    <x v="6"/>
    <x v="2"/>
    <x v="150"/>
    <n v="153"/>
    <n v="140.30000000000001"/>
    <n v="142.30000000000001"/>
    <n v="122"/>
    <n v="137.6"/>
    <n v="132.6"/>
    <n v="121.8"/>
    <n v="109"/>
    <n v="139.5"/>
    <n v="133.69999999999999"/>
    <n v="155.19999999999999"/>
    <n v="138.1"/>
    <n v="1762.9"/>
    <n v="147.9"/>
    <n v="139.9"/>
    <n v="146.69999999999999"/>
    <n v="434.5"/>
    <n v="149"/>
    <n v="139.69999999999999"/>
    <n v="143.80000000000001"/>
    <x v="220"/>
    <n v="146.19999999999999"/>
    <n v="133.4"/>
    <n v="279.60000000000002"/>
    <n v="124.6"/>
    <n v="137.69999999999999"/>
    <n v="150.30000000000001"/>
    <n v="288"/>
    <n v="163.5"/>
    <n v="137.69999999999999"/>
    <n v="301.2"/>
    <n v="140.4"/>
  </r>
  <r>
    <x v="0"/>
    <x v="6"/>
    <x v="4"/>
    <x v="134"/>
    <n v="159.5"/>
    <n v="134.5"/>
    <n v="142.6"/>
    <n v="124"/>
    <n v="143.69999999999999"/>
    <n v="133.4"/>
    <n v="125.1"/>
    <n v="109.3"/>
    <n v="139.30000000000001"/>
    <n v="137.69999999999999"/>
    <n v="156.4"/>
    <n v="139.19999999999999"/>
    <n v="1782.1000000000001"/>
    <n v="151.30000000000001"/>
    <n v="146.6"/>
    <n v="150.69999999999999"/>
    <n v="448.59999999999997"/>
    <n v="139.25"/>
    <n v="146.9"/>
    <n v="149.5"/>
    <x v="218"/>
    <n v="151.30000000000001"/>
    <n v="133.9"/>
    <n v="285.20000000000005"/>
    <n v="130.19999999999999"/>
    <n v="145.9"/>
    <n v="156.69999999999999"/>
    <n v="302.60000000000002"/>
    <n v="163.30000000000001"/>
    <n v="142.9"/>
    <n v="306.20000000000005"/>
    <n v="142.4"/>
  </r>
  <r>
    <x v="1"/>
    <x v="6"/>
    <x v="4"/>
    <x v="151"/>
    <n v="156.69999999999999"/>
    <n v="138.30000000000001"/>
    <n v="142.4"/>
    <n v="118.6"/>
    <n v="149.69999999999999"/>
    <n v="161.6"/>
    <n v="124.4"/>
    <n v="111.2"/>
    <n v="141"/>
    <n v="128.9"/>
    <n v="154.5"/>
    <n v="143.80000000000001"/>
    <n v="1811.5000000000002"/>
    <n v="144"/>
    <n v="131.69999999999999"/>
    <n v="142.19999999999999"/>
    <n v="417.9"/>
    <n v="150.1"/>
    <n v="129.4"/>
    <n v="137.19999999999999"/>
    <x v="221"/>
    <n v="139.80000000000001"/>
    <n v="132.6"/>
    <n v="272.39999999999998"/>
    <n v="120.1"/>
    <n v="134"/>
    <n v="148"/>
    <n v="282"/>
    <n v="166.2"/>
    <n v="133.30000000000001"/>
    <n v="299.5"/>
    <n v="141.5"/>
  </r>
  <r>
    <x v="2"/>
    <x v="6"/>
    <x v="4"/>
    <x v="142"/>
    <n v="158.5"/>
    <n v="136"/>
    <n v="142.5"/>
    <n v="122"/>
    <n v="146.5"/>
    <n v="143"/>
    <n v="124.9"/>
    <n v="109.9"/>
    <n v="139.9"/>
    <n v="134"/>
    <n v="155.5"/>
    <n v="140.9"/>
    <n v="1791.9000000000003"/>
    <n v="148.4"/>
    <n v="140.4"/>
    <n v="147.30000000000001"/>
    <n v="436.1"/>
    <n v="150.1"/>
    <n v="140.30000000000001"/>
    <n v="143.69999999999999"/>
    <x v="222"/>
    <n v="146.9"/>
    <n v="133.4"/>
    <n v="280.3"/>
    <n v="124.9"/>
    <n v="139.19999999999999"/>
    <n v="151.6"/>
    <n v="290.79999999999995"/>
    <n v="164.1"/>
    <n v="138.19999999999999"/>
    <n v="302.29999999999995"/>
    <n v="142"/>
  </r>
  <r>
    <x v="0"/>
    <x v="6"/>
    <x v="5"/>
    <x v="150"/>
    <n v="163.5"/>
    <n v="136.19999999999999"/>
    <n v="143.19999999999999"/>
    <n v="124.3"/>
    <n v="143.30000000000001"/>
    <n v="140.6"/>
    <n v="128.69999999999999"/>
    <n v="110.6"/>
    <n v="140.4"/>
    <n v="138"/>
    <n v="156.6"/>
    <n v="141"/>
    <n v="1804.1999999999998"/>
    <n v="151.4"/>
    <n v="146.5"/>
    <n v="150.69999999999999"/>
    <n v="448.59999999999997"/>
    <n v="139.25"/>
    <n v="147.80000000000001"/>
    <n v="149.6"/>
    <x v="223"/>
    <n v="151.69999999999999"/>
    <n v="134.80000000000001"/>
    <n v="286.5"/>
    <n v="130.19999999999999"/>
    <n v="146.4"/>
    <n v="157.69999999999999"/>
    <n v="304.10000000000002"/>
    <n v="164.2"/>
    <n v="143.30000000000001"/>
    <n v="307.5"/>
    <n v="143.6"/>
  </r>
  <r>
    <x v="1"/>
    <x v="6"/>
    <x v="5"/>
    <x v="152"/>
    <n v="159.6"/>
    <n v="140.4"/>
    <n v="143.4"/>
    <n v="118.6"/>
    <n v="150.9"/>
    <n v="169.8"/>
    <n v="127.4"/>
    <n v="111.8"/>
    <n v="141"/>
    <n v="129"/>
    <n v="155.1"/>
    <n v="145.6"/>
    <n v="1833.2999999999997"/>
    <n v="144.30000000000001"/>
    <n v="131.69999999999999"/>
    <n v="142.4"/>
    <n v="418.4"/>
    <n v="149.4"/>
    <n v="130.5"/>
    <n v="137.4"/>
    <x v="224"/>
    <n v="140.30000000000001"/>
    <n v="133.69999999999999"/>
    <n v="274"/>
    <n v="119.6"/>
    <n v="134.30000000000001"/>
    <n v="148.9"/>
    <n v="283.20000000000005"/>
    <n v="166.7"/>
    <n v="133.6"/>
    <n v="300.29999999999995"/>
    <n v="142.1"/>
  </r>
  <r>
    <x v="2"/>
    <x v="6"/>
    <x v="5"/>
    <x v="153"/>
    <n v="162.1"/>
    <n v="137.80000000000001"/>
    <n v="143.30000000000001"/>
    <n v="122.2"/>
    <n v="146.80000000000001"/>
    <n v="150.5"/>
    <n v="128.30000000000001"/>
    <n v="111"/>
    <n v="140.6"/>
    <n v="134.19999999999999"/>
    <n v="155.9"/>
    <n v="142.69999999999999"/>
    <n v="1814.1000000000001"/>
    <n v="148.6"/>
    <n v="140.4"/>
    <n v="147.4"/>
    <n v="436.4"/>
    <n v="149.4"/>
    <n v="141.19999999999999"/>
    <n v="143.80000000000001"/>
    <x v="205"/>
    <n v="147.4"/>
    <n v="134.30000000000001"/>
    <n v="281.70000000000005"/>
    <n v="124.6"/>
    <n v="139.6"/>
    <n v="152.5"/>
    <n v="292.10000000000002"/>
    <n v="164.9"/>
    <n v="138.6"/>
    <n v="303.5"/>
    <n v="142.9"/>
  </r>
  <r>
    <x v="0"/>
    <x v="6"/>
    <x v="6"/>
    <x v="137"/>
    <n v="164"/>
    <n v="138.4"/>
    <n v="143.9"/>
    <n v="124.4"/>
    <n v="146.4"/>
    <n v="150.1"/>
    <n v="130.6"/>
    <n v="110.8"/>
    <n v="141.69999999999999"/>
    <n v="138.5"/>
    <n v="156.69999999999999"/>
    <n v="143"/>
    <n v="1826.8999999999999"/>
    <n v="151.6"/>
    <n v="146.6"/>
    <n v="150.9"/>
    <n v="449.1"/>
    <n v="139.25"/>
    <n v="146.80000000000001"/>
    <n v="150"/>
    <x v="225"/>
    <n v="152.19999999999999"/>
    <n v="136.1"/>
    <n v="288.29999999999995"/>
    <n v="131.19999999999999"/>
    <n v="147.5"/>
    <n v="159.1"/>
    <n v="306.60000000000002"/>
    <n v="164.5"/>
    <n v="144.19999999999999"/>
    <n v="308.7"/>
    <n v="144.9"/>
  </r>
  <r>
    <x v="1"/>
    <x v="6"/>
    <x v="6"/>
    <x v="154"/>
    <n v="160.19999999999999"/>
    <n v="142.5"/>
    <n v="144.1"/>
    <n v="119.3"/>
    <n v="154.69999999999999"/>
    <n v="180.1"/>
    <n v="128.9"/>
    <n v="111.8"/>
    <n v="141.6"/>
    <n v="129.5"/>
    <n v="155.6"/>
    <n v="147.69999999999999"/>
    <n v="1857.3999999999999"/>
    <n v="144.69999999999999"/>
    <n v="131.9"/>
    <n v="142.69999999999999"/>
    <n v="419.3"/>
    <n v="150.6"/>
    <n v="127"/>
    <n v="137.69999999999999"/>
    <x v="226"/>
    <n v="140.80000000000001"/>
    <n v="135.1"/>
    <n v="275.89999999999998"/>
    <n v="120.6"/>
    <n v="135"/>
    <n v="150.4"/>
    <n v="285.39999999999998"/>
    <n v="167.2"/>
    <n v="134.5"/>
    <n v="301.7"/>
    <n v="143.30000000000001"/>
  </r>
  <r>
    <x v="2"/>
    <x v="6"/>
    <x v="6"/>
    <x v="146"/>
    <n v="162.69999999999999"/>
    <n v="140"/>
    <n v="144"/>
    <n v="122.5"/>
    <n v="150.30000000000001"/>
    <n v="160.30000000000001"/>
    <n v="130"/>
    <n v="111.1"/>
    <n v="141.69999999999999"/>
    <n v="134.69999999999999"/>
    <n v="156.19999999999999"/>
    <n v="144.69999999999999"/>
    <n v="1837.5"/>
    <n v="148.9"/>
    <n v="140.5"/>
    <n v="147.6"/>
    <n v="437"/>
    <n v="150.6"/>
    <n v="139.30000000000001"/>
    <n v="144.19999999999999"/>
    <x v="222"/>
    <n v="147.9"/>
    <n v="135.69999999999999"/>
    <n v="283.60000000000002"/>
    <n v="125.6"/>
    <n v="140.5"/>
    <n v="154"/>
    <n v="294.5"/>
    <n v="165.2"/>
    <n v="139.5"/>
    <n v="304.7"/>
    <n v="144.19999999999999"/>
  </r>
  <r>
    <x v="0"/>
    <x v="6"/>
    <x v="7"/>
    <x v="140"/>
    <n v="161.9"/>
    <n v="137.1"/>
    <n v="144.6"/>
    <n v="124.7"/>
    <n v="145.5"/>
    <n v="156.19999999999999"/>
    <n v="131.5"/>
    <n v="111.7"/>
    <n v="142.69999999999999"/>
    <n v="138.5"/>
    <n v="156.9"/>
    <n v="144"/>
    <n v="1834.5000000000002"/>
    <n v="151.80000000000001"/>
    <n v="146.6"/>
    <n v="151.1"/>
    <n v="449.5"/>
    <n v="139.25"/>
    <n v="146.4"/>
    <n v="150.19999999999999"/>
    <x v="227"/>
    <n v="152.69999999999999"/>
    <n v="138.80000000000001"/>
    <n v="291.5"/>
    <n v="131.4"/>
    <n v="148"/>
    <n v="159.69999999999999"/>
    <n v="307.7"/>
    <n v="165.1"/>
    <n v="144.9"/>
    <n v="310"/>
    <n v="145.69999999999999"/>
  </r>
  <r>
    <x v="1"/>
    <x v="6"/>
    <x v="7"/>
    <x v="155"/>
    <n v="158.30000000000001"/>
    <n v="140.80000000000001"/>
    <n v="144.9"/>
    <n v="119.9"/>
    <n v="153.9"/>
    <n v="189.1"/>
    <n v="129.80000000000001"/>
    <n v="112.7"/>
    <n v="142.5"/>
    <n v="129.80000000000001"/>
    <n v="156.19999999999999"/>
    <n v="149.1"/>
    <n v="1869.1"/>
    <n v="145"/>
    <n v="132.19999999999999"/>
    <n v="143"/>
    <n v="420.2"/>
    <n v="151.6"/>
    <n v="125.5"/>
    <n v="138.1"/>
    <x v="228"/>
    <n v="141.5"/>
    <n v="137.80000000000001"/>
    <n v="279.3"/>
    <n v="120.8"/>
    <n v="135.4"/>
    <n v="151.5"/>
    <n v="286.89999999999998"/>
    <n v="167.9"/>
    <n v="135.30000000000001"/>
    <n v="303.20000000000005"/>
    <n v="144.19999999999999"/>
  </r>
  <r>
    <x v="2"/>
    <x v="6"/>
    <x v="7"/>
    <x v="156"/>
    <n v="160.6"/>
    <n v="138.5"/>
    <n v="144.69999999999999"/>
    <n v="122.9"/>
    <n v="149.4"/>
    <n v="167.4"/>
    <n v="130.9"/>
    <n v="112"/>
    <n v="142.6"/>
    <n v="134.9"/>
    <n v="156.6"/>
    <n v="145.9"/>
    <n v="1846.5"/>
    <n v="149.1"/>
    <n v="140.6"/>
    <n v="147.9"/>
    <n v="437.6"/>
    <n v="151.6"/>
    <n v="138.5"/>
    <n v="144.5"/>
    <x v="229"/>
    <n v="148.5"/>
    <n v="138.4"/>
    <n v="286.89999999999998"/>
    <n v="125.8"/>
    <n v="140.9"/>
    <n v="154.9"/>
    <n v="295.8"/>
    <n v="165.8"/>
    <n v="140.19999999999999"/>
    <n v="306"/>
    <n v="145"/>
  </r>
  <r>
    <x v="0"/>
    <x v="6"/>
    <x v="8"/>
    <x v="156"/>
    <n v="161.9"/>
    <n v="138.30000000000001"/>
    <n v="145.69999999999999"/>
    <n v="125.1"/>
    <n v="143.80000000000001"/>
    <n v="163.4"/>
    <n v="132.19999999999999"/>
    <n v="112.8"/>
    <n v="144.19999999999999"/>
    <n v="138.5"/>
    <n v="157.19999999999999"/>
    <n v="145.5"/>
    <n v="1848.7"/>
    <n v="151.69999999999999"/>
    <n v="146.6"/>
    <n v="151"/>
    <n v="449.29999999999995"/>
    <n v="139.25"/>
    <n v="146.9"/>
    <n v="150.30000000000001"/>
    <x v="203"/>
    <n v="153.4"/>
    <n v="140.19999999999999"/>
    <n v="293.60000000000002"/>
    <n v="131.6"/>
    <n v="148.30000000000001"/>
    <n v="160.19999999999999"/>
    <n v="308.5"/>
    <n v="165.7"/>
    <n v="145.4"/>
    <n v="311.10000000000002"/>
    <n v="146.69999999999999"/>
  </r>
  <r>
    <x v="1"/>
    <x v="6"/>
    <x v="8"/>
    <x v="157"/>
    <n v="158.69999999999999"/>
    <n v="141.6"/>
    <n v="144.9"/>
    <n v="120.8"/>
    <n v="149.80000000000001"/>
    <n v="192.4"/>
    <n v="130.30000000000001"/>
    <n v="114"/>
    <n v="143.80000000000001"/>
    <n v="130"/>
    <n v="156.4"/>
    <n v="149.5"/>
    <n v="1874.9"/>
    <n v="145.30000000000001"/>
    <n v="132.19999999999999"/>
    <n v="143.30000000000001"/>
    <n v="420.8"/>
    <n v="152.19999999999999"/>
    <n v="126.6"/>
    <n v="138.30000000000001"/>
    <x v="230"/>
    <n v="141.9"/>
    <n v="139"/>
    <n v="280.89999999999998"/>
    <n v="121.2"/>
    <n v="135.9"/>
    <n v="151.6"/>
    <n v="287.5"/>
    <n v="168.6"/>
    <n v="135.69999999999999"/>
    <n v="304.29999999999995"/>
    <n v="144.69999999999999"/>
  </r>
  <r>
    <x v="2"/>
    <x v="6"/>
    <x v="8"/>
    <x v="158"/>
    <n v="160.80000000000001"/>
    <n v="139.6"/>
    <n v="145.4"/>
    <n v="123.5"/>
    <n v="146.6"/>
    <n v="173.2"/>
    <n v="131.6"/>
    <n v="113.2"/>
    <n v="144.1"/>
    <n v="135"/>
    <n v="156.80000000000001"/>
    <n v="147"/>
    <n v="1857.6999999999998"/>
    <n v="149.19999999999999"/>
    <n v="140.6"/>
    <n v="147.9"/>
    <n v="437.69999999999993"/>
    <n v="152.19999999999999"/>
    <n v="139.19999999999999"/>
    <n v="144.6"/>
    <x v="231"/>
    <n v="149"/>
    <n v="139.69999999999999"/>
    <n v="288.7"/>
    <n v="126.1"/>
    <n v="141.30000000000001"/>
    <n v="155.19999999999999"/>
    <n v="296.5"/>
    <n v="166.5"/>
    <n v="140.69999999999999"/>
    <n v="307.2"/>
    <n v="145.80000000000001"/>
  </r>
  <r>
    <x v="0"/>
    <x v="6"/>
    <x v="9"/>
    <x v="159"/>
    <n v="161.6"/>
    <n v="141.19999999999999"/>
    <n v="146.5"/>
    <n v="125.6"/>
    <n v="145.69999999999999"/>
    <n v="178.8"/>
    <n v="133.1"/>
    <n v="113.6"/>
    <n v="145.5"/>
    <n v="138.6"/>
    <n v="157.4"/>
    <n v="148.30000000000001"/>
    <n v="1876.8999999999996"/>
    <n v="151.69999999999999"/>
    <n v="146.69999999999999"/>
    <n v="151"/>
    <n v="449.4"/>
    <n v="139.25"/>
    <n v="147.69999999999999"/>
    <n v="150.6"/>
    <x v="232"/>
    <n v="153.69999999999999"/>
    <n v="140.30000000000001"/>
    <n v="294"/>
    <n v="131.69999999999999"/>
    <n v="148.69999999999999"/>
    <n v="160.69999999999999"/>
    <n v="309.39999999999998"/>
    <n v="166.3"/>
    <n v="145.69999999999999"/>
    <n v="312"/>
    <n v="148.30000000000001"/>
  </r>
  <r>
    <x v="1"/>
    <x v="6"/>
    <x v="9"/>
    <x v="160"/>
    <n v="159.80000000000001"/>
    <n v="144.69999999999999"/>
    <n v="145.6"/>
    <n v="121.1"/>
    <n v="150.6"/>
    <n v="207.2"/>
    <n v="131.19999999999999"/>
    <n v="114.8"/>
    <n v="145.19999999999999"/>
    <n v="130.19999999999999"/>
    <n v="156.80000000000001"/>
    <n v="151.9"/>
    <n v="1902.6000000000001"/>
    <n v="145.9"/>
    <n v="132.4"/>
    <n v="143.9"/>
    <n v="422.20000000000005"/>
    <n v="153"/>
    <n v="128.9"/>
    <n v="138.69999999999999"/>
    <x v="233"/>
    <n v="142.4"/>
    <n v="139.5"/>
    <n v="281.89999999999998"/>
    <n v="121.5"/>
    <n v="136.19999999999999"/>
    <n v="151.69999999999999"/>
    <n v="287.89999999999998"/>
    <n v="169.3"/>
    <n v="136"/>
    <n v="305.3"/>
    <n v="146"/>
  </r>
  <r>
    <x v="2"/>
    <x v="6"/>
    <x v="9"/>
    <x v="161"/>
    <n v="161"/>
    <n v="142.6"/>
    <n v="146.19999999999999"/>
    <n v="123.9"/>
    <n v="148"/>
    <n v="188.4"/>
    <n v="132.5"/>
    <n v="114"/>
    <n v="145.4"/>
    <n v="135.1"/>
    <n v="157.1"/>
    <n v="149.6"/>
    <n v="1885.5999999999997"/>
    <n v="149.4"/>
    <n v="140.80000000000001"/>
    <n v="148.19999999999999"/>
    <n v="438.40000000000003"/>
    <n v="153"/>
    <n v="140.6"/>
    <n v="145"/>
    <x v="234"/>
    <n v="149.4"/>
    <n v="140"/>
    <n v="289.39999999999998"/>
    <n v="126.3"/>
    <n v="141.69999999999999"/>
    <n v="155.4"/>
    <n v="297.10000000000002"/>
    <n v="167.1"/>
    <n v="141"/>
    <n v="308.10000000000002"/>
    <n v="147.19999999999999"/>
  </r>
  <r>
    <x v="0"/>
    <x v="6"/>
    <x v="11"/>
    <x v="161"/>
    <n v="163.69999999999999"/>
    <n v="143.80000000000001"/>
    <n v="147.1"/>
    <n v="126"/>
    <n v="146.19999999999999"/>
    <n v="191.4"/>
    <n v="136.19999999999999"/>
    <n v="113.8"/>
    <n v="147.30000000000001"/>
    <n v="138.69999999999999"/>
    <n v="157.69999999999999"/>
    <n v="150.9"/>
    <n v="1904.6000000000001"/>
    <n v="152.30000000000001"/>
    <n v="147"/>
    <n v="151.5"/>
    <n v="450.8"/>
    <n v="139.25"/>
    <n v="148.4"/>
    <n v="150.9"/>
    <x v="235"/>
    <n v="154.30000000000001"/>
    <n v="140.6"/>
    <n v="294.89999999999998"/>
    <n v="132.1"/>
    <n v="149.1"/>
    <n v="160.80000000000001"/>
    <n v="309.89999999999998"/>
    <n v="167.2"/>
    <n v="146.1"/>
    <n v="313.29999999999995"/>
    <n v="149.9"/>
  </r>
  <r>
    <x v="1"/>
    <x v="6"/>
    <x v="11"/>
    <x v="162"/>
    <n v="162.4"/>
    <n v="148.4"/>
    <n v="145.9"/>
    <n v="121.5"/>
    <n v="148.80000000000001"/>
    <n v="215.7"/>
    <n v="134.6"/>
    <n v="115"/>
    <n v="146.30000000000001"/>
    <n v="130.5"/>
    <n v="157.19999999999999"/>
    <n v="153.6"/>
    <n v="1923.9999999999998"/>
    <n v="146.30000000000001"/>
    <n v="132.6"/>
    <n v="144.19999999999999"/>
    <n v="423.09999999999997"/>
    <n v="153.5"/>
    <n v="132.19999999999999"/>
    <n v="139.1"/>
    <x v="236"/>
    <n v="142.80000000000001"/>
    <n v="139.80000000000001"/>
    <n v="282.60000000000002"/>
    <n v="121.7"/>
    <n v="136.69999999999999"/>
    <n v="151.80000000000001"/>
    <n v="288.5"/>
    <n v="169.9"/>
    <n v="136.30000000000001"/>
    <n v="306.20000000000005"/>
    <n v="147"/>
  </r>
  <r>
    <x v="2"/>
    <x v="6"/>
    <x v="11"/>
    <x v="163"/>
    <n v="163.19999999999999"/>
    <n v="145.6"/>
    <n v="146.69999999999999"/>
    <n v="124.3"/>
    <n v="147.4"/>
    <n v="199.6"/>
    <n v="135.69999999999999"/>
    <n v="114.2"/>
    <n v="147"/>
    <n v="135.30000000000001"/>
    <n v="157.5"/>
    <n v="151.9"/>
    <n v="1910.9"/>
    <n v="149.9"/>
    <n v="141"/>
    <n v="148.6"/>
    <n v="439.5"/>
    <n v="153.5"/>
    <n v="142.30000000000001"/>
    <n v="145.30000000000001"/>
    <x v="237"/>
    <n v="149.9"/>
    <n v="140.30000000000001"/>
    <n v="290.20000000000005"/>
    <n v="126.6"/>
    <n v="142.1"/>
    <n v="155.5"/>
    <n v="297.60000000000002"/>
    <n v="167.9"/>
    <n v="141.30000000000001"/>
    <n v="309.20000000000005"/>
    <n v="148.6"/>
  </r>
  <r>
    <x v="0"/>
    <x v="6"/>
    <x v="12"/>
    <x v="164"/>
    <n v="165.3"/>
    <n v="149.5"/>
    <n v="148.69999999999999"/>
    <n v="127.5"/>
    <n v="144.30000000000001"/>
    <n v="209.5"/>
    <n v="138.80000000000001"/>
    <n v="113.6"/>
    <n v="149.1"/>
    <n v="139.30000000000001"/>
    <n v="158.30000000000001"/>
    <n v="154.30000000000001"/>
    <n v="1940.9999999999995"/>
    <n v="152.6"/>
    <n v="147.30000000000001"/>
    <n v="151.9"/>
    <n v="451.79999999999995"/>
    <n v="139.25"/>
    <n v="149.9"/>
    <n v="151.19999999999999"/>
    <x v="238"/>
    <n v="154.80000000000001"/>
    <n v="140.6"/>
    <n v="295.39999999999998"/>
    <n v="135"/>
    <n v="149.5"/>
    <n v="161.1"/>
    <n v="310.60000000000002"/>
    <n v="167.8"/>
    <n v="147.1"/>
    <n v="314.89999999999998"/>
    <n v="152.30000000000001"/>
  </r>
  <r>
    <x v="1"/>
    <x v="6"/>
    <x v="12"/>
    <x v="165"/>
    <n v="164.5"/>
    <n v="153.69999999999999"/>
    <n v="147.5"/>
    <n v="122.7"/>
    <n v="147.19999999999999"/>
    <n v="231.5"/>
    <n v="137.19999999999999"/>
    <n v="114.7"/>
    <n v="148"/>
    <n v="130.80000000000001"/>
    <n v="157.69999999999999"/>
    <n v="156.30000000000001"/>
    <n v="1956.7"/>
    <n v="146.80000000000001"/>
    <n v="132.80000000000001"/>
    <n v="144.6"/>
    <n v="424.20000000000005"/>
    <n v="152.80000000000001"/>
    <n v="133.6"/>
    <n v="139.80000000000001"/>
    <x v="239"/>
    <n v="143.19999999999999"/>
    <n v="140.19999999999999"/>
    <n v="283.39999999999998"/>
    <n v="125.2"/>
    <n v="136.80000000000001"/>
    <n v="151.9"/>
    <n v="288.70000000000005"/>
    <n v="170.4"/>
    <n v="137.69999999999999"/>
    <n v="308.10000000000002"/>
    <n v="148.30000000000001"/>
  </r>
  <r>
    <x v="2"/>
    <x v="6"/>
    <x v="12"/>
    <x v="160"/>
    <n v="165"/>
    <n v="151.1"/>
    <n v="148.30000000000001"/>
    <n v="125.7"/>
    <n v="145.69999999999999"/>
    <n v="217"/>
    <n v="138.30000000000001"/>
    <n v="114"/>
    <n v="148.69999999999999"/>
    <n v="135.80000000000001"/>
    <n v="158"/>
    <n v="155"/>
    <n v="1946.1000000000001"/>
    <n v="150.30000000000001"/>
    <n v="141.30000000000001"/>
    <n v="149"/>
    <n v="440.6"/>
    <n v="152.80000000000001"/>
    <n v="143.69999999999999"/>
    <n v="145.80000000000001"/>
    <x v="240"/>
    <n v="150.4"/>
    <n v="140.4"/>
    <n v="290.8"/>
    <n v="129.80000000000001"/>
    <n v="142.30000000000001"/>
    <n v="155.69999999999999"/>
    <n v="298"/>
    <n v="168.5"/>
    <n v="142.5"/>
    <n v="311"/>
    <n v="150.4"/>
  </r>
  <r>
    <x v="0"/>
    <x v="7"/>
    <x v="0"/>
    <x v="166"/>
    <n v="167.3"/>
    <n v="153.5"/>
    <n v="150.5"/>
    <n v="132"/>
    <n v="142.19999999999999"/>
    <n v="191.5"/>
    <n v="141.1"/>
    <n v="113.8"/>
    <n v="151.6"/>
    <n v="139.69999999999999"/>
    <n v="158.69999999999999"/>
    <n v="153"/>
    <n v="1938.6"/>
    <n v="152.80000000000001"/>
    <n v="147.4"/>
    <n v="152.1"/>
    <n v="452.30000000000007"/>
    <n v="139.25"/>
    <n v="150.4"/>
    <n v="151.69999999999999"/>
    <x v="241"/>
    <n v="155.69999999999999"/>
    <n v="142.5"/>
    <n v="298.2"/>
    <n v="136.30000000000001"/>
    <n v="150.1"/>
    <n v="161.69999999999999"/>
    <n v="311.79999999999995"/>
    <n v="168.6"/>
    <n v="148.1"/>
    <n v="316.7"/>
    <n v="151.9"/>
  </r>
  <r>
    <x v="1"/>
    <x v="7"/>
    <x v="0"/>
    <x v="167"/>
    <n v="167.6"/>
    <n v="157"/>
    <n v="149.30000000000001"/>
    <n v="126.3"/>
    <n v="144.4"/>
    <n v="207.8"/>
    <n v="139.1"/>
    <n v="114.8"/>
    <n v="149.5"/>
    <n v="131.1"/>
    <n v="158.5"/>
    <n v="154.4"/>
    <n v="1945.3999999999999"/>
    <n v="147"/>
    <n v="133.19999999999999"/>
    <n v="144.9"/>
    <n v="425.1"/>
    <n v="153.9"/>
    <n v="135.1"/>
    <n v="140.1"/>
    <x v="242"/>
    <n v="143.80000000000001"/>
    <n v="142.1"/>
    <n v="285.89999999999998"/>
    <n v="126.1"/>
    <n v="137.19999999999999"/>
    <n v="152.1"/>
    <n v="289.29999999999995"/>
    <n v="170.8"/>
    <n v="138.4"/>
    <n v="309.20000000000005"/>
    <n v="148.19999999999999"/>
  </r>
  <r>
    <x v="2"/>
    <x v="7"/>
    <x v="0"/>
    <x v="168"/>
    <n v="167.4"/>
    <n v="154.9"/>
    <n v="150.1"/>
    <n v="129.9"/>
    <n v="143.19999999999999"/>
    <n v="197"/>
    <n v="140.4"/>
    <n v="114.1"/>
    <n v="150.9"/>
    <n v="136.1"/>
    <n v="158.6"/>
    <n v="153.5"/>
    <n v="1940.3999999999999"/>
    <n v="150.5"/>
    <n v="141.5"/>
    <n v="149.19999999999999"/>
    <n v="441.2"/>
    <n v="153.9"/>
    <n v="144.6"/>
    <n v="146.19999999999999"/>
    <x v="243"/>
    <n v="151.19999999999999"/>
    <n v="142.30000000000001"/>
    <n v="293.5"/>
    <n v="130.9"/>
    <n v="142.80000000000001"/>
    <n v="156.1"/>
    <n v="298.89999999999998"/>
    <n v="169.2"/>
    <n v="143.4"/>
    <n v="312.60000000000002"/>
    <n v="150.19999999999999"/>
  </r>
  <r>
    <x v="0"/>
    <x v="7"/>
    <x v="1"/>
    <x v="169"/>
    <n v="167.5"/>
    <n v="150.9"/>
    <n v="150.9"/>
    <n v="133.69999999999999"/>
    <n v="140.69999999999999"/>
    <n v="165.1"/>
    <n v="141.80000000000001"/>
    <n v="113.1"/>
    <n v="152.80000000000001"/>
    <n v="140.1"/>
    <n v="159.19999999999999"/>
    <n v="149.80000000000001"/>
    <n v="1909.7999999999997"/>
    <n v="153"/>
    <n v="147.5"/>
    <n v="152.30000000000001"/>
    <n v="452.8"/>
    <n v="139.25"/>
    <n v="152.30000000000001"/>
    <n v="151.80000000000001"/>
    <x v="244"/>
    <n v="156.19999999999999"/>
    <n v="143.4"/>
    <n v="299.60000000000002"/>
    <n v="136"/>
    <n v="150.4"/>
    <n v="161.9"/>
    <n v="312.3"/>
    <n v="169.4"/>
    <n v="148.4"/>
    <n v="317.8"/>
    <n v="150.4"/>
  </r>
  <r>
    <x v="1"/>
    <x v="7"/>
    <x v="1"/>
    <x v="170"/>
    <n v="167.6"/>
    <n v="153.1"/>
    <n v="150.69999999999999"/>
    <n v="127.4"/>
    <n v="143.1"/>
    <n v="181.7"/>
    <n v="139.6"/>
    <n v="114.6"/>
    <n v="150.4"/>
    <n v="131.5"/>
    <n v="159"/>
    <n v="151.69999999999999"/>
    <n v="1916.6"/>
    <n v="147.30000000000001"/>
    <n v="133.5"/>
    <n v="145.19999999999999"/>
    <n v="426"/>
    <n v="154.80000000000001"/>
    <n v="138.9"/>
    <n v="140.4"/>
    <x v="245"/>
    <n v="144.4"/>
    <n v="143.5"/>
    <n v="287.89999999999998"/>
    <n v="125.2"/>
    <n v="137.69999999999999"/>
    <n v="152.19999999999999"/>
    <n v="289.89999999999998"/>
    <n v="172"/>
    <n v="138.4"/>
    <n v="310.39999999999998"/>
    <n v="147.69999999999999"/>
  </r>
  <r>
    <x v="2"/>
    <x v="7"/>
    <x v="1"/>
    <x v="171"/>
    <n v="167.5"/>
    <n v="151.80000000000001"/>
    <n v="150.80000000000001"/>
    <n v="131.4"/>
    <n v="141.80000000000001"/>
    <n v="170.7"/>
    <n v="141.1"/>
    <n v="113.6"/>
    <n v="152"/>
    <n v="136.5"/>
    <n v="159.1"/>
    <n v="150.5"/>
    <n v="1911.6"/>
    <n v="150.80000000000001"/>
    <n v="141.69999999999999"/>
    <n v="149.5"/>
    <n v="442"/>
    <n v="154.80000000000001"/>
    <n v="147.19999999999999"/>
    <n v="146.4"/>
    <x v="246"/>
    <n v="151.69999999999999"/>
    <n v="143.4"/>
    <n v="295.10000000000002"/>
    <n v="130.30000000000001"/>
    <n v="143.19999999999999"/>
    <n v="156.19999999999999"/>
    <n v="299.39999999999998"/>
    <n v="170.1"/>
    <n v="143.6"/>
    <n v="313.7"/>
    <n v="149.1"/>
  </r>
  <r>
    <x v="0"/>
    <x v="7"/>
    <x v="2"/>
    <x v="172"/>
    <n v="166.8"/>
    <n v="147.6"/>
    <n v="151.69999999999999"/>
    <n v="133.30000000000001"/>
    <n v="141.80000000000001"/>
    <n v="152.30000000000001"/>
    <n v="141.80000000000001"/>
    <n v="112.6"/>
    <n v="154"/>
    <n v="140.1"/>
    <n v="160"/>
    <n v="148.19999999999999"/>
    <n v="1894.5999999999997"/>
    <n v="153.4"/>
    <n v="147.6"/>
    <n v="152.5"/>
    <n v="453.5"/>
    <n v="139.25"/>
    <n v="153.4"/>
    <n v="151.5"/>
    <x v="247"/>
    <n v="156.69999999999999"/>
    <n v="145.1"/>
    <n v="301.79999999999995"/>
    <n v="135.80000000000001"/>
    <n v="151.19999999999999"/>
    <n v="161.19999999999999"/>
    <n v="312.39999999999998"/>
    <n v="170.5"/>
    <n v="148.6"/>
    <n v="319.10000000000002"/>
    <n v="149.80000000000001"/>
  </r>
  <r>
    <x v="1"/>
    <x v="7"/>
    <x v="2"/>
    <x v="173"/>
    <n v="167.5"/>
    <n v="148.9"/>
    <n v="151.1"/>
    <n v="127.5"/>
    <n v="143.30000000000001"/>
    <n v="167"/>
    <n v="139.69999999999999"/>
    <n v="114.4"/>
    <n v="151.5"/>
    <n v="131.9"/>
    <n v="159.1"/>
    <n v="150.1"/>
    <n v="1898.5"/>
    <n v="147.69999999999999"/>
    <n v="133.80000000000001"/>
    <n v="145.6"/>
    <n v="427.1"/>
    <n v="154.5"/>
    <n v="141.4"/>
    <n v="140.80000000000001"/>
    <x v="248"/>
    <n v="145"/>
    <n v="145.30000000000001"/>
    <n v="290.3"/>
    <n v="124.6"/>
    <n v="137.9"/>
    <n v="152.5"/>
    <n v="290.39999999999998"/>
    <n v="173.3"/>
    <n v="138.69999999999999"/>
    <n v="312"/>
    <n v="147.30000000000001"/>
  </r>
  <r>
    <x v="2"/>
    <x v="7"/>
    <x v="2"/>
    <x v="174"/>
    <n v="167"/>
    <n v="148.1"/>
    <n v="151.5"/>
    <n v="131.19999999999999"/>
    <n v="142.5"/>
    <n v="157.30000000000001"/>
    <n v="141.1"/>
    <n v="113.2"/>
    <n v="153.19999999999999"/>
    <n v="136.69999999999999"/>
    <n v="159.6"/>
    <n v="148.9"/>
    <n v="1895.4"/>
    <n v="151.19999999999999"/>
    <n v="141.9"/>
    <n v="149.80000000000001"/>
    <n v="442.90000000000003"/>
    <n v="154.5"/>
    <n v="148.9"/>
    <n v="146.4"/>
    <x v="249"/>
    <n v="152.30000000000001"/>
    <n v="145.19999999999999"/>
    <n v="297.5"/>
    <n v="129.9"/>
    <n v="143.69999999999999"/>
    <n v="156.1"/>
    <n v="299.79999999999995"/>
    <n v="171.2"/>
    <n v="143.80000000000001"/>
    <n v="315"/>
    <n v="148.6"/>
  </r>
  <r>
    <x v="0"/>
    <x v="7"/>
    <x v="3"/>
    <x v="175"/>
    <s v="NA"/>
    <n v="146.9"/>
    <n v="155.6"/>
    <n v="137.1"/>
    <n v="147.30000000000001"/>
    <n v="162.69999999999999"/>
    <n v="150.19999999999999"/>
    <n v="119.8"/>
    <n v="158.69999999999999"/>
    <n v="139.19999999999999"/>
    <s v="NA"/>
    <n v="150.1"/>
    <s v="NA"/>
    <s v="NA"/>
    <s v="NA"/>
    <s v="NA"/>
    <s v="NA"/>
    <n v="139.25"/>
    <n v="148.4"/>
    <s v="NA"/>
    <x v="250"/>
    <n v="154.30000000000001"/>
    <s v="NA"/>
    <s v="NA"/>
    <s v="NA"/>
    <s v="NA"/>
    <s v="NA"/>
    <s v="NA"/>
    <s v="NA"/>
    <s v="NA"/>
    <s v="NA"/>
    <s v="NA"/>
  </r>
  <r>
    <x v="1"/>
    <x v="7"/>
    <x v="3"/>
    <x v="176"/>
    <s v="NA"/>
    <n v="151.9"/>
    <n v="155.5"/>
    <n v="131.6"/>
    <n v="152.9"/>
    <n v="180"/>
    <n v="150.80000000000001"/>
    <n v="121.2"/>
    <n v="154"/>
    <n v="133.5"/>
    <s v="NA"/>
    <n v="153.5"/>
    <s v="NA"/>
    <s v="NA"/>
    <s v="NA"/>
    <s v="NA"/>
    <s v="NA"/>
    <n v="155.6"/>
    <n v="137.1"/>
    <s v="NA"/>
    <x v="250"/>
    <n v="144.80000000000001"/>
    <s v="NA"/>
    <s v="NA"/>
    <s v="NA"/>
    <s v="NA"/>
    <s v="NA"/>
    <s v="NA"/>
    <s v="NA"/>
    <s v="NA"/>
    <s v="NA"/>
    <s v="NA"/>
  </r>
  <r>
    <x v="2"/>
    <x v="7"/>
    <x v="3"/>
    <x v="177"/>
    <s v="NA"/>
    <n v="148.80000000000001"/>
    <n v="155.6"/>
    <n v="135.1"/>
    <n v="149.9"/>
    <n v="168.6"/>
    <n v="150.4"/>
    <n v="120.3"/>
    <n v="157.1"/>
    <n v="136.80000000000001"/>
    <s v="NA"/>
    <n v="151.4"/>
    <s v="NA"/>
    <s v="NA"/>
    <s v="NA"/>
    <s v="NA"/>
    <s v="NA"/>
    <n v="155.6"/>
    <n v="144.1"/>
    <s v="NA"/>
    <x v="250"/>
    <n v="150.69999999999999"/>
    <s v="NA"/>
    <s v="NA"/>
    <s v="NA"/>
    <s v="NA"/>
    <s v="NA"/>
    <s v="NA"/>
    <s v="NA"/>
    <s v="NA"/>
    <s v="NA"/>
    <s v="NA"/>
  </r>
  <r>
    <x v="0"/>
    <x v="7"/>
    <x v="4"/>
    <x v="178"/>
    <s v="NA"/>
    <s v="NA"/>
    <s v="NA"/>
    <s v="NA"/>
    <s v="NA"/>
    <s v="NA"/>
    <s v="NA"/>
    <s v="NA"/>
    <s v="NA"/>
    <s v="NA"/>
    <s v="NA"/>
    <s v="NA"/>
    <s v="NA"/>
    <s v="NA"/>
    <s v="NA"/>
    <s v="NA"/>
    <s v="NA"/>
    <n v="139.25"/>
    <s v="NA"/>
    <s v="NA"/>
    <x v="250"/>
    <s v="NA"/>
    <s v="NA"/>
    <s v="NA"/>
    <s v="NA"/>
    <s v="NA"/>
    <s v="NA"/>
    <s v="NA"/>
    <s v="NA"/>
    <s v="NA"/>
    <s v="NA"/>
    <s v="NA"/>
  </r>
  <r>
    <x v="1"/>
    <x v="7"/>
    <x v="4"/>
    <x v="178"/>
    <s v="NA"/>
    <s v="NA"/>
    <s v="NA"/>
    <s v="NA"/>
    <s v="NA"/>
    <s v="NA"/>
    <s v="NA"/>
    <s v="NA"/>
    <s v="NA"/>
    <s v="NA"/>
    <s v="NA"/>
    <s v="NA"/>
    <s v="NA"/>
    <s v="NA"/>
    <s v="NA"/>
    <s v="NA"/>
    <s v="NA"/>
    <n v="139.25"/>
    <s v="NA"/>
    <s v="NA"/>
    <x v="250"/>
    <s v="NA"/>
    <s v="NA"/>
    <s v="NA"/>
    <s v="NA"/>
    <s v="NA"/>
    <s v="NA"/>
    <s v="NA"/>
    <s v="NA"/>
    <s v="NA"/>
    <s v="NA"/>
    <s v="NA"/>
  </r>
  <r>
    <x v="2"/>
    <x v="7"/>
    <x v="4"/>
    <x v="178"/>
    <s v="NA"/>
    <s v="NA"/>
    <s v="NA"/>
    <s v="NA"/>
    <s v="NA"/>
    <s v="NA"/>
    <s v="NA"/>
    <s v="NA"/>
    <s v="NA"/>
    <s v="NA"/>
    <s v="NA"/>
    <s v="NA"/>
    <s v="NA"/>
    <s v="NA"/>
    <s v="NA"/>
    <s v="NA"/>
    <s v="NA"/>
    <n v="139.25"/>
    <s v="NA"/>
    <s v="NA"/>
    <x v="250"/>
    <s v="NA"/>
    <s v="NA"/>
    <s v="NA"/>
    <s v="NA"/>
    <s v="NA"/>
    <s v="NA"/>
    <s v="NA"/>
    <s v="NA"/>
    <s v="NA"/>
    <s v="NA"/>
    <s v="NA"/>
  </r>
  <r>
    <x v="0"/>
    <x v="7"/>
    <x v="5"/>
    <x v="179"/>
    <n v="190.3"/>
    <n v="149.4"/>
    <n v="153.30000000000001"/>
    <n v="138.19999999999999"/>
    <n v="143.19999999999999"/>
    <n v="148.9"/>
    <n v="150.30000000000001"/>
    <n v="113.2"/>
    <n v="159.80000000000001"/>
    <n v="142.1"/>
    <n v="161.80000000000001"/>
    <n v="152.30000000000001"/>
    <n v="1951"/>
    <n v="154.69999999999999"/>
    <n v="150"/>
    <n v="154.1"/>
    <n v="458.79999999999995"/>
    <n v="139.25"/>
    <n v="144.9"/>
    <n v="151.69999999999999"/>
    <x v="227"/>
    <n v="158.19999999999999"/>
    <n v="151.19999999999999"/>
    <n v="309.39999999999998"/>
    <n v="141.4"/>
    <n v="153.19999999999999"/>
    <n v="161.80000000000001"/>
    <n v="315"/>
    <n v="182.4"/>
    <n v="151.69999999999999"/>
    <n v="334.1"/>
    <n v="152.69999999999999"/>
  </r>
  <r>
    <x v="1"/>
    <x v="7"/>
    <x v="5"/>
    <x v="180"/>
    <n v="197"/>
    <n v="154.6"/>
    <n v="153.4"/>
    <n v="132.9"/>
    <n v="151.80000000000001"/>
    <n v="171.2"/>
    <n v="152"/>
    <n v="116.3"/>
    <n v="158.80000000000001"/>
    <n v="135.6"/>
    <n v="161.69999999999999"/>
    <n v="157"/>
    <n v="1994.9999999999998"/>
    <n v="149.1"/>
    <n v="136.6"/>
    <n v="147.19999999999999"/>
    <n v="432.9"/>
    <n v="154.69999999999999"/>
    <n v="137.1"/>
    <n v="140.4"/>
    <x v="251"/>
    <n v="148.1"/>
    <n v="152.19999999999999"/>
    <n v="300.29999999999995"/>
    <n v="129.30000000000001"/>
    <n v="144.5"/>
    <n v="152.5"/>
    <n v="297"/>
    <n v="186.7"/>
    <n v="142"/>
    <n v="328.7"/>
    <n v="150.80000000000001"/>
  </r>
  <r>
    <x v="2"/>
    <x v="7"/>
    <x v="5"/>
    <x v="181"/>
    <n v="192.7"/>
    <n v="151.4"/>
    <n v="153.30000000000001"/>
    <n v="136.30000000000001"/>
    <n v="147.19999999999999"/>
    <n v="156.5"/>
    <n v="150.9"/>
    <n v="114.2"/>
    <n v="159.5"/>
    <n v="139.4"/>
    <n v="161.80000000000001"/>
    <n v="154"/>
    <n v="1966.8000000000002"/>
    <n v="152.5"/>
    <n v="144.4"/>
    <n v="151.4"/>
    <n v="448.29999999999995"/>
    <n v="154.69999999999999"/>
    <n v="141.9"/>
    <n v="146.4"/>
    <x v="252"/>
    <n v="154.4"/>
    <n v="151.6"/>
    <n v="306"/>
    <n v="135"/>
    <n v="148.30000000000001"/>
    <n v="156.4"/>
    <n v="304.70000000000005"/>
    <n v="183.5"/>
    <n v="147"/>
    <n v="330.5"/>
    <n v="151.80000000000001"/>
  </r>
  <r>
    <x v="0"/>
    <x v="7"/>
    <x v="6"/>
    <x v="179"/>
    <n v="190.3"/>
    <n v="149.4"/>
    <n v="153.30000000000001"/>
    <n v="138.19999999999999"/>
    <n v="143.19999999999999"/>
    <n v="148.9"/>
    <n v="150.30000000000001"/>
    <n v="113.2"/>
    <n v="159.80000000000001"/>
    <n v="142.1"/>
    <n v="161.80000000000001"/>
    <n v="152.30000000000001"/>
    <n v="1951"/>
    <n v="154.69999999999999"/>
    <n v="150"/>
    <n v="154.1"/>
    <n v="458.79999999999995"/>
    <n v="139.25"/>
    <n v="144.9"/>
    <n v="151.69999999999999"/>
    <x v="227"/>
    <n v="158.19999999999999"/>
    <n v="151.19999999999999"/>
    <n v="309.39999999999998"/>
    <n v="141.4"/>
    <n v="153.19999999999999"/>
    <n v="161.80000000000001"/>
    <n v="315"/>
    <n v="182.4"/>
    <n v="151.69999999999999"/>
    <n v="334.1"/>
    <n v="152.69999999999999"/>
  </r>
  <r>
    <x v="1"/>
    <x v="7"/>
    <x v="6"/>
    <x v="180"/>
    <n v="197"/>
    <n v="154.6"/>
    <n v="153.4"/>
    <n v="132.9"/>
    <n v="151.80000000000001"/>
    <n v="171.2"/>
    <n v="152"/>
    <n v="116.3"/>
    <n v="158.80000000000001"/>
    <n v="135.6"/>
    <n v="161.69999999999999"/>
    <n v="157"/>
    <n v="1994.9999999999998"/>
    <n v="149.1"/>
    <n v="136.6"/>
    <n v="147.19999999999999"/>
    <n v="432.9"/>
    <n v="154.69999999999999"/>
    <n v="137.1"/>
    <n v="140.4"/>
    <x v="251"/>
    <n v="148.1"/>
    <n v="152.19999999999999"/>
    <n v="300.29999999999995"/>
    <n v="129.30000000000001"/>
    <n v="144.5"/>
    <n v="152.5"/>
    <n v="297"/>
    <n v="186.7"/>
    <n v="142"/>
    <n v="328.7"/>
    <n v="150.80000000000001"/>
  </r>
  <r>
    <x v="2"/>
    <x v="7"/>
    <x v="6"/>
    <x v="181"/>
    <n v="192.7"/>
    <n v="151.4"/>
    <n v="153.30000000000001"/>
    <n v="136.30000000000001"/>
    <n v="147.19999999999999"/>
    <n v="156.5"/>
    <n v="150.9"/>
    <n v="114.2"/>
    <n v="159.5"/>
    <n v="139.4"/>
    <n v="161.80000000000001"/>
    <n v="154"/>
    <n v="1966.8000000000002"/>
    <n v="152.5"/>
    <n v="144.4"/>
    <n v="151.4"/>
    <n v="448.29999999999995"/>
    <n v="154.69999999999999"/>
    <n v="141.9"/>
    <n v="146.4"/>
    <x v="252"/>
    <n v="154.4"/>
    <n v="151.6"/>
    <n v="306"/>
    <n v="135"/>
    <n v="148.30000000000001"/>
    <n v="156.4"/>
    <n v="304.70000000000005"/>
    <n v="183.5"/>
    <n v="147"/>
    <n v="330.5"/>
    <n v="151.80000000000001"/>
  </r>
  <r>
    <x v="0"/>
    <x v="7"/>
    <x v="7"/>
    <x v="182"/>
    <n v="187.2"/>
    <n v="148.4"/>
    <n v="153.30000000000001"/>
    <n v="139.80000000000001"/>
    <n v="146.9"/>
    <n v="171"/>
    <n v="149.9"/>
    <n v="114.2"/>
    <n v="160"/>
    <n v="143.5"/>
    <n v="161.5"/>
    <n v="155.30000000000001"/>
    <n v="1978.6"/>
    <n v="155.1"/>
    <n v="149.30000000000001"/>
    <n v="154.30000000000001"/>
    <n v="458.7"/>
    <n v="139.25"/>
    <n v="145.80000000000001"/>
    <n v="151.9"/>
    <x v="253"/>
    <n v="158.80000000000001"/>
    <n v="153.6"/>
    <n v="312.39999999999998"/>
    <n v="143.6"/>
    <n v="152.19999999999999"/>
    <n v="162.69999999999999"/>
    <n v="314.89999999999998"/>
    <n v="180.9"/>
    <n v="153"/>
    <n v="333.9"/>
    <n v="154.69999999999999"/>
  </r>
  <r>
    <x v="1"/>
    <x v="7"/>
    <x v="7"/>
    <x v="183"/>
    <n v="197.8"/>
    <n v="154.5"/>
    <n v="153.4"/>
    <n v="133.4"/>
    <n v="154.5"/>
    <n v="191.9"/>
    <n v="151.30000000000001"/>
    <n v="116.8"/>
    <n v="160"/>
    <n v="136.5"/>
    <n v="163.30000000000001"/>
    <n v="159.9"/>
    <n v="2024.8999999999999"/>
    <n v="150"/>
    <n v="135.19999999999999"/>
    <n v="147.80000000000001"/>
    <n v="433"/>
    <n v="155.5"/>
    <n v="138.30000000000001"/>
    <n v="144.5"/>
    <x v="254"/>
    <n v="148.69999999999999"/>
    <n v="155.19999999999999"/>
    <n v="303.89999999999998"/>
    <n v="133.9"/>
    <n v="141.19999999999999"/>
    <n v="155.5"/>
    <n v="296.7"/>
    <n v="187.2"/>
    <n v="144.80000000000001"/>
    <n v="332"/>
    <n v="152.9"/>
  </r>
  <r>
    <x v="2"/>
    <x v="7"/>
    <x v="7"/>
    <x v="184"/>
    <n v="190.9"/>
    <n v="150.80000000000001"/>
    <n v="153.30000000000001"/>
    <n v="137.4"/>
    <n v="150.4"/>
    <n v="178.1"/>
    <n v="150.4"/>
    <n v="115.1"/>
    <n v="160"/>
    <n v="140.6"/>
    <n v="162.30000000000001"/>
    <n v="157"/>
    <n v="1995.1999999999998"/>
    <n v="153.1"/>
    <n v="143.4"/>
    <n v="151.69999999999999"/>
    <n v="448.2"/>
    <n v="155.5"/>
    <n v="143"/>
    <n v="148.4"/>
    <x v="255"/>
    <n v="155"/>
    <n v="154.30000000000001"/>
    <n v="309.3"/>
    <n v="138.5"/>
    <n v="146"/>
    <n v="158.5"/>
    <n v="304.5"/>
    <n v="182.6"/>
    <n v="149"/>
    <n v="331.6"/>
    <n v="153.9"/>
  </r>
  <r>
    <x v="0"/>
    <x v="7"/>
    <x v="8"/>
    <x v="185"/>
    <n v="183.9"/>
    <n v="149.5"/>
    <n v="153.4"/>
    <n v="140.4"/>
    <n v="147"/>
    <n v="178.8"/>
    <n v="149.30000000000001"/>
    <n v="115.1"/>
    <n v="160"/>
    <n v="145.4"/>
    <n v="161.6"/>
    <n v="156.1"/>
    <n v="1987.3999999999999"/>
    <n v="155.4"/>
    <n v="149.9"/>
    <n v="154.6"/>
    <n v="459.9"/>
    <n v="139.25"/>
    <n v="146.4"/>
    <n v="151.6"/>
    <x v="256"/>
    <n v="159.1"/>
    <n v="157.4"/>
    <n v="316.5"/>
    <n v="144.6"/>
    <n v="152.80000000000001"/>
    <n v="161.1"/>
    <n v="313.89999999999998"/>
    <n v="182.9"/>
    <n v="153.69999999999999"/>
    <n v="336.6"/>
    <n v="155.4"/>
  </r>
  <r>
    <x v="1"/>
    <x v="7"/>
    <x v="8"/>
    <x v="186"/>
    <n v="193.1"/>
    <n v="157.30000000000001"/>
    <n v="153.9"/>
    <n v="134.4"/>
    <n v="155.4"/>
    <n v="202"/>
    <n v="150.80000000000001"/>
    <n v="118.9"/>
    <n v="160.9"/>
    <n v="137.69999999999999"/>
    <n v="164.4"/>
    <n v="161.30000000000001"/>
    <n v="2041.6000000000001"/>
    <n v="150.19999999999999"/>
    <n v="136.30000000000001"/>
    <n v="148.1"/>
    <n v="434.6"/>
    <n v="156.30000000000001"/>
    <n v="137.19999999999999"/>
    <n v="145.4"/>
    <x v="257"/>
    <n v="150"/>
    <n v="159.80000000000001"/>
    <n v="309.8"/>
    <n v="135.1"/>
    <n v="141.80000000000001"/>
    <n v="154.9"/>
    <n v="296.70000000000005"/>
    <n v="188.7"/>
    <n v="146"/>
    <n v="334.7"/>
    <n v="154"/>
  </r>
  <r>
    <x v="2"/>
    <x v="7"/>
    <x v="8"/>
    <x v="187"/>
    <n v="187.1"/>
    <n v="152.5"/>
    <n v="153.6"/>
    <n v="138.19999999999999"/>
    <n v="150.9"/>
    <n v="186.7"/>
    <n v="149.80000000000001"/>
    <n v="116.4"/>
    <n v="160.30000000000001"/>
    <n v="142.19999999999999"/>
    <n v="162.9"/>
    <n v="158"/>
    <n v="2007"/>
    <n v="153.4"/>
    <n v="144.30000000000001"/>
    <n v="152"/>
    <n v="449.70000000000005"/>
    <n v="156.30000000000001"/>
    <n v="142.9"/>
    <n v="148.69999999999999"/>
    <x v="258"/>
    <n v="155.6"/>
    <n v="158.4"/>
    <n v="314"/>
    <n v="139.6"/>
    <n v="146.6"/>
    <n v="157.5"/>
    <n v="304.10000000000002"/>
    <n v="184.4"/>
    <n v="150"/>
    <n v="334.4"/>
    <n v="154.69999999999999"/>
  </r>
  <r>
    <x v="0"/>
    <x v="7"/>
    <x v="9"/>
    <x v="188"/>
    <n v="186.3"/>
    <n v="159.19999999999999"/>
    <n v="153.6"/>
    <n v="142.6"/>
    <n v="147.19999999999999"/>
    <n v="200.6"/>
    <n v="150.30000000000001"/>
    <n v="115.3"/>
    <n v="160.9"/>
    <n v="147.4"/>
    <n v="161.9"/>
    <n v="159.6"/>
    <n v="2030.9"/>
    <n v="155.69999999999999"/>
    <n v="150.6"/>
    <n v="155"/>
    <n v="461.29999999999995"/>
    <n v="139.25"/>
    <n v="146.80000000000001"/>
    <n v="152"/>
    <x v="259"/>
    <n v="159.5"/>
    <n v="156.19999999999999"/>
    <n v="315.7"/>
    <n v="146.4"/>
    <n v="152.4"/>
    <n v="162.5"/>
    <n v="314.89999999999998"/>
    <n v="182.7"/>
    <n v="154.30000000000001"/>
    <n v="337"/>
    <n v="157.5"/>
  </r>
  <r>
    <x v="1"/>
    <x v="7"/>
    <x v="9"/>
    <x v="189"/>
    <n v="193.7"/>
    <n v="164.8"/>
    <n v="153.69999999999999"/>
    <n v="135.69999999999999"/>
    <n v="155.69999999999999"/>
    <n v="226"/>
    <n v="152.19999999999999"/>
    <n v="118.1"/>
    <n v="161.30000000000001"/>
    <n v="139.19999999999999"/>
    <n v="164.8"/>
    <n v="164.4"/>
    <n v="2080.1999999999998"/>
    <n v="150.5"/>
    <n v="136.1"/>
    <n v="148.30000000000001"/>
    <n v="434.90000000000003"/>
    <n v="156.5"/>
    <n v="137.1"/>
    <n v="145.1"/>
    <x v="260"/>
    <n v="151"/>
    <n v="158.1"/>
    <n v="309.10000000000002"/>
    <n v="135.4"/>
    <n v="142"/>
    <n v="155.69999999999999"/>
    <n v="297.7"/>
    <n v="188.7"/>
    <n v="146.19999999999999"/>
    <n v="334.9"/>
    <n v="155.19999999999999"/>
  </r>
  <r>
    <x v="2"/>
    <x v="7"/>
    <x v="9"/>
    <x v="190"/>
    <n v="188.9"/>
    <n v="161.4"/>
    <n v="153.6"/>
    <n v="140.1"/>
    <n v="151.19999999999999"/>
    <n v="209.2"/>
    <n v="150.9"/>
    <n v="116.2"/>
    <n v="161"/>
    <n v="144"/>
    <n v="163.19999999999999"/>
    <n v="161.4"/>
    <n v="2048.6000000000004"/>
    <n v="153.69999999999999"/>
    <n v="144.6"/>
    <n v="152.30000000000001"/>
    <n v="450.59999999999997"/>
    <n v="156.5"/>
    <n v="143.1"/>
    <n v="148.69999999999999"/>
    <x v="261"/>
    <n v="156.30000000000001"/>
    <n v="157"/>
    <n v="313.3"/>
    <n v="140.6"/>
    <n v="146.5"/>
    <n v="158.5"/>
    <n v="305"/>
    <n v="184.3"/>
    <n v="150.4"/>
    <n v="334.70000000000005"/>
    <n v="156.4"/>
  </r>
  <r>
    <x v="0"/>
    <x v="7"/>
    <x v="11"/>
    <x v="191"/>
    <n v="188.6"/>
    <n v="171.6"/>
    <n v="153.80000000000001"/>
    <n v="145.4"/>
    <n v="146.5"/>
    <n v="222.2"/>
    <n v="155.9"/>
    <n v="114.9"/>
    <n v="162"/>
    <n v="150"/>
    <n v="162.69999999999999"/>
    <n v="163.4"/>
    <n v="2082.4"/>
    <n v="156.30000000000001"/>
    <n v="151"/>
    <n v="155.5"/>
    <n v="462.8"/>
    <n v="139.25"/>
    <n v="147.5"/>
    <n v="152.80000000000001"/>
    <x v="262"/>
    <n v="160.4"/>
    <n v="156.19999999999999"/>
    <n v="316.60000000000002"/>
    <n v="146.1"/>
    <n v="153.6"/>
    <n v="161.6"/>
    <n v="315.2"/>
    <n v="183.4"/>
    <n v="154.5"/>
    <n v="337.9"/>
    <n v="159.80000000000001"/>
  </r>
  <r>
    <x v="1"/>
    <x v="7"/>
    <x v="11"/>
    <x v="192"/>
    <n v="195.5"/>
    <n v="176.9"/>
    <n v="153.9"/>
    <n v="138"/>
    <n v="150.5"/>
    <n v="245.3"/>
    <n v="158.69999999999999"/>
    <n v="117.2"/>
    <n v="161.4"/>
    <n v="141.5"/>
    <n v="165.1"/>
    <n v="167"/>
    <n v="2120.6999999999998"/>
    <n v="151.1"/>
    <n v="136.4"/>
    <n v="148.80000000000001"/>
    <n v="436.3"/>
    <n v="158"/>
    <n v="137.30000000000001"/>
    <n v="145.1"/>
    <x v="263"/>
    <n v="152"/>
    <n v="157.9"/>
    <n v="309.89999999999998"/>
    <n v="135.19999999999999"/>
    <n v="144.4"/>
    <n v="156.4"/>
    <n v="300.8"/>
    <n v="188.8"/>
    <n v="146.6"/>
    <n v="335.4"/>
    <n v="156.69999999999999"/>
  </r>
  <r>
    <x v="2"/>
    <x v="7"/>
    <x v="11"/>
    <x v="193"/>
    <n v="191"/>
    <n v="173.6"/>
    <n v="153.80000000000001"/>
    <n v="142.69999999999999"/>
    <n v="148.4"/>
    <n v="230"/>
    <n v="156.80000000000001"/>
    <n v="115.7"/>
    <n v="161.80000000000001"/>
    <n v="146.5"/>
    <n v="163.80000000000001"/>
    <n v="164.7"/>
    <n v="2095.6"/>
    <n v="154.30000000000001"/>
    <n v="144.9"/>
    <n v="152.80000000000001"/>
    <n v="452.00000000000006"/>
    <n v="158"/>
    <n v="143.6"/>
    <n v="149.19999999999999"/>
    <x v="264"/>
    <n v="157.19999999999999"/>
    <n v="156.9"/>
    <n v="314.10000000000002"/>
    <n v="140.4"/>
    <n v="148.4"/>
    <n v="158.6"/>
    <n v="307"/>
    <n v="184.8"/>
    <n v="150.69999999999999"/>
    <n v="335.5"/>
    <n v="158.4"/>
  </r>
  <r>
    <x v="0"/>
    <x v="7"/>
    <x v="12"/>
    <x v="194"/>
    <n v="188.5"/>
    <n v="173.4"/>
    <n v="154"/>
    <n v="150"/>
    <n v="145.9"/>
    <n v="225.2"/>
    <n v="159.5"/>
    <n v="114.4"/>
    <n v="163.5"/>
    <n v="153.4"/>
    <n v="163.6"/>
    <n v="164.5"/>
    <n v="2100.5"/>
    <n v="157"/>
    <n v="151.6"/>
    <n v="156.30000000000001"/>
    <n v="464.90000000000003"/>
    <n v="139.25"/>
    <n v="148.69999999999999"/>
    <n v="153.4"/>
    <x v="265"/>
    <n v="161.6"/>
    <n v="156.6"/>
    <n v="318.2"/>
    <n v="146.4"/>
    <n v="153.9"/>
    <n v="162.9"/>
    <n v="316.8"/>
    <n v="183.6"/>
    <n v="155.19999999999999"/>
    <n v="338.79999999999995"/>
    <n v="160.69999999999999"/>
  </r>
  <r>
    <x v="1"/>
    <x v="7"/>
    <x v="12"/>
    <x v="195"/>
    <n v="195.7"/>
    <n v="178.3"/>
    <n v="154.19999999999999"/>
    <n v="140.69999999999999"/>
    <n v="149.69999999999999"/>
    <n v="240.9"/>
    <n v="161.5"/>
    <n v="117.1"/>
    <n v="161.9"/>
    <n v="143.30000000000001"/>
    <n v="166.1"/>
    <n v="167"/>
    <n v="2125.4"/>
    <n v="151.9"/>
    <n v="136.69999999999999"/>
    <n v="149.6"/>
    <n v="438.20000000000005"/>
    <n v="158.4"/>
    <n v="137.9"/>
    <n v="145.5"/>
    <x v="266"/>
    <n v="152.9"/>
    <n v="157.9"/>
    <n v="310.8"/>
    <n v="135.5"/>
    <n v="144.30000000000001"/>
    <n v="156.9"/>
    <n v="301.20000000000005"/>
    <n v="190.2"/>
    <n v="146.9"/>
    <n v="337.1"/>
    <n v="156.9"/>
  </r>
  <r>
    <x v="2"/>
    <x v="7"/>
    <x v="12"/>
    <x v="188"/>
    <n v="191"/>
    <n v="175.3"/>
    <n v="154.1"/>
    <n v="146.6"/>
    <n v="147.69999999999999"/>
    <n v="230.5"/>
    <n v="160.19999999999999"/>
    <n v="115.3"/>
    <n v="163"/>
    <n v="149.19999999999999"/>
    <n v="164.8"/>
    <n v="165.4"/>
    <n v="2109.1"/>
    <n v="155"/>
    <n v="145.4"/>
    <n v="153.6"/>
    <n v="454"/>
    <n v="158.4"/>
    <n v="144.6"/>
    <n v="149.69999999999999"/>
    <x v="267"/>
    <n v="158.30000000000001"/>
    <n v="157.1"/>
    <n v="315.39999999999998"/>
    <n v="140.69999999999999"/>
    <n v="148.5"/>
    <n v="159.4"/>
    <n v="307.89999999999998"/>
    <n v="185.4"/>
    <n v="151.19999999999999"/>
    <n v="336.6"/>
    <n v="158.9"/>
  </r>
  <r>
    <x v="0"/>
    <x v="8"/>
    <x v="0"/>
    <x v="196"/>
    <n v="187.5"/>
    <n v="173.4"/>
    <n v="154"/>
    <n v="154.80000000000001"/>
    <n v="147"/>
    <n v="187.8"/>
    <n v="159.5"/>
    <n v="113.8"/>
    <n v="164.5"/>
    <n v="156.1"/>
    <n v="164.3"/>
    <n v="159.6"/>
    <n v="2065.6999999999998"/>
    <n v="157.5"/>
    <n v="152.4"/>
    <n v="156.80000000000001"/>
    <n v="466.7"/>
    <n v="139.25"/>
    <n v="150.9"/>
    <n v="153.9"/>
    <x v="268"/>
    <n v="162.5"/>
    <n v="156.19999999999999"/>
    <n v="318.7"/>
    <n v="147.5"/>
    <n v="155.1"/>
    <n v="163.5"/>
    <n v="318.60000000000002"/>
    <n v="184.6"/>
    <n v="155.9"/>
    <n v="340.5"/>
    <n v="158.5"/>
  </r>
  <r>
    <x v="1"/>
    <x v="8"/>
    <x v="0"/>
    <x v="197"/>
    <n v="194.8"/>
    <n v="178.4"/>
    <n v="154.4"/>
    <n v="144.1"/>
    <n v="152.6"/>
    <n v="206.8"/>
    <n v="162.1"/>
    <n v="116.3"/>
    <n v="163"/>
    <n v="145.9"/>
    <n v="167.2"/>
    <n v="163.4"/>
    <n v="2097"/>
    <n v="152.5"/>
    <n v="137.30000000000001"/>
    <n v="150.19999999999999"/>
    <n v="440"/>
    <n v="157.69999999999999"/>
    <n v="142.9"/>
    <n v="145.69999999999999"/>
    <x v="269"/>
    <n v="154.1"/>
    <n v="157.69999999999999"/>
    <n v="311.79999999999995"/>
    <n v="136.9"/>
    <n v="145.4"/>
    <n v="156.1"/>
    <n v="301.5"/>
    <n v="191.8"/>
    <n v="147.6"/>
    <n v="339.4"/>
    <n v="156"/>
  </r>
  <r>
    <x v="2"/>
    <x v="8"/>
    <x v="0"/>
    <x v="165"/>
    <n v="190.1"/>
    <n v="175.3"/>
    <n v="154.1"/>
    <n v="150.9"/>
    <n v="149.6"/>
    <n v="194.2"/>
    <n v="160.4"/>
    <n v="114.6"/>
    <n v="164"/>
    <n v="151.80000000000001"/>
    <n v="165.6"/>
    <n v="161"/>
    <n v="2076.5"/>
    <n v="155.5"/>
    <n v="146.1"/>
    <n v="154.19999999999999"/>
    <n v="455.8"/>
    <n v="157.69999999999999"/>
    <n v="147.9"/>
    <n v="150"/>
    <x v="270"/>
    <n v="159.30000000000001"/>
    <n v="156.80000000000001"/>
    <n v="316.10000000000002"/>
    <n v="141.9"/>
    <n v="149.6"/>
    <n v="159.19999999999999"/>
    <n v="308.79999999999995"/>
    <n v="186.5"/>
    <n v="151.9"/>
    <n v="338.4"/>
    <n v="157.30000000000001"/>
  </r>
  <r>
    <x v="0"/>
    <x v="8"/>
    <x v="1"/>
    <x v="164"/>
    <n v="184"/>
    <n v="168"/>
    <n v="154.4"/>
    <n v="163"/>
    <n v="147.80000000000001"/>
    <n v="149.69999999999999"/>
    <n v="158.30000000000001"/>
    <n v="111.8"/>
    <n v="165"/>
    <n v="160"/>
    <n v="165.8"/>
    <n v="154.69999999999999"/>
    <n v="2025.3"/>
    <n v="159.1"/>
    <n v="153.9"/>
    <n v="158.4"/>
    <n v="471.4"/>
    <n v="139.25"/>
    <n v="154.4"/>
    <n v="154.80000000000001"/>
    <x v="271"/>
    <n v="164.3"/>
    <n v="155.19999999999999"/>
    <n v="319.5"/>
    <n v="150.19999999999999"/>
    <n v="157"/>
    <n v="163.6"/>
    <n v="320.60000000000002"/>
    <n v="186.5"/>
    <n v="157.19999999999999"/>
    <n v="343.7"/>
    <n v="156.69999999999999"/>
  </r>
  <r>
    <x v="1"/>
    <x v="8"/>
    <x v="1"/>
    <x v="182"/>
    <n v="191.2"/>
    <n v="169.9"/>
    <n v="155.1"/>
    <n v="151.4"/>
    <n v="154"/>
    <n v="180.2"/>
    <n v="159.80000000000001"/>
    <n v="114.9"/>
    <n v="162.5"/>
    <n v="149.19999999999999"/>
    <n v="169.4"/>
    <n v="160.80000000000001"/>
    <n v="2066"/>
    <n v="154.19999999999999"/>
    <n v="138.19999999999999"/>
    <n v="151.80000000000001"/>
    <n v="444.2"/>
    <n v="159.80000000000001"/>
    <n v="149.1"/>
    <n v="146.5"/>
    <x v="272"/>
    <n v="156.30000000000001"/>
    <n v="156.69999999999999"/>
    <n v="313"/>
    <n v="140.5"/>
    <n v="147.30000000000001"/>
    <n v="156.6"/>
    <n v="303.89999999999998"/>
    <n v="193.3"/>
    <n v="149.30000000000001"/>
    <n v="342.6"/>
    <n v="156.5"/>
  </r>
  <r>
    <x v="2"/>
    <x v="8"/>
    <x v="1"/>
    <x v="168"/>
    <n v="186.5"/>
    <n v="168.7"/>
    <n v="154.69999999999999"/>
    <n v="158.69999999999999"/>
    <n v="150.69999999999999"/>
    <n v="160"/>
    <n v="158.80000000000001"/>
    <n v="112.8"/>
    <n v="164.2"/>
    <n v="155.5"/>
    <n v="167.5"/>
    <n v="156.9"/>
    <n v="2039.3000000000002"/>
    <n v="157.19999999999999"/>
    <n v="147.4"/>
    <n v="155.80000000000001"/>
    <n v="460.40000000000003"/>
    <n v="159.80000000000001"/>
    <n v="152.4"/>
    <n v="150.9"/>
    <x v="273"/>
    <n v="161.30000000000001"/>
    <n v="155.80000000000001"/>
    <n v="317.10000000000002"/>
    <n v="145.1"/>
    <n v="151.5"/>
    <n v="159.5"/>
    <n v="311"/>
    <n v="188.3"/>
    <n v="153.4"/>
    <n v="341.70000000000005"/>
    <n v="156.6"/>
  </r>
  <r>
    <x v="0"/>
    <x v="8"/>
    <x v="2"/>
    <x v="163"/>
    <n v="189.4"/>
    <n v="163.19999999999999"/>
    <n v="154.5"/>
    <n v="168.2"/>
    <n v="150.5"/>
    <n v="141"/>
    <n v="159.19999999999999"/>
    <n v="111.7"/>
    <n v="164"/>
    <n v="160.6"/>
    <n v="166.4"/>
    <n v="154.5"/>
    <n v="2025.7"/>
    <n v="159.6"/>
    <n v="154.4"/>
    <n v="158.9"/>
    <n v="472.9"/>
    <n v="139.25"/>
    <n v="156"/>
    <n v="154.80000000000001"/>
    <x v="274"/>
    <n v="164.6"/>
    <n v="153.1"/>
    <n v="317.7"/>
    <n v="151.30000000000001"/>
    <n v="157.80000000000001"/>
    <n v="163.80000000000001"/>
    <n v="321.60000000000002"/>
    <n v="186.1"/>
    <n v="157.30000000000001"/>
    <n v="343.4"/>
    <n v="156.69999999999999"/>
  </r>
  <r>
    <x v="1"/>
    <x v="8"/>
    <x v="2"/>
    <x v="190"/>
    <n v="197.5"/>
    <n v="164.7"/>
    <n v="155.6"/>
    <n v="156.4"/>
    <n v="157.30000000000001"/>
    <n v="166.1"/>
    <n v="161.1"/>
    <n v="114.3"/>
    <n v="162.6"/>
    <n v="150.69999999999999"/>
    <n v="170.3"/>
    <n v="160.4"/>
    <n v="2064.4999999999995"/>
    <n v="155.1"/>
    <n v="138.69999999999999"/>
    <n v="152.6"/>
    <n v="446.4"/>
    <n v="159.9"/>
    <n v="154.80000000000001"/>
    <n v="147.19999999999999"/>
    <x v="275"/>
    <n v="156.9"/>
    <n v="154.9"/>
    <n v="311.8"/>
    <n v="141.69999999999999"/>
    <n v="148.6"/>
    <n v="157.6"/>
    <n v="306.2"/>
    <n v="193.5"/>
    <n v="150"/>
    <n v="343.5"/>
    <n v="156.9"/>
  </r>
  <r>
    <x v="2"/>
    <x v="8"/>
    <x v="2"/>
    <x v="162"/>
    <n v="192.2"/>
    <n v="163.80000000000001"/>
    <n v="154.9"/>
    <n v="163.9"/>
    <n v="153.69999999999999"/>
    <n v="149.5"/>
    <n v="159.80000000000001"/>
    <n v="112.6"/>
    <n v="163.5"/>
    <n v="156.5"/>
    <n v="168.2"/>
    <n v="156.69999999999999"/>
    <n v="2039.3999999999999"/>
    <n v="157.80000000000001"/>
    <n v="147.9"/>
    <n v="156.4"/>
    <n v="462.1"/>
    <n v="159.9"/>
    <n v="155.5"/>
    <n v="151.19999999999999"/>
    <x v="276"/>
    <n v="161.69999999999999"/>
    <n v="153.80000000000001"/>
    <n v="315.5"/>
    <n v="146.19999999999999"/>
    <n v="152.6"/>
    <n v="160.19999999999999"/>
    <n v="312.79999999999995"/>
    <n v="188.1"/>
    <n v="153.80000000000001"/>
    <n v="341.9"/>
    <n v="156.80000000000001"/>
  </r>
  <r>
    <x v="0"/>
    <x v="8"/>
    <x v="3"/>
    <x v="157"/>
    <n v="195.5"/>
    <n v="163.4"/>
    <n v="155"/>
    <n v="175.2"/>
    <n v="160.6"/>
    <n v="135.1"/>
    <n v="161.1"/>
    <n v="112.2"/>
    <n v="164.4"/>
    <n v="161.9"/>
    <n v="166.8"/>
    <n v="155.6"/>
    <n v="2049.5"/>
    <n v="160.69999999999999"/>
    <n v="155.1"/>
    <n v="159.9"/>
    <n v="475.69999999999993"/>
    <n v="139.25"/>
    <n v="156"/>
    <n v="155.5"/>
    <x v="277"/>
    <n v="165.3"/>
    <n v="154.6"/>
    <n v="319.89999999999998"/>
    <n v="151.69999999999999"/>
    <n v="158.6"/>
    <n v="164.1"/>
    <n v="322.7"/>
    <n v="186.8"/>
    <n v="158"/>
    <n v="344.8"/>
    <n v="157.6"/>
  </r>
  <r>
    <x v="1"/>
    <x v="8"/>
    <x v="3"/>
    <x v="182"/>
    <n v="202.5"/>
    <n v="166.4"/>
    <n v="156"/>
    <n v="161.4"/>
    <n v="168.8"/>
    <n v="161.6"/>
    <n v="162.80000000000001"/>
    <n v="114.8"/>
    <n v="162.80000000000001"/>
    <n v="151.5"/>
    <n v="171.4"/>
    <n v="162"/>
    <n v="2089.6"/>
    <n v="155.9"/>
    <n v="139.30000000000001"/>
    <n v="153.4"/>
    <n v="448.6"/>
    <n v="161.4"/>
    <n v="154.9"/>
    <n v="147.6"/>
    <x v="278"/>
    <n v="157.5"/>
    <n v="156.6"/>
    <n v="314.10000000000002"/>
    <n v="142.1"/>
    <n v="149.1"/>
    <n v="157.6"/>
    <n v="306.7"/>
    <n v="194.4"/>
    <n v="150.5"/>
    <n v="344.9"/>
    <n v="158"/>
  </r>
  <r>
    <x v="2"/>
    <x v="8"/>
    <x v="3"/>
    <x v="168"/>
    <n v="198"/>
    <n v="164.6"/>
    <n v="155.4"/>
    <n v="170.1"/>
    <n v="164.4"/>
    <n v="144.1"/>
    <n v="161.69999999999999"/>
    <n v="113.1"/>
    <n v="163.9"/>
    <n v="157.6"/>
    <n v="168.9"/>
    <n v="158"/>
    <n v="2064.1"/>
    <n v="158.80000000000001"/>
    <n v="148.5"/>
    <n v="157.30000000000001"/>
    <n v="464.6"/>
    <n v="161.4"/>
    <n v="155.6"/>
    <n v="151.80000000000001"/>
    <x v="279"/>
    <n v="162.30000000000001"/>
    <n v="155.4"/>
    <n v="317.70000000000005"/>
    <n v="146.6"/>
    <n v="153.19999999999999"/>
    <n v="160.30000000000001"/>
    <n v="313.5"/>
    <n v="188.8"/>
    <n v="154.4"/>
    <n v="343.20000000000005"/>
    <n v="157.80000000000001"/>
  </r>
  <r>
    <x v="0"/>
    <x v="8"/>
    <x v="4"/>
    <x v="174"/>
    <n v="198.5"/>
    <n v="168.6"/>
    <n v="155.80000000000001"/>
    <n v="184.4"/>
    <n v="162.30000000000001"/>
    <n v="138.4"/>
    <n v="165.1"/>
    <n v="114.3"/>
    <n v="169.7"/>
    <n v="164.6"/>
    <n v="169.8"/>
    <n v="158.69999999999999"/>
    <n v="2095.2999999999997"/>
    <n v="165.3"/>
    <n v="160.6"/>
    <n v="164.5"/>
    <n v="490.4"/>
    <n v="139.25"/>
    <n v="161.69999999999999"/>
    <n v="158.80000000000001"/>
    <x v="280"/>
    <n v="169.1"/>
    <n v="159.30000000000001"/>
    <n v="328.4"/>
    <n v="153.19999999999999"/>
    <n v="160"/>
    <n v="167.6"/>
    <n v="327.60000000000002"/>
    <n v="189.6"/>
    <n v="161.1"/>
    <n v="350.7"/>
    <n v="161.1"/>
  </r>
  <r>
    <x v="1"/>
    <x v="8"/>
    <x v="4"/>
    <x v="198"/>
    <n v="204.3"/>
    <n v="173"/>
    <n v="156.5"/>
    <n v="168.8"/>
    <n v="172.5"/>
    <n v="166.5"/>
    <n v="165.9"/>
    <n v="115.9"/>
    <n v="165.2"/>
    <n v="152"/>
    <n v="171.1"/>
    <n v="164.2"/>
    <n v="2124.7000000000003"/>
    <n v="156.5"/>
    <n v="140.19999999999999"/>
    <n v="154.1"/>
    <n v="450.79999999999995"/>
    <n v="161.6"/>
    <n v="155.5"/>
    <n v="150.1"/>
    <x v="281"/>
    <n v="160.4"/>
    <n v="157.5"/>
    <n v="317.89999999999998"/>
    <n v="145"/>
    <n v="152.6"/>
    <n v="156.6"/>
    <n v="309.2"/>
    <n v="198.2"/>
    <n v="152.30000000000001"/>
    <n v="350.5"/>
    <n v="159.5"/>
  </r>
  <r>
    <x v="2"/>
    <x v="8"/>
    <x v="4"/>
    <x v="199"/>
    <n v="200.5"/>
    <n v="170.3"/>
    <n v="156.1"/>
    <n v="178.7"/>
    <n v="167.1"/>
    <n v="147.9"/>
    <n v="165.4"/>
    <n v="114.8"/>
    <n v="168.2"/>
    <n v="159.30000000000001"/>
    <n v="170.4"/>
    <n v="160.69999999999999"/>
    <n v="2105.7000000000003"/>
    <n v="161.80000000000001"/>
    <n v="152.1"/>
    <n v="160.4"/>
    <n v="474.29999999999995"/>
    <n v="161.6"/>
    <n v="159.4"/>
    <n v="154.69999999999999"/>
    <x v="282"/>
    <n v="165.8"/>
    <n v="158.6"/>
    <n v="324.39999999999998"/>
    <n v="148.9"/>
    <n v="155.80000000000001"/>
    <n v="161.19999999999999"/>
    <n v="317"/>
    <n v="191.9"/>
    <n v="156.80000000000001"/>
    <n v="348.70000000000005"/>
    <n v="160.4"/>
  </r>
  <r>
    <x v="0"/>
    <x v="8"/>
    <x v="5"/>
    <x v="167"/>
    <n v="200.1"/>
    <n v="179.3"/>
    <n v="156.1"/>
    <n v="190.4"/>
    <n v="158.6"/>
    <n v="144.69999999999999"/>
    <n v="165.5"/>
    <n v="114.6"/>
    <n v="170"/>
    <n v="165.5"/>
    <n v="171.7"/>
    <n v="160.5"/>
    <n v="2122.6"/>
    <n v="165.3"/>
    <n v="159.9"/>
    <n v="164.6"/>
    <n v="489.80000000000007"/>
    <n v="139.25"/>
    <n v="162.1"/>
    <n v="159.19999999999999"/>
    <x v="283"/>
    <n v="169.7"/>
    <n v="159.4"/>
    <n v="329.1"/>
    <n v="154.19999999999999"/>
    <n v="160.4"/>
    <n v="166.8"/>
    <n v="327.20000000000005"/>
    <n v="189.1"/>
    <n v="161.5"/>
    <n v="350.6"/>
    <n v="162.1"/>
  </r>
  <r>
    <x v="1"/>
    <x v="8"/>
    <x v="5"/>
    <x v="200"/>
    <n v="205.5"/>
    <n v="182.8"/>
    <n v="156.5"/>
    <n v="172.2"/>
    <n v="171.5"/>
    <n v="176.2"/>
    <n v="166.9"/>
    <n v="116.1"/>
    <n v="165.5"/>
    <n v="152.30000000000001"/>
    <n v="173.3"/>
    <n v="166.2"/>
    <n v="2154.1999999999998"/>
    <n v="157.30000000000001"/>
    <n v="140.5"/>
    <n v="154.80000000000001"/>
    <n v="452.6"/>
    <n v="160.5"/>
    <n v="156.1"/>
    <n v="149.80000000000001"/>
    <x v="284"/>
    <n v="160.80000000000001"/>
    <n v="158"/>
    <n v="318.8"/>
    <n v="147.5"/>
    <n v="150.69999999999999"/>
    <n v="158.1"/>
    <n v="308.79999999999995"/>
    <n v="195.6"/>
    <n v="153.4"/>
    <n v="349"/>
    <n v="160.4"/>
  </r>
  <r>
    <x v="2"/>
    <x v="8"/>
    <x v="5"/>
    <x v="201"/>
    <n v="202"/>
    <n v="180.7"/>
    <n v="156.19999999999999"/>
    <n v="183.7"/>
    <n v="164.6"/>
    <n v="155.4"/>
    <n v="166"/>
    <n v="115.1"/>
    <n v="168.5"/>
    <n v="160"/>
    <n v="172.4"/>
    <n v="162.6"/>
    <n v="2133.9"/>
    <n v="162.19999999999999"/>
    <n v="151.80000000000001"/>
    <n v="160.69999999999999"/>
    <n v="474.7"/>
    <n v="160.5"/>
    <n v="159.80000000000001"/>
    <n v="154.80000000000001"/>
    <x v="285"/>
    <n v="166.3"/>
    <n v="158.80000000000001"/>
    <n v="325.10000000000002"/>
    <n v="150.69999999999999"/>
    <n v="154.9"/>
    <n v="161.69999999999999"/>
    <n v="316.60000000000002"/>
    <n v="190.8"/>
    <n v="157.6"/>
    <n v="348.4"/>
    <n v="161.30000000000001"/>
  </r>
  <r>
    <x v="0"/>
    <x v="8"/>
    <x v="6"/>
    <x v="174"/>
    <n v="204.5"/>
    <n v="180.4"/>
    <n v="157.1"/>
    <n v="188.7"/>
    <n v="157.69999999999999"/>
    <n v="152.80000000000001"/>
    <n v="163.6"/>
    <n v="113.9"/>
    <n v="169.7"/>
    <n v="166.2"/>
    <n v="171"/>
    <n v="161.69999999999999"/>
    <n v="2132.4"/>
    <n v="166"/>
    <n v="161.1"/>
    <n v="165.3"/>
    <n v="492.40000000000003"/>
    <n v="139.25"/>
    <n v="162.5"/>
    <n v="160.30000000000001"/>
    <x v="286"/>
    <n v="170.4"/>
    <n v="160.4"/>
    <n v="330.8"/>
    <n v="157.1"/>
    <n v="160.69999999999999"/>
    <n v="167.2"/>
    <n v="327.9"/>
    <n v="189.7"/>
    <n v="162.80000000000001"/>
    <n v="352.5"/>
    <n v="163.19999999999999"/>
  </r>
  <r>
    <x v="1"/>
    <x v="8"/>
    <x v="6"/>
    <x v="202"/>
    <n v="210.9"/>
    <n v="185"/>
    <n v="158.19999999999999"/>
    <n v="170.6"/>
    <n v="170.9"/>
    <n v="186.4"/>
    <n v="164.7"/>
    <n v="115.7"/>
    <n v="165.5"/>
    <n v="153.4"/>
    <n v="173.5"/>
    <n v="167.9"/>
    <n v="2171.8000000000002"/>
    <n v="157.9"/>
    <n v="141.9"/>
    <n v="155.5"/>
    <n v="455.3"/>
    <n v="161.5"/>
    <n v="157.69999999999999"/>
    <n v="150.69999999999999"/>
    <x v="287"/>
    <n v="161.5"/>
    <n v="159.6"/>
    <n v="321.10000000000002"/>
    <n v="149.5"/>
    <n v="151.19999999999999"/>
    <n v="160.30000000000001"/>
    <n v="311.5"/>
    <n v="195.5"/>
    <n v="155"/>
    <n v="350.5"/>
    <n v="161.80000000000001"/>
  </r>
  <r>
    <x v="2"/>
    <x v="8"/>
    <x v="6"/>
    <x v="203"/>
    <n v="206.8"/>
    <n v="182.2"/>
    <n v="157.5"/>
    <n v="182.1"/>
    <n v="163.9"/>
    <n v="164.2"/>
    <n v="164"/>
    <n v="114.5"/>
    <n v="168.3"/>
    <n v="160.9"/>
    <n v="172.2"/>
    <n v="164"/>
    <n v="2147"/>
    <n v="162.80000000000001"/>
    <n v="153.1"/>
    <n v="161.4"/>
    <n v="477.29999999999995"/>
    <n v="161.5"/>
    <n v="160.69999999999999"/>
    <n v="155.80000000000001"/>
    <x v="288"/>
    <n v="167"/>
    <n v="160.1"/>
    <n v="327.10000000000002"/>
    <n v="153.1"/>
    <n v="155.30000000000001"/>
    <n v="163.19999999999999"/>
    <n v="318.5"/>
    <n v="191.2"/>
    <n v="159"/>
    <n v="350.2"/>
    <n v="162.5"/>
  </r>
  <r>
    <x v="0"/>
    <x v="8"/>
    <x v="7"/>
    <x v="165"/>
    <n v="202.3"/>
    <n v="176.5"/>
    <n v="157.5"/>
    <n v="190.9"/>
    <n v="155.69999999999999"/>
    <n v="153.9"/>
    <n v="162.80000000000001"/>
    <n v="115.2"/>
    <n v="169.8"/>
    <n v="167.6"/>
    <n v="171.9"/>
    <n v="161.80000000000001"/>
    <n v="2130.8000000000002"/>
    <n v="167"/>
    <n v="162.6"/>
    <n v="166.3"/>
    <n v="495.90000000000003"/>
    <n v="139.25"/>
    <n v="163.1"/>
    <n v="160.9"/>
    <x v="289"/>
    <n v="171.1"/>
    <n v="160.30000000000001"/>
    <n v="331.4"/>
    <n v="157.69999999999999"/>
    <n v="161.1"/>
    <n v="167.5"/>
    <n v="328.6"/>
    <n v="190.2"/>
    <n v="163.30000000000001"/>
    <n v="353.5"/>
    <n v="163.6"/>
  </r>
  <r>
    <x v="1"/>
    <x v="8"/>
    <x v="7"/>
    <x v="204"/>
    <n v="207.4"/>
    <n v="174.1"/>
    <n v="159.19999999999999"/>
    <n v="175"/>
    <n v="161.30000000000001"/>
    <n v="183.3"/>
    <n v="164.5"/>
    <n v="120.4"/>
    <n v="166.2"/>
    <n v="154.80000000000001"/>
    <n v="175.1"/>
    <n v="167.3"/>
    <n v="2157.9"/>
    <n v="159.80000000000001"/>
    <n v="143.6"/>
    <n v="157.30000000000001"/>
    <n v="460.7"/>
    <n v="162.1"/>
    <n v="160.69999999999999"/>
    <n v="153.19999999999999"/>
    <x v="290"/>
    <n v="162.80000000000001"/>
    <n v="159.6"/>
    <n v="322.39999999999998"/>
    <n v="150.4"/>
    <n v="153.69999999999999"/>
    <n v="160.4"/>
    <n v="314.10000000000002"/>
    <n v="196.5"/>
    <n v="156"/>
    <n v="352.5"/>
    <n v="162.30000000000001"/>
  </r>
  <r>
    <x v="2"/>
    <x v="8"/>
    <x v="7"/>
    <x v="205"/>
    <n v="204"/>
    <n v="172.8"/>
    <n v="158.4"/>
    <n v="188"/>
    <n v="156.80000000000001"/>
    <n v="162.19999999999999"/>
    <n v="164.1"/>
    <n v="119.7"/>
    <n v="168.8"/>
    <n v="162.69999999999999"/>
    <n v="173.9"/>
    <n v="164"/>
    <n v="2142"/>
    <n v="164.5"/>
    <n v="155.30000000000001"/>
    <n v="163.19999999999999"/>
    <n v="483"/>
    <n v="162.1"/>
    <n v="162.6"/>
    <n v="157.5"/>
    <x v="291"/>
    <n v="168.4"/>
    <n v="160"/>
    <n v="328.4"/>
    <n v="154"/>
    <n v="157.6"/>
    <n v="163.80000000000001"/>
    <n v="321.39999999999998"/>
    <n v="192.1"/>
    <n v="160"/>
    <n v="352.1"/>
    <n v="163.19999999999999"/>
  </r>
  <r>
    <x v="0"/>
    <x v="8"/>
    <x v="8"/>
    <x v="191"/>
    <n v="202.1"/>
    <n v="172"/>
    <n v="158"/>
    <n v="195.5"/>
    <n v="152.69999999999999"/>
    <n v="151.4"/>
    <n v="163.9"/>
    <n v="119.3"/>
    <n v="170.1"/>
    <n v="168.3"/>
    <n v="172.8"/>
    <n v="162.1"/>
    <n v="2133.6"/>
    <n v="167.7"/>
    <n v="163.6"/>
    <n v="167.1"/>
    <n v="498.4"/>
    <n v="139.25"/>
    <n v="163.69999999999999"/>
    <n v="161.30000000000001"/>
    <x v="292"/>
    <n v="171.9"/>
    <n v="160.19999999999999"/>
    <n v="332.1"/>
    <n v="157.80000000000001"/>
    <n v="162.69999999999999"/>
    <n v="168.5"/>
    <n v="331.2"/>
    <n v="190.5"/>
    <n v="163.80000000000001"/>
    <n v="354.3"/>
    <n v="164"/>
  </r>
  <r>
    <x v="1"/>
    <x v="8"/>
    <x v="8"/>
    <x v="204"/>
    <n v="207.4"/>
    <n v="174.1"/>
    <n v="159.1"/>
    <n v="175"/>
    <n v="161.19999999999999"/>
    <n v="183.5"/>
    <n v="164.5"/>
    <n v="120.4"/>
    <n v="166.2"/>
    <n v="154.80000000000001"/>
    <n v="175.1"/>
    <n v="167.3"/>
    <n v="2157.9"/>
    <n v="159.80000000000001"/>
    <n v="143.6"/>
    <n v="157.4"/>
    <n v="460.79999999999995"/>
    <n v="162.1"/>
    <n v="160.80000000000001"/>
    <n v="153.30000000000001"/>
    <x v="293"/>
    <n v="162.80000000000001"/>
    <n v="159.6"/>
    <n v="322.39999999999998"/>
    <n v="150.5"/>
    <n v="153.9"/>
    <n v="160.30000000000001"/>
    <n v="314.20000000000005"/>
    <n v="196.5"/>
    <n v="156"/>
    <n v="352.5"/>
    <n v="162.30000000000001"/>
  </r>
  <r>
    <x v="2"/>
    <x v="8"/>
    <x v="8"/>
    <x v="205"/>
    <n v="204"/>
    <n v="172.8"/>
    <n v="158.4"/>
    <n v="188"/>
    <n v="156.69999999999999"/>
    <n v="162.30000000000001"/>
    <n v="164.1"/>
    <n v="119.7"/>
    <n v="168.8"/>
    <n v="162.69999999999999"/>
    <n v="173.9"/>
    <n v="164"/>
    <n v="2142"/>
    <n v="164.6"/>
    <n v="155.30000000000001"/>
    <n v="163.30000000000001"/>
    <n v="483.2"/>
    <n v="162.1"/>
    <n v="162.6"/>
    <n v="157.5"/>
    <x v="291"/>
    <n v="168.4"/>
    <n v="160"/>
    <n v="328.4"/>
    <n v="154"/>
    <n v="157.69999999999999"/>
    <n v="163.69999999999999"/>
    <n v="321.39999999999998"/>
    <n v="192.1"/>
    <n v="160"/>
    <n v="352.1"/>
    <n v="163.19999999999999"/>
  </r>
  <r>
    <x v="0"/>
    <x v="8"/>
    <x v="9"/>
    <x v="206"/>
    <n v="202.5"/>
    <n v="170.1"/>
    <n v="158.4"/>
    <n v="198.8"/>
    <n v="152.6"/>
    <n v="170.4"/>
    <n v="165.2"/>
    <n v="121.6"/>
    <n v="170.6"/>
    <n v="168.8"/>
    <n v="173.6"/>
    <n v="165.5"/>
    <n v="2164.1999999999998"/>
    <n v="168.9"/>
    <n v="164.8"/>
    <n v="168.3"/>
    <n v="502.00000000000006"/>
    <n v="139.25"/>
    <n v="165.5"/>
    <n v="162"/>
    <x v="294"/>
    <n v="172.5"/>
    <n v="161.1"/>
    <n v="333.6"/>
    <n v="159.5"/>
    <n v="163.19999999999999"/>
    <n v="169"/>
    <n v="332.2"/>
    <n v="191.2"/>
    <n v="164.7"/>
    <n v="355.9"/>
    <n v="166.3"/>
  </r>
  <r>
    <x v="1"/>
    <x v="8"/>
    <x v="9"/>
    <x v="207"/>
    <n v="208.4"/>
    <n v="173"/>
    <n v="159.19999999999999"/>
    <n v="176.6"/>
    <n v="159.30000000000001"/>
    <n v="214.4"/>
    <n v="165.3"/>
    <n v="122.5"/>
    <n v="166.8"/>
    <n v="155.4"/>
    <n v="175.9"/>
    <n v="171.5"/>
    <n v="2198.4000000000005"/>
    <n v="160.80000000000001"/>
    <n v="144.4"/>
    <n v="158.30000000000001"/>
    <n v="463.50000000000006"/>
    <n v="163.6"/>
    <n v="162.19999999999999"/>
    <n v="154.30000000000001"/>
    <x v="295"/>
    <n v="163.5"/>
    <n v="160.30000000000001"/>
    <n v="323.8"/>
    <n v="152.19999999999999"/>
    <n v="155.1"/>
    <n v="160.30000000000001"/>
    <n v="315.39999999999998"/>
    <n v="197"/>
    <n v="157"/>
    <n v="354"/>
    <n v="164.6"/>
  </r>
  <r>
    <x v="2"/>
    <x v="8"/>
    <x v="9"/>
    <x v="208"/>
    <n v="204.6"/>
    <n v="171.2"/>
    <n v="158.69999999999999"/>
    <n v="190.6"/>
    <n v="155.69999999999999"/>
    <n v="185.3"/>
    <n v="165.2"/>
    <n v="121.9"/>
    <n v="169.3"/>
    <n v="163.19999999999999"/>
    <n v="174.7"/>
    <n v="167.7"/>
    <n v="2175.5"/>
    <n v="165.7"/>
    <n v="156.30000000000001"/>
    <n v="164.3"/>
    <n v="486.3"/>
    <n v="163.6"/>
    <n v="164.2"/>
    <n v="158.4"/>
    <x v="296"/>
    <n v="169.1"/>
    <n v="160.80000000000001"/>
    <n v="329.9"/>
    <n v="155.69999999999999"/>
    <n v="158.6"/>
    <n v="163.9"/>
    <n v="322.5"/>
    <n v="192.7"/>
    <n v="161"/>
    <n v="353.7"/>
    <n v="165.5"/>
  </r>
  <r>
    <x v="0"/>
    <x v="8"/>
    <x v="11"/>
    <x v="185"/>
    <n v="199.8"/>
    <n v="171.5"/>
    <n v="159.1"/>
    <n v="198.4"/>
    <n v="153.19999999999999"/>
    <n v="183.9"/>
    <n v="165.4"/>
    <n v="122.1"/>
    <n v="170.8"/>
    <n v="169.1"/>
    <n v="174.3"/>
    <n v="167.5"/>
    <n v="2182"/>
    <n v="170.4"/>
    <n v="166"/>
    <n v="169.8"/>
    <n v="506.2"/>
    <n v="139.25"/>
    <n v="165.3"/>
    <n v="162.9"/>
    <x v="297"/>
    <n v="173.4"/>
    <n v="162.4"/>
    <n v="335.8"/>
    <n v="158.9"/>
    <n v="163.80000000000001"/>
    <n v="169.3"/>
    <n v="333.1"/>
    <n v="191.4"/>
    <n v="165.2"/>
    <n v="356.6"/>
    <n v="167.6"/>
  </r>
  <r>
    <x v="1"/>
    <x v="8"/>
    <x v="11"/>
    <x v="209"/>
    <n v="204.9"/>
    <n v="175.4"/>
    <n v="159.6"/>
    <n v="175.8"/>
    <n v="160.30000000000001"/>
    <n v="229.1"/>
    <n v="165.1"/>
    <n v="123.1"/>
    <n v="167.2"/>
    <n v="156.1"/>
    <n v="176.8"/>
    <n v="173.5"/>
    <n v="2217.8999999999996"/>
    <n v="162.30000000000001"/>
    <n v="145.30000000000001"/>
    <n v="159.69999999999999"/>
    <n v="467.3"/>
    <n v="164.2"/>
    <n v="161.6"/>
    <n v="155.19999999999999"/>
    <x v="298"/>
    <n v="164.2"/>
    <n v="161.80000000000001"/>
    <n v="326"/>
    <n v="151.19999999999999"/>
    <n v="156.69999999999999"/>
    <n v="160.80000000000001"/>
    <n v="317.5"/>
    <n v="197"/>
    <n v="157.30000000000001"/>
    <n v="354.3"/>
    <n v="165.6"/>
  </r>
  <r>
    <x v="2"/>
    <x v="8"/>
    <x v="11"/>
    <x v="179"/>
    <n v="201.6"/>
    <n v="173"/>
    <n v="159.30000000000001"/>
    <n v="190.1"/>
    <n v="156.5"/>
    <n v="199.2"/>
    <n v="165.3"/>
    <n v="122.4"/>
    <n v="169.6"/>
    <n v="163.69999999999999"/>
    <n v="175.5"/>
    <n v="169.7"/>
    <n v="2194.1"/>
    <n v="167.2"/>
    <n v="157.4"/>
    <n v="165.8"/>
    <n v="490.40000000000003"/>
    <n v="164.2"/>
    <n v="163.9"/>
    <n v="159.30000000000001"/>
    <x v="299"/>
    <n v="169.9"/>
    <n v="162.19999999999999"/>
    <n v="332.1"/>
    <n v="154.80000000000001"/>
    <n v="159.80000000000001"/>
    <n v="164.3"/>
    <n v="324.10000000000002"/>
    <n v="192.9"/>
    <n v="161.4"/>
    <n v="354.3"/>
    <n v="166.7"/>
  </r>
  <r>
    <x v="0"/>
    <x v="8"/>
    <x v="12"/>
    <x v="208"/>
    <n v="197"/>
    <n v="176.5"/>
    <n v="159.80000000000001"/>
    <n v="195.8"/>
    <n v="152"/>
    <n v="172.3"/>
    <n v="164.5"/>
    <n v="120.6"/>
    <n v="171.7"/>
    <n v="169.7"/>
    <n v="175.1"/>
    <n v="165.8"/>
    <n v="2168.1999999999998"/>
    <n v="171.8"/>
    <n v="167.3"/>
    <n v="171.2"/>
    <n v="510.3"/>
    <n v="139.25"/>
    <n v="165.6"/>
    <n v="163.9"/>
    <x v="300"/>
    <n v="174"/>
    <n v="162.80000000000001"/>
    <n v="336.8"/>
    <n v="160.1"/>
    <n v="164.5"/>
    <n v="169.7"/>
    <n v="334.2"/>
    <n v="190.8"/>
    <n v="166"/>
    <n v="356.8"/>
    <n v="167"/>
  </r>
  <r>
    <x v="1"/>
    <x v="8"/>
    <x v="12"/>
    <x v="183"/>
    <n v="202.2"/>
    <n v="180"/>
    <n v="160"/>
    <n v="173.5"/>
    <n v="158.30000000000001"/>
    <n v="219.5"/>
    <n v="164.2"/>
    <n v="121.9"/>
    <n v="168.2"/>
    <n v="156.5"/>
    <n v="178.2"/>
    <n v="172.2"/>
    <n v="2206.3000000000002"/>
    <n v="163.30000000000001"/>
    <n v="146.69999999999999"/>
    <n v="160.69999999999999"/>
    <n v="470.7"/>
    <n v="163.4"/>
    <n v="161.69999999999999"/>
    <n v="156"/>
    <x v="301"/>
    <n v="165.1"/>
    <n v="162.4"/>
    <n v="327.5"/>
    <n v="151.80000000000001"/>
    <n v="157.6"/>
    <n v="160.6"/>
    <n v="318.2"/>
    <n v="196.8"/>
    <n v="157.80000000000001"/>
    <n v="354.6"/>
    <n v="165.2"/>
  </r>
  <r>
    <x v="2"/>
    <x v="8"/>
    <x v="12"/>
    <x v="177"/>
    <n v="198.8"/>
    <n v="177.9"/>
    <n v="159.9"/>
    <n v="187.6"/>
    <n v="154.9"/>
    <n v="188.3"/>
    <n v="164.4"/>
    <n v="121"/>
    <n v="170.5"/>
    <n v="164.2"/>
    <n v="176.5"/>
    <n v="168.2"/>
    <n v="2180.9"/>
    <n v="168.5"/>
    <n v="158.69999999999999"/>
    <n v="167"/>
    <n v="494.2"/>
    <n v="163.4"/>
    <n v="164.1"/>
    <n v="160.19999999999999"/>
    <x v="302"/>
    <n v="170.6"/>
    <n v="162.6"/>
    <n v="333.2"/>
    <n v="155.69999999999999"/>
    <n v="160.6"/>
    <n v="164.4"/>
    <n v="325"/>
    <n v="192.4"/>
    <n v="162"/>
    <n v="354.4"/>
    <n v="166.2"/>
  </r>
  <r>
    <x v="0"/>
    <x v="9"/>
    <x v="0"/>
    <x v="210"/>
    <n v="196.9"/>
    <n v="178"/>
    <n v="160.5"/>
    <n v="192.6"/>
    <n v="151.19999999999999"/>
    <n v="159.19999999999999"/>
    <n v="164"/>
    <n v="119.3"/>
    <n v="173.3"/>
    <n v="169.8"/>
    <n v="175.8"/>
    <n v="164.1"/>
    <n v="2153"/>
    <n v="173.2"/>
    <n v="169.3"/>
    <n v="172.7"/>
    <n v="515.20000000000005"/>
    <n v="139.25"/>
    <n v="165.8"/>
    <n v="164.9"/>
    <x v="303"/>
    <n v="174.7"/>
    <n v="163.19999999999999"/>
    <n v="337.9"/>
    <n v="160.80000000000001"/>
    <n v="164.9"/>
    <n v="169.9"/>
    <n v="334.8"/>
    <n v="190.7"/>
    <n v="166.6"/>
    <n v="357.29999999999995"/>
    <n v="166.4"/>
  </r>
  <r>
    <x v="1"/>
    <x v="9"/>
    <x v="0"/>
    <x v="211"/>
    <n v="202.1"/>
    <n v="180.1"/>
    <n v="160.4"/>
    <n v="171"/>
    <n v="156.5"/>
    <n v="203.6"/>
    <n v="163.80000000000001"/>
    <n v="121.3"/>
    <n v="169.8"/>
    <n v="156.6"/>
    <n v="179"/>
    <n v="170.3"/>
    <n v="2186.6999999999998"/>
    <n v="164.7"/>
    <n v="148.5"/>
    <n v="162.19999999999999"/>
    <n v="475.4"/>
    <n v="164.5"/>
    <n v="161.6"/>
    <n v="156.80000000000001"/>
    <x v="304"/>
    <n v="166.1"/>
    <n v="162.80000000000001"/>
    <n v="328.9"/>
    <n v="152.69999999999999"/>
    <n v="158.4"/>
    <n v="161"/>
    <n v="319.39999999999998"/>
    <n v="196.4"/>
    <n v="158.6"/>
    <n v="355"/>
    <n v="165"/>
  </r>
  <r>
    <x v="2"/>
    <x v="9"/>
    <x v="0"/>
    <x v="212"/>
    <n v="198.7"/>
    <n v="178.8"/>
    <n v="160.5"/>
    <n v="184.7"/>
    <n v="153.69999999999999"/>
    <n v="174.3"/>
    <n v="163.9"/>
    <n v="120"/>
    <n v="172.1"/>
    <n v="164.3"/>
    <n v="177.3"/>
    <n v="166.4"/>
    <n v="2164.1999999999998"/>
    <n v="169.9"/>
    <n v="160.69999999999999"/>
    <n v="168.5"/>
    <n v="499.1"/>
    <n v="164.5"/>
    <n v="164.2"/>
    <n v="161.1"/>
    <x v="305"/>
    <n v="171.4"/>
    <n v="163"/>
    <n v="334.4"/>
    <n v="156.5"/>
    <n v="161.19999999999999"/>
    <n v="164.7"/>
    <n v="325.89999999999998"/>
    <n v="192.2"/>
    <n v="162.69999999999999"/>
    <n v="354.9"/>
    <n v="165.7"/>
  </r>
  <r>
    <x v="0"/>
    <x v="9"/>
    <x v="1"/>
    <x v="198"/>
    <n v="198.1"/>
    <n v="175.5"/>
    <n v="160.69999999999999"/>
    <n v="192.6"/>
    <n v="151.4"/>
    <n v="155.19999999999999"/>
    <n v="163.9"/>
    <n v="118.1"/>
    <n v="175.4"/>
    <n v="170.5"/>
    <n v="176.3"/>
    <n v="163.9"/>
    <n v="2150.4"/>
    <n v="174.1"/>
    <n v="171"/>
    <n v="173.7"/>
    <n v="518.79999999999995"/>
    <n v="139.25"/>
    <n v="167.4"/>
    <n v="165.7"/>
    <x v="306"/>
    <n v="175.3"/>
    <n v="164.5"/>
    <n v="339.8"/>
    <n v="161.19999999999999"/>
    <n v="165.5"/>
    <n v="170.3"/>
    <n v="335.8"/>
    <n v="191.5"/>
    <n v="167.3"/>
    <n v="358.8"/>
    <n v="166.7"/>
  </r>
  <r>
    <x v="1"/>
    <x v="9"/>
    <x v="1"/>
    <x v="213"/>
    <n v="205.2"/>
    <n v="176.4"/>
    <n v="160.6"/>
    <n v="171.5"/>
    <n v="156.4"/>
    <n v="198"/>
    <n v="163.19999999999999"/>
    <n v="120.6"/>
    <n v="172.2"/>
    <n v="156.69999999999999"/>
    <n v="180"/>
    <n v="170.2"/>
    <n v="2183.5"/>
    <n v="165.7"/>
    <n v="150.4"/>
    <n v="163.4"/>
    <n v="479.5"/>
    <n v="165.5"/>
    <n v="163"/>
    <n v="157.4"/>
    <x v="307"/>
    <n v="167.2"/>
    <n v="164.2"/>
    <n v="331.4"/>
    <n v="153.1"/>
    <n v="159.5"/>
    <n v="162"/>
    <n v="321.5"/>
    <n v="196.5"/>
    <n v="159.4"/>
    <n v="355.9"/>
    <n v="165.5"/>
  </r>
  <r>
    <x v="2"/>
    <x v="9"/>
    <x v="1"/>
    <x v="214"/>
    <n v="200.6"/>
    <n v="175.8"/>
    <n v="160.69999999999999"/>
    <n v="184.9"/>
    <n v="153.69999999999999"/>
    <n v="169.7"/>
    <n v="163.69999999999999"/>
    <n v="118.9"/>
    <n v="174.3"/>
    <n v="164.7"/>
    <n v="178"/>
    <n v="166.2"/>
    <n v="2161.2000000000003"/>
    <n v="170.8"/>
    <n v="162.4"/>
    <n v="169.6"/>
    <n v="502.80000000000007"/>
    <n v="165.5"/>
    <n v="165.7"/>
    <n v="161.80000000000001"/>
    <x v="308"/>
    <n v="172.2"/>
    <n v="164.4"/>
    <n v="336.6"/>
    <n v="156.9"/>
    <n v="162.1"/>
    <n v="165.4"/>
    <n v="327.5"/>
    <n v="192.8"/>
    <n v="163.5"/>
    <n v="356.3"/>
    <n v="166.1"/>
  </r>
  <r>
    <x v="0"/>
    <x v="9"/>
    <x v="2"/>
    <x v="215"/>
    <n v="208"/>
    <n v="167.9"/>
    <n v="162"/>
    <n v="203.1"/>
    <n v="155.9"/>
    <n v="155.80000000000001"/>
    <n v="164.2"/>
    <n v="118.1"/>
    <n v="178.7"/>
    <n v="171.2"/>
    <n v="177.4"/>
    <n v="166.6"/>
    <n v="2179.1000000000004"/>
    <n v="175.4"/>
    <n v="173.2"/>
    <n v="175.1"/>
    <n v="523.70000000000005"/>
    <n v="139.25"/>
    <n v="168.9"/>
    <n v="166.5"/>
    <x v="309"/>
    <n v="176"/>
    <n v="167.4"/>
    <n v="343.4"/>
    <n v="162"/>
    <n v="166.6"/>
    <n v="170.6"/>
    <n v="337.2"/>
    <n v="192.3"/>
    <n v="168.3"/>
    <n v="360.6"/>
    <n v="168.7"/>
  </r>
  <r>
    <x v="1"/>
    <x v="9"/>
    <x v="2"/>
    <x v="216"/>
    <n v="215.8"/>
    <n v="167.7"/>
    <n v="162.6"/>
    <n v="180"/>
    <n v="159.6"/>
    <n v="188.4"/>
    <n v="163.4"/>
    <n v="120.3"/>
    <n v="174.7"/>
    <n v="157.1"/>
    <n v="181.5"/>
    <n v="171.5"/>
    <n v="2196.3000000000002"/>
    <n v="167.1"/>
    <n v="152.6"/>
    <n v="164.9"/>
    <n v="484.6"/>
    <n v="165.3"/>
    <n v="164.5"/>
    <n v="158.6"/>
    <x v="310"/>
    <n v="168.2"/>
    <n v="166.8"/>
    <n v="335"/>
    <n v="154.19999999999999"/>
    <n v="160.80000000000001"/>
    <n v="162.69999999999999"/>
    <n v="323.5"/>
    <n v="197.5"/>
    <n v="160.6"/>
    <n v="358.1"/>
    <n v="166.5"/>
  </r>
  <r>
    <x v="2"/>
    <x v="9"/>
    <x v="2"/>
    <x v="217"/>
    <n v="210.7"/>
    <n v="167.8"/>
    <n v="162.19999999999999"/>
    <n v="194.6"/>
    <n v="157.6"/>
    <n v="166.9"/>
    <n v="163.9"/>
    <n v="118.8"/>
    <n v="177.4"/>
    <n v="165.3"/>
    <n v="179.3"/>
    <n v="168.4"/>
    <n v="2184.2000000000003"/>
    <n v="172.1"/>
    <n v="164.6"/>
    <n v="171.1"/>
    <n v="507.79999999999995"/>
    <n v="165.3"/>
    <n v="167.2"/>
    <n v="162.80000000000001"/>
    <x v="311"/>
    <n v="173"/>
    <n v="167.2"/>
    <n v="340.2"/>
    <n v="157.9"/>
    <n v="163.30000000000001"/>
    <n v="166"/>
    <n v="329.3"/>
    <n v="193.7"/>
    <n v="164.6"/>
    <n v="358.29999999999995"/>
    <n v="167.7"/>
  </r>
  <r>
    <x v="0"/>
    <x v="9"/>
    <x v="3"/>
    <x v="176"/>
    <n v="209.7"/>
    <n v="164.5"/>
    <n v="163.80000000000001"/>
    <n v="207.4"/>
    <n v="169.7"/>
    <n v="153.6"/>
    <n v="165.1"/>
    <n v="118.2"/>
    <n v="182.9"/>
    <n v="172.4"/>
    <n v="178.9"/>
    <n v="168.6"/>
    <n v="2206.6"/>
    <n v="177.5"/>
    <n v="175.1"/>
    <n v="177.1"/>
    <n v="529.70000000000005"/>
    <n v="139.25"/>
    <n v="173.3"/>
    <n v="167.7"/>
    <x v="312"/>
    <n v="177"/>
    <n v="169"/>
    <n v="346"/>
    <n v="166.2"/>
    <n v="167.2"/>
    <n v="170.9"/>
    <n v="338.1"/>
    <n v="192.8"/>
    <n v="170.2"/>
    <n v="363"/>
    <n v="170.8"/>
  </r>
  <r>
    <x v="1"/>
    <x v="9"/>
    <x v="3"/>
    <x v="218"/>
    <n v="215.8"/>
    <n v="164.6"/>
    <n v="164.2"/>
    <n v="186"/>
    <n v="175.9"/>
    <n v="190.7"/>
    <n v="164"/>
    <n v="120.5"/>
    <n v="178"/>
    <n v="157.5"/>
    <n v="183.3"/>
    <n v="174.5"/>
    <n v="2230.4"/>
    <n v="168.4"/>
    <n v="154.5"/>
    <n v="166.3"/>
    <n v="489.2"/>
    <n v="167"/>
    <n v="170.5"/>
    <n v="159.80000000000001"/>
    <x v="313"/>
    <n v="169"/>
    <n v="168.4"/>
    <n v="337.4"/>
    <n v="159.30000000000001"/>
    <n v="162.19999999999999"/>
    <n v="164"/>
    <n v="326.2"/>
    <n v="197.1"/>
    <n v="163.1"/>
    <n v="360.2"/>
    <n v="169.2"/>
  </r>
  <r>
    <x v="2"/>
    <x v="9"/>
    <x v="3"/>
    <x v="219"/>
    <n v="211.8"/>
    <n v="164.5"/>
    <n v="163.9"/>
    <n v="199.5"/>
    <n v="172.6"/>
    <n v="166.2"/>
    <n v="164.7"/>
    <n v="119"/>
    <n v="181.3"/>
    <n v="166.2"/>
    <n v="180.9"/>
    <n v="170.8"/>
    <n v="2214.3000000000002"/>
    <n v="173.9"/>
    <n v="166.5"/>
    <n v="172.8"/>
    <n v="513.20000000000005"/>
    <n v="167"/>
    <n v="172.2"/>
    <n v="164"/>
    <x v="314"/>
    <n v="174"/>
    <n v="168.8"/>
    <n v="342.8"/>
    <n v="162.6"/>
    <n v="164.4"/>
    <n v="166.9"/>
    <n v="331.3"/>
    <n v="193.9"/>
    <n v="166.8"/>
    <n v="360.70000000000005"/>
    <n v="170.1"/>
  </r>
  <r>
    <x v="0"/>
    <x v="9"/>
    <x v="4"/>
    <x v="219"/>
    <n v="214.7"/>
    <n v="161.4"/>
    <n v="164.6"/>
    <n v="209.9"/>
    <n v="168"/>
    <n v="160.4"/>
    <n v="165"/>
    <n v="118.9"/>
    <n v="186.6"/>
    <n v="173.2"/>
    <n v="180.4"/>
    <n v="170.8"/>
    <n v="2226.8000000000002"/>
    <n v="179.3"/>
    <n v="177.2"/>
    <n v="179"/>
    <n v="535.5"/>
    <n v="139.25"/>
    <n v="175.3"/>
    <n v="168.9"/>
    <x v="315"/>
    <n v="177.7"/>
    <n v="168.5"/>
    <n v="346.2"/>
    <n v="167.1"/>
    <n v="167.6"/>
    <n v="171.8"/>
    <n v="339.4"/>
    <n v="192.9"/>
    <n v="170.9"/>
    <n v="363.8"/>
    <n v="172.5"/>
  </r>
  <r>
    <x v="1"/>
    <x v="9"/>
    <x v="4"/>
    <x v="220"/>
    <n v="221.2"/>
    <n v="164.1"/>
    <n v="165.4"/>
    <n v="189.5"/>
    <n v="174.5"/>
    <n v="203.2"/>
    <n v="164.1"/>
    <n v="121.2"/>
    <n v="181.4"/>
    <n v="158.5"/>
    <n v="184.9"/>
    <n v="177.5"/>
    <n v="2262.2000000000003"/>
    <n v="170"/>
    <n v="155.9"/>
    <n v="167.8"/>
    <n v="493.7"/>
    <n v="167.5"/>
    <n v="173.5"/>
    <n v="161.1"/>
    <x v="316"/>
    <n v="170.1"/>
    <n v="168.2"/>
    <n v="338.29999999999995"/>
    <n v="159.4"/>
    <n v="163.19999999999999"/>
    <n v="165.2"/>
    <n v="328.4"/>
    <n v="197.5"/>
    <n v="163.80000000000001"/>
    <n v="361.3"/>
    <n v="170.8"/>
  </r>
  <r>
    <x v="2"/>
    <x v="9"/>
    <x v="4"/>
    <x v="221"/>
    <n v="217"/>
    <n v="162.4"/>
    <n v="164.9"/>
    <n v="202.4"/>
    <n v="171"/>
    <n v="174.9"/>
    <n v="164.7"/>
    <n v="119.7"/>
    <n v="184.9"/>
    <n v="167.1"/>
    <n v="182.5"/>
    <n v="173.3"/>
    <n v="2238.9000000000005"/>
    <n v="175.6"/>
    <n v="168.4"/>
    <n v="174.6"/>
    <n v="518.6"/>
    <n v="167.5"/>
    <n v="174.6"/>
    <n v="165.2"/>
    <x v="317"/>
    <n v="174.8"/>
    <n v="168.4"/>
    <n v="343.20000000000005"/>
    <n v="163"/>
    <n v="165.1"/>
    <n v="167.9"/>
    <n v="333"/>
    <n v="194.1"/>
    <n v="167.5"/>
    <n v="361.6"/>
    <n v="171.7"/>
  </r>
  <r>
    <x v="0"/>
    <x v="9"/>
    <x v="5"/>
    <x v="222"/>
    <n v="217.2"/>
    <n v="169.6"/>
    <n v="165.4"/>
    <n v="208.1"/>
    <n v="165.8"/>
    <n v="167.3"/>
    <n v="164.6"/>
    <n v="119.1"/>
    <n v="188.9"/>
    <n v="174.2"/>
    <n v="181.9"/>
    <n v="172.4"/>
    <n v="2248.3000000000002"/>
    <n v="180.7"/>
    <n v="178.7"/>
    <n v="180.4"/>
    <n v="539.79999999999995"/>
    <n v="139.25"/>
    <n v="176.7"/>
    <n v="170.3"/>
    <x v="318"/>
    <n v="178.2"/>
    <n v="169.5"/>
    <n v="347.7"/>
    <n v="165.5"/>
    <n v="168"/>
    <n v="172.6"/>
    <n v="340.6"/>
    <n v="192.9"/>
    <n v="171"/>
    <n v="363.9"/>
    <n v="173.6"/>
  </r>
  <r>
    <x v="1"/>
    <x v="9"/>
    <x v="5"/>
    <x v="223"/>
    <n v="223.4"/>
    <n v="172.8"/>
    <n v="166.4"/>
    <n v="188.6"/>
    <n v="174.1"/>
    <n v="211.5"/>
    <n v="163.6"/>
    <n v="121.4"/>
    <n v="183.5"/>
    <n v="159.1"/>
    <n v="186.3"/>
    <n v="179.3"/>
    <n v="2287.5"/>
    <n v="171.6"/>
    <n v="157.4"/>
    <n v="169.4"/>
    <n v="498.4"/>
    <n v="166.8"/>
    <n v="174.9"/>
    <n v="162.1"/>
    <x v="319"/>
    <n v="170.9"/>
    <n v="169.2"/>
    <n v="340.1"/>
    <n v="157.19999999999999"/>
    <n v="164.1"/>
    <n v="166.5"/>
    <n v="330.6"/>
    <n v="198.3"/>
    <n v="163.80000000000001"/>
    <n v="362.1"/>
    <n v="171.4"/>
  </r>
  <r>
    <x v="2"/>
    <x v="9"/>
    <x v="5"/>
    <x v="224"/>
    <n v="219.4"/>
    <n v="170.8"/>
    <n v="165.8"/>
    <n v="200.9"/>
    <n v="169.7"/>
    <n v="182.3"/>
    <n v="164.3"/>
    <n v="119.9"/>
    <n v="187.1"/>
    <n v="167.9"/>
    <n v="183.9"/>
    <n v="174.9"/>
    <n v="2261.9"/>
    <n v="177.1"/>
    <n v="169.9"/>
    <n v="176"/>
    <n v="523"/>
    <n v="166.8"/>
    <n v="176"/>
    <n v="166.4"/>
    <x v="320"/>
    <n v="175.4"/>
    <n v="169.4"/>
    <n v="344.8"/>
    <n v="161.1"/>
    <n v="165.8"/>
    <n v="169"/>
    <n v="334.8"/>
    <n v="194.3"/>
    <n v="167.5"/>
    <n v="361.8"/>
    <n v="172.6"/>
  </r>
  <r>
    <x v="0"/>
    <x v="9"/>
    <x v="6"/>
    <x v="225"/>
    <n v="210.8"/>
    <n v="174.3"/>
    <n v="166.3"/>
    <n v="202.2"/>
    <n v="169.6"/>
    <n v="168.6"/>
    <n v="164.4"/>
    <n v="119.2"/>
    <n v="191.8"/>
    <n v="174.5"/>
    <n v="183.1"/>
    <n v="172.5"/>
    <n v="2252.5"/>
    <n v="182"/>
    <n v="180.3"/>
    <n v="181.7"/>
    <n v="544"/>
    <n v="139.25"/>
    <n v="179.6"/>
    <n v="171.3"/>
    <x v="321"/>
    <n v="178.8"/>
    <n v="169.7"/>
    <n v="348.5"/>
    <n v="166.3"/>
    <n v="168.6"/>
    <n v="174.7"/>
    <n v="343.29999999999995"/>
    <n v="193.2"/>
    <n v="171.8"/>
    <n v="365"/>
    <n v="174.3"/>
  </r>
  <r>
    <x v="1"/>
    <x v="9"/>
    <x v="6"/>
    <x v="226"/>
    <n v="217.1"/>
    <n v="176.6"/>
    <n v="167.1"/>
    <n v="184.8"/>
    <n v="179.5"/>
    <n v="208.5"/>
    <n v="164"/>
    <n v="121.5"/>
    <n v="186.3"/>
    <n v="159.80000000000001"/>
    <n v="187.7"/>
    <n v="179.4"/>
    <n v="2291.6"/>
    <n v="172.7"/>
    <n v="158.69999999999999"/>
    <n v="170.6"/>
    <n v="502"/>
    <n v="167.8"/>
    <n v="179.5"/>
    <n v="163.1"/>
    <x v="322"/>
    <n v="171.7"/>
    <n v="169.8"/>
    <n v="341.5"/>
    <n v="157.4"/>
    <n v="164.6"/>
    <n v="169.1"/>
    <n v="333.7"/>
    <n v="198.6"/>
    <n v="164.7"/>
    <n v="363.29999999999995"/>
    <n v="172.3"/>
  </r>
  <r>
    <x v="2"/>
    <x v="9"/>
    <x v="6"/>
    <x v="227"/>
    <n v="213"/>
    <n v="175.2"/>
    <n v="166.6"/>
    <n v="195.8"/>
    <n v="174.2"/>
    <n v="182.1"/>
    <n v="164.3"/>
    <n v="120"/>
    <n v="190"/>
    <n v="168.4"/>
    <n v="185.2"/>
    <n v="175"/>
    <n v="2266.3000000000002"/>
    <n v="178.3"/>
    <n v="171.3"/>
    <n v="177.3"/>
    <n v="526.90000000000009"/>
    <n v="167.8"/>
    <n v="179.6"/>
    <n v="167.4"/>
    <x v="323"/>
    <n v="176.1"/>
    <n v="169.7"/>
    <n v="345.79999999999995"/>
    <n v="161.6"/>
    <n v="166.3"/>
    <n v="171.4"/>
    <n v="337.70000000000005"/>
    <n v="194.6"/>
    <n v="168.4"/>
    <n v="363"/>
    <n v="173.4"/>
  </r>
  <r>
    <x v="0"/>
    <x v="9"/>
    <x v="7"/>
    <x v="228"/>
    <n v="204.1"/>
    <n v="168.3"/>
    <n v="167.9"/>
    <n v="198.1"/>
    <n v="169.2"/>
    <n v="173.1"/>
    <n v="167.1"/>
    <n v="120.2"/>
    <n v="195.6"/>
    <n v="174.8"/>
    <n v="184"/>
    <n v="173.9"/>
    <n v="2255.7999999999997"/>
    <n v="183.2"/>
    <n v="181.7"/>
    <n v="183"/>
    <n v="547.9"/>
    <n v="139.25"/>
    <n v="179.1"/>
    <n v="172.3"/>
    <x v="324"/>
    <n v="179.4"/>
    <n v="171.1"/>
    <n v="350.5"/>
    <n v="166.6"/>
    <n v="169.3"/>
    <n v="175.7"/>
    <n v="345"/>
    <n v="193.7"/>
    <n v="172.6"/>
    <n v="366.29999999999995"/>
    <n v="175.3"/>
  </r>
  <r>
    <x v="1"/>
    <x v="9"/>
    <x v="7"/>
    <x v="229"/>
    <n v="210.9"/>
    <n v="170.6"/>
    <n v="168.4"/>
    <n v="182.5"/>
    <n v="177.1"/>
    <n v="213.1"/>
    <n v="167.3"/>
    <n v="122.2"/>
    <n v="189.7"/>
    <n v="160.5"/>
    <n v="188.9"/>
    <n v="180.4"/>
    <n v="2293.6999999999998"/>
    <n v="173.7"/>
    <n v="160"/>
    <n v="171.6"/>
    <n v="505.29999999999995"/>
    <n v="169"/>
    <n v="178.4"/>
    <n v="164.2"/>
    <x v="325"/>
    <n v="172.6"/>
    <n v="171.4"/>
    <n v="344"/>
    <n v="157.69999999999999"/>
    <n v="165.1"/>
    <n v="169.9"/>
    <n v="335"/>
    <n v="198.7"/>
    <n v="165.4"/>
    <n v="364.1"/>
    <n v="173.1"/>
  </r>
  <r>
    <x v="2"/>
    <x v="9"/>
    <x v="7"/>
    <x v="230"/>
    <n v="206.5"/>
    <n v="169.2"/>
    <n v="168.1"/>
    <n v="192.4"/>
    <n v="172.9"/>
    <n v="186.7"/>
    <n v="167.2"/>
    <n v="120.9"/>
    <n v="193.6"/>
    <n v="168.8"/>
    <n v="186.3"/>
    <n v="176.3"/>
    <n v="2269.2000000000003"/>
    <n v="179.5"/>
    <n v="172.7"/>
    <n v="178.5"/>
    <n v="530.70000000000005"/>
    <n v="169"/>
    <n v="178.8"/>
    <n v="168.5"/>
    <x v="326"/>
    <n v="176.8"/>
    <n v="171.2"/>
    <n v="348"/>
    <n v="161.9"/>
    <n v="166.9"/>
    <n v="172.3"/>
    <n v="339.20000000000005"/>
    <n v="195"/>
    <n v="169.1"/>
    <n v="364.1"/>
    <n v="174.3"/>
  </r>
  <r>
    <x v="0"/>
    <x v="9"/>
    <x v="8"/>
    <x v="231"/>
    <n v="206.7"/>
    <n v="169"/>
    <n v="169.5"/>
    <n v="194.1"/>
    <n v="164.1"/>
    <n v="176.9"/>
    <n v="169"/>
    <n v="120.8"/>
    <n v="199.1"/>
    <n v="175.4"/>
    <n v="184.8"/>
    <n v="175.5"/>
    <n v="2267.8000000000002"/>
    <n v="184.7"/>
    <n v="183.3"/>
    <n v="184.5"/>
    <n v="552.5"/>
    <n v="139.25"/>
    <n v="179.7"/>
    <n v="173.6"/>
    <x v="327"/>
    <n v="180.2"/>
    <n v="170.8"/>
    <n v="351"/>
    <n v="166.9"/>
    <n v="170"/>
    <n v="176.2"/>
    <n v="346.2"/>
    <n v="194.5"/>
    <n v="173.1"/>
    <n v="367.6"/>
    <n v="176.4"/>
  </r>
  <r>
    <x v="1"/>
    <x v="9"/>
    <x v="8"/>
    <x v="232"/>
    <n v="213.7"/>
    <n v="170.9"/>
    <n v="170.1"/>
    <n v="179.3"/>
    <n v="167.5"/>
    <n v="220.8"/>
    <n v="169.2"/>
    <n v="123.1"/>
    <n v="193.6"/>
    <n v="161.1"/>
    <n v="190.4"/>
    <n v="181.8"/>
    <n v="2306.4"/>
    <n v="175"/>
    <n v="161.69999999999999"/>
    <n v="173"/>
    <n v="509.7"/>
    <n v="169.5"/>
    <n v="179.2"/>
    <n v="165"/>
    <x v="328"/>
    <n v="173.8"/>
    <n v="171.1"/>
    <n v="344.9"/>
    <n v="158.19999999999999"/>
    <n v="165.8"/>
    <n v="170.9"/>
    <n v="336.70000000000005"/>
    <n v="199.7"/>
    <n v="166.1"/>
    <n v="365.79999999999995"/>
    <n v="174.1"/>
  </r>
  <r>
    <x v="2"/>
    <x v="9"/>
    <x v="8"/>
    <x v="233"/>
    <n v="209.2"/>
    <n v="169.7"/>
    <n v="169.7"/>
    <n v="188.7"/>
    <n v="165.7"/>
    <n v="191.8"/>
    <n v="169.1"/>
    <n v="121.6"/>
    <n v="197.3"/>
    <n v="169.4"/>
    <n v="187.4"/>
    <n v="177.8"/>
    <n v="2280.9"/>
    <n v="180.9"/>
    <n v="174.3"/>
    <n v="179.9"/>
    <n v="535.1"/>
    <n v="169.5"/>
    <n v="179.5"/>
    <n v="169.5"/>
    <x v="329"/>
    <n v="177.8"/>
    <n v="170.9"/>
    <n v="348.70000000000005"/>
    <n v="162.30000000000001"/>
    <n v="167.6"/>
    <n v="173.1"/>
    <n v="340.7"/>
    <n v="195.9"/>
    <n v="169.7"/>
    <n v="365.6"/>
    <n v="175.3"/>
  </r>
  <r>
    <x v="0"/>
    <x v="9"/>
    <x v="9"/>
    <x v="234"/>
    <n v="208.8"/>
    <n v="170.3"/>
    <n v="170.9"/>
    <n v="191.6"/>
    <n v="162.19999999999999"/>
    <n v="184.8"/>
    <n v="169.7"/>
    <n v="121.1"/>
    <n v="201.6"/>
    <n v="175.8"/>
    <n v="185.6"/>
    <n v="177.4"/>
    <n v="2284.5"/>
    <n v="186.1"/>
    <n v="184.4"/>
    <n v="185.9"/>
    <n v="556.4"/>
    <n v="139.25"/>
    <n v="180.8"/>
    <n v="174.4"/>
    <x v="330"/>
    <n v="181.2"/>
    <n v="172"/>
    <n v="353.2"/>
    <n v="167.4"/>
    <n v="170.6"/>
    <n v="176.5"/>
    <n v="347.1"/>
    <n v="194.9"/>
    <n v="173.9"/>
    <n v="368.8"/>
    <n v="177.9"/>
  </r>
  <r>
    <x v="1"/>
    <x v="9"/>
    <x v="9"/>
    <x v="235"/>
    <n v="214.9"/>
    <n v="171.9"/>
    <n v="171"/>
    <n v="177.7"/>
    <n v="165.7"/>
    <n v="228.6"/>
    <n v="169.9"/>
    <n v="123.4"/>
    <n v="196.4"/>
    <n v="161.6"/>
    <n v="191.5"/>
    <n v="183.3"/>
    <n v="2322.3000000000002"/>
    <n v="175.5"/>
    <n v="162.6"/>
    <n v="173.6"/>
    <n v="511.70000000000005"/>
    <n v="171.2"/>
    <n v="180"/>
    <n v="166"/>
    <x v="331"/>
    <n v="174.7"/>
    <n v="172.3"/>
    <n v="347"/>
    <n v="158.80000000000001"/>
    <n v="166.3"/>
    <n v="171.2"/>
    <n v="337.5"/>
    <n v="200.1"/>
    <n v="166.8"/>
    <n v="366.9"/>
    <n v="175.3"/>
  </r>
  <r>
    <x v="2"/>
    <x v="9"/>
    <x v="9"/>
    <x v="236"/>
    <n v="210.9"/>
    <n v="170.9"/>
    <n v="170.9"/>
    <n v="186.5"/>
    <n v="163.80000000000001"/>
    <n v="199.7"/>
    <n v="169.8"/>
    <n v="121.9"/>
    <n v="199.9"/>
    <n v="169.9"/>
    <n v="188.3"/>
    <n v="179.6"/>
    <n v="2297.3000000000002"/>
    <n v="181.9"/>
    <n v="175.3"/>
    <n v="181"/>
    <n v="538.20000000000005"/>
    <n v="171.2"/>
    <n v="180.5"/>
    <n v="170.4"/>
    <x v="332"/>
    <n v="178.7"/>
    <n v="172.1"/>
    <n v="350.79999999999995"/>
    <n v="162.9"/>
    <n v="168.2"/>
    <n v="173.4"/>
    <n v="341.6"/>
    <n v="196.3"/>
    <n v="170.5"/>
    <n v="366.8"/>
    <n v="176.7"/>
  </r>
  <r>
    <x v="0"/>
    <x v="9"/>
    <x v="11"/>
    <x v="237"/>
    <n v="207.2"/>
    <n v="180.2"/>
    <n v="172.3"/>
    <n v="194"/>
    <n v="159.1"/>
    <n v="171.6"/>
    <n v="170.2"/>
    <n v="121.5"/>
    <n v="204.8"/>
    <n v="176.4"/>
    <n v="186.9"/>
    <n v="176.6"/>
    <n v="2287.6999999999998"/>
    <n v="187.2"/>
    <n v="185.2"/>
    <n v="186.9"/>
    <n v="559.29999999999995"/>
    <n v="139.25"/>
    <n v="181.9"/>
    <n v="175.5"/>
    <x v="333"/>
    <n v="182.3"/>
    <n v="173.4"/>
    <n v="355.70000000000005"/>
    <n v="167.5"/>
    <n v="170.8"/>
    <n v="176.9"/>
    <n v="347.70000000000005"/>
    <n v="195.5"/>
    <n v="174.6"/>
    <n v="370.1"/>
    <n v="177.8"/>
  </r>
  <r>
    <x v="1"/>
    <x v="9"/>
    <x v="11"/>
    <x v="238"/>
    <n v="213.4"/>
    <n v="183.2"/>
    <n v="172.3"/>
    <n v="180"/>
    <n v="162.6"/>
    <n v="205.5"/>
    <n v="171"/>
    <n v="123.4"/>
    <n v="198.8"/>
    <n v="162.1"/>
    <n v="192.4"/>
    <n v="181.3"/>
    <n v="2314.4"/>
    <n v="176.7"/>
    <n v="163.5"/>
    <n v="174.7"/>
    <n v="514.9"/>
    <n v="171.8"/>
    <n v="180.3"/>
    <n v="166.9"/>
    <x v="334"/>
    <n v="175.8"/>
    <n v="173.8"/>
    <n v="349.6"/>
    <n v="158.9"/>
    <n v="166.7"/>
    <n v="171.5"/>
    <n v="338.2"/>
    <n v="200.6"/>
    <n v="167.4"/>
    <n v="368"/>
    <n v="174.1"/>
  </r>
  <r>
    <x v="2"/>
    <x v="9"/>
    <x v="11"/>
    <x v="239"/>
    <n v="209.4"/>
    <n v="181.4"/>
    <n v="172.3"/>
    <n v="188.9"/>
    <n v="160.69999999999999"/>
    <n v="183.1"/>
    <n v="170.5"/>
    <n v="122.1"/>
    <n v="202.8"/>
    <n v="170.4"/>
    <n v="189.5"/>
    <n v="178.3"/>
    <n v="2296.8000000000002"/>
    <n v="183.1"/>
    <n v="176.2"/>
    <n v="182.1"/>
    <n v="541.4"/>
    <n v="171.8"/>
    <n v="181.3"/>
    <n v="171.4"/>
    <x v="335"/>
    <n v="179.8"/>
    <n v="173.6"/>
    <n v="353.4"/>
    <n v="163"/>
    <n v="168.5"/>
    <n v="173.7"/>
    <n v="342.2"/>
    <n v="196.9"/>
    <n v="171.1"/>
    <n v="368"/>
    <n v="176.5"/>
  </r>
  <r>
    <x v="0"/>
    <x v="9"/>
    <x v="12"/>
    <x v="240"/>
    <n v="206.9"/>
    <n v="189.1"/>
    <n v="173.4"/>
    <n v="193.9"/>
    <n v="156.69999999999999"/>
    <n v="150.19999999999999"/>
    <n v="170.5"/>
    <n v="121.2"/>
    <n v="207.5"/>
    <n v="176.8"/>
    <n v="187.7"/>
    <n v="174.4"/>
    <n v="2277.1"/>
    <n v="188.1"/>
    <n v="185.9"/>
    <n v="187.8"/>
    <n v="561.79999999999995"/>
    <n v="139.25"/>
    <n v="182.8"/>
    <n v="176.4"/>
    <x v="336"/>
    <n v="183.5"/>
    <n v="175.7"/>
    <n v="359.2"/>
    <n v="167.8"/>
    <n v="171.2"/>
    <n v="177.3"/>
    <n v="348.5"/>
    <n v="195.9"/>
    <n v="175.5"/>
    <n v="371.4"/>
    <n v="177.1"/>
  </r>
  <r>
    <x v="1"/>
    <x v="9"/>
    <x v="12"/>
    <x v="241"/>
    <n v="212.9"/>
    <n v="191.9"/>
    <n v="173.9"/>
    <n v="179.1"/>
    <n v="159.5"/>
    <n v="178.7"/>
    <n v="171.3"/>
    <n v="123.1"/>
    <n v="200.5"/>
    <n v="162.80000000000001"/>
    <n v="193.3"/>
    <n v="178.6"/>
    <n v="2295.7999999999997"/>
    <n v="177.7"/>
    <n v="164.5"/>
    <n v="175.7"/>
    <n v="517.9"/>
    <n v="170.7"/>
    <n v="180.6"/>
    <n v="167.3"/>
    <x v="337"/>
    <n v="177.2"/>
    <n v="176"/>
    <n v="353.2"/>
    <n v="159.4"/>
    <n v="167.1"/>
    <n v="171.8"/>
    <n v="338.9"/>
    <n v="201.1"/>
    <n v="168.2"/>
    <n v="369.29999999999995"/>
    <n v="174.1"/>
  </r>
  <r>
    <x v="2"/>
    <x v="9"/>
    <x v="12"/>
    <x v="242"/>
    <n v="209"/>
    <n v="190.2"/>
    <n v="173.6"/>
    <n v="188.5"/>
    <n v="158"/>
    <n v="159.9"/>
    <n v="170.8"/>
    <n v="121.8"/>
    <n v="205.2"/>
    <n v="171"/>
    <n v="190.3"/>
    <n v="175.9"/>
    <n v="2283.4"/>
    <n v="184"/>
    <n v="177"/>
    <n v="183"/>
    <n v="544"/>
    <n v="170.7"/>
    <n v="182"/>
    <n v="172.1"/>
    <x v="338"/>
    <n v="181.1"/>
    <n v="175.8"/>
    <n v="356.9"/>
    <n v="163.4"/>
    <n v="168.9"/>
    <n v="174.1"/>
    <n v="343"/>
    <n v="197.3"/>
    <n v="172"/>
    <n v="369.3"/>
    <n v="175.7"/>
  </r>
  <r>
    <x v="0"/>
    <x v="10"/>
    <x v="0"/>
    <x v="243"/>
    <n v="208.3"/>
    <n v="192.9"/>
    <n v="174.3"/>
    <n v="192.6"/>
    <n v="156.30000000000001"/>
    <n v="142.9"/>
    <n v="170.7"/>
    <n v="120.3"/>
    <n v="210.5"/>
    <n v="176.9"/>
    <n v="188.5"/>
    <n v="175"/>
    <n v="2283.2000000000003"/>
    <n v="189"/>
    <n v="186.3"/>
    <n v="188.6"/>
    <n v="563.9"/>
    <n v="139.25"/>
    <n v="183.2"/>
    <n v="177.2"/>
    <x v="339"/>
    <n v="184.7"/>
    <n v="178.4"/>
    <n v="363.1"/>
    <n v="168.2"/>
    <n v="171.8"/>
    <n v="177.8"/>
    <n v="349.6"/>
    <n v="196.9"/>
    <n v="176.5"/>
    <n v="373.4"/>
    <n v="177.8"/>
  </r>
  <r>
    <x v="1"/>
    <x v="10"/>
    <x v="0"/>
    <x v="244"/>
    <n v="215.2"/>
    <n v="197"/>
    <n v="175.2"/>
    <n v="178"/>
    <n v="160.5"/>
    <n v="175.3"/>
    <n v="171.2"/>
    <n v="122.7"/>
    <n v="204.3"/>
    <n v="163.69999999999999"/>
    <n v="194.3"/>
    <n v="179.5"/>
    <n v="2310.2000000000003"/>
    <n v="178.7"/>
    <n v="165.3"/>
    <n v="176.6"/>
    <n v="520.6"/>
    <n v="172.1"/>
    <n v="180.1"/>
    <n v="168"/>
    <x v="340"/>
    <n v="178.5"/>
    <n v="178.8"/>
    <n v="357.3"/>
    <n v="159.5"/>
    <n v="167.8"/>
    <n v="171.8"/>
    <n v="339.6"/>
    <n v="201.6"/>
    <n v="168.9"/>
    <n v="370.5"/>
    <n v="174.9"/>
  </r>
  <r>
    <x v="2"/>
    <x v="10"/>
    <x v="0"/>
    <x v="245"/>
    <n v="210.7"/>
    <n v="194.5"/>
    <n v="174.6"/>
    <n v="187.2"/>
    <n v="158.30000000000001"/>
    <n v="153.9"/>
    <n v="170.9"/>
    <n v="121.1"/>
    <n v="208.4"/>
    <n v="171.4"/>
    <n v="191.2"/>
    <n v="176.7"/>
    <n v="2292.6999999999998"/>
    <n v="184.9"/>
    <n v="177.6"/>
    <n v="183.8"/>
    <n v="546.29999999999995"/>
    <n v="172.1"/>
    <n v="182"/>
    <n v="172.9"/>
    <x v="341"/>
    <n v="182.3"/>
    <n v="178.6"/>
    <n v="360.9"/>
    <n v="163.6"/>
    <n v="169.5"/>
    <n v="174.3"/>
    <n v="343.8"/>
    <n v="198.2"/>
    <n v="172.8"/>
    <n v="371"/>
    <n v="176.5"/>
  </r>
  <r>
    <x v="0"/>
    <x v="10"/>
    <x v="1"/>
    <x v="246"/>
    <n v="205.2"/>
    <n v="173.9"/>
    <n v="177"/>
    <n v="183.4"/>
    <n v="167.2"/>
    <n v="140.9"/>
    <n v="170.4"/>
    <n v="119.1"/>
    <n v="212.1"/>
    <n v="177.6"/>
    <n v="189.9"/>
    <n v="174.8"/>
    <n v="2265.6999999999998"/>
    <n v="190"/>
    <n v="187"/>
    <n v="189.6"/>
    <n v="566.6"/>
    <n v="139.25"/>
    <n v="181.6"/>
    <n v="178.6"/>
    <x v="342"/>
    <n v="186.6"/>
    <n v="180.7"/>
    <n v="367.29999999999995"/>
    <n v="169"/>
    <n v="172.8"/>
    <n v="178.5"/>
    <n v="351.3"/>
    <n v="198.3"/>
    <n v="177.9"/>
    <n v="376.20000000000005"/>
    <n v="178"/>
  </r>
  <r>
    <x v="1"/>
    <x v="10"/>
    <x v="1"/>
    <x v="247"/>
    <n v="212.2"/>
    <n v="177.2"/>
    <n v="177.9"/>
    <n v="172.2"/>
    <n v="172.1"/>
    <n v="175.8"/>
    <n v="172.2"/>
    <n v="121.9"/>
    <n v="204.8"/>
    <n v="164.9"/>
    <n v="196.6"/>
    <n v="180.7"/>
    <n v="2303.1999999999998"/>
    <n v="180.3"/>
    <n v="167"/>
    <n v="178.2"/>
    <n v="525.5"/>
    <n v="173.5"/>
    <n v="182.8"/>
    <n v="169.2"/>
    <x v="343"/>
    <n v="180.8"/>
    <n v="181.4"/>
    <n v="362.20000000000005"/>
    <n v="159.80000000000001"/>
    <n v="168.4"/>
    <n v="172.5"/>
    <n v="340.9"/>
    <n v="202.7"/>
    <n v="170"/>
    <n v="372.7"/>
    <n v="176.3"/>
  </r>
  <r>
    <x v="2"/>
    <x v="10"/>
    <x v="1"/>
    <x v="248"/>
    <n v="207.7"/>
    <n v="175.2"/>
    <n v="177.3"/>
    <n v="179.3"/>
    <n v="169.5"/>
    <n v="152.69999999999999"/>
    <n v="171"/>
    <n v="120"/>
    <n v="209.7"/>
    <n v="172.3"/>
    <n v="193"/>
    <n v="177"/>
    <n v="2279.1"/>
    <n v="186.2"/>
    <n v="178.7"/>
    <n v="185.1"/>
    <n v="550"/>
    <n v="173.5"/>
    <n v="182.1"/>
    <n v="174.2"/>
    <x v="344"/>
    <n v="184.4"/>
    <n v="181"/>
    <n v="365.4"/>
    <n v="164.2"/>
    <n v="170.3"/>
    <n v="175"/>
    <n v="345.3"/>
    <n v="199.5"/>
    <n v="174.1"/>
    <n v="373.6"/>
    <n v="177.2"/>
  </r>
  <r>
    <x v="0"/>
    <x v="10"/>
    <x v="2"/>
    <x v="249"/>
    <n v="205.2"/>
    <n v="173.9"/>
    <n v="177"/>
    <n v="183.3"/>
    <n v="167.2"/>
    <n v="140.9"/>
    <n v="170.5"/>
    <n v="119.1"/>
    <n v="212.1"/>
    <n v="177.6"/>
    <n v="189.9"/>
    <n v="174.8"/>
    <n v="2265.8000000000002"/>
    <n v="190"/>
    <n v="187"/>
    <n v="189.6"/>
    <n v="566.6"/>
    <n v="139.25"/>
    <n v="181.4"/>
    <n v="178.6"/>
    <x v="345"/>
    <n v="186.6"/>
    <n v="180.7"/>
    <n v="367.29999999999995"/>
    <n v="169"/>
    <n v="172.8"/>
    <n v="178.5"/>
    <n v="351.3"/>
    <n v="198.4"/>
    <n v="177.9"/>
    <n v="376.3"/>
    <n v="178"/>
  </r>
  <r>
    <x v="1"/>
    <x v="10"/>
    <x v="2"/>
    <x v="247"/>
    <n v="212.2"/>
    <n v="177.2"/>
    <n v="177.9"/>
    <n v="172.2"/>
    <n v="172.1"/>
    <n v="175.9"/>
    <n v="172.2"/>
    <n v="121.9"/>
    <n v="204.8"/>
    <n v="164.9"/>
    <n v="196.6"/>
    <n v="180.8"/>
    <n v="2303.4"/>
    <n v="180.2"/>
    <n v="167"/>
    <n v="178.2"/>
    <n v="525.4"/>
    <n v="173.5"/>
    <n v="182.6"/>
    <n v="169.2"/>
    <x v="346"/>
    <n v="180.8"/>
    <n v="181.5"/>
    <n v="362.3"/>
    <n v="159.80000000000001"/>
    <n v="168.4"/>
    <n v="172.5"/>
    <n v="340.9"/>
    <n v="202.7"/>
    <n v="170"/>
    <n v="372.7"/>
    <n v="176.3"/>
  </r>
  <r>
    <x v="2"/>
    <x v="10"/>
    <x v="2"/>
    <x v="248"/>
    <n v="207.7"/>
    <n v="175.2"/>
    <n v="177.3"/>
    <n v="179.2"/>
    <n v="169.5"/>
    <n v="152.80000000000001"/>
    <n v="171.1"/>
    <n v="120"/>
    <n v="209.7"/>
    <n v="172.3"/>
    <n v="193"/>
    <n v="177"/>
    <n v="2279.1999999999998"/>
    <n v="186.1"/>
    <n v="178.7"/>
    <n v="185.1"/>
    <n v="549.9"/>
    <n v="173.5"/>
    <n v="181.9"/>
    <n v="174.2"/>
    <x v="347"/>
    <n v="184.4"/>
    <n v="181"/>
    <n v="365.4"/>
    <n v="164.2"/>
    <n v="170.3"/>
    <n v="175"/>
    <n v="345.3"/>
    <n v="199.5"/>
    <n v="174.1"/>
    <n v="373.6"/>
    <n v="177.2"/>
  </r>
  <r>
    <x v="0"/>
    <x v="10"/>
    <x v="3"/>
    <x v="244"/>
    <n v="206.9"/>
    <n v="167.9"/>
    <n v="178.2"/>
    <n v="178.5"/>
    <n v="173.7"/>
    <n v="142.80000000000001"/>
    <n v="172.8"/>
    <n v="120.4"/>
    <n v="215.5"/>
    <n v="178.2"/>
    <n v="190.5"/>
    <n v="175.5"/>
    <n v="2274.1999999999998"/>
    <n v="190.7"/>
    <n v="187.3"/>
    <n v="190.2"/>
    <n v="568.20000000000005"/>
    <n v="139.25"/>
    <n v="181.5"/>
    <n v="179.1"/>
    <x v="348"/>
    <n v="187.2"/>
    <n v="183.8"/>
    <n v="371"/>
    <n v="169.4"/>
    <n v="173.2"/>
    <n v="179.4"/>
    <n v="352.6"/>
    <n v="199.5"/>
    <n v="178.9"/>
    <n v="378.4"/>
    <n v="178.8"/>
  </r>
  <r>
    <x v="1"/>
    <x v="10"/>
    <x v="3"/>
    <x v="250"/>
    <n v="213.7"/>
    <n v="172.4"/>
    <n v="178.8"/>
    <n v="168.7"/>
    <n v="179.2"/>
    <n v="179.9"/>
    <n v="174.7"/>
    <n v="123.1"/>
    <n v="207.8"/>
    <n v="165.5"/>
    <n v="197"/>
    <n v="182.1"/>
    <n v="2317.7000000000003"/>
    <n v="181"/>
    <n v="167.7"/>
    <n v="178.9"/>
    <n v="527.6"/>
    <n v="175.2"/>
    <n v="182.1"/>
    <n v="169.6"/>
    <x v="349"/>
    <n v="181.5"/>
    <n v="184.4"/>
    <n v="365.9"/>
    <n v="160.1"/>
    <n v="168.8"/>
    <n v="174.2"/>
    <n v="343"/>
    <n v="203.5"/>
    <n v="170.9"/>
    <n v="374.4"/>
    <n v="177.4"/>
  </r>
  <r>
    <x v="2"/>
    <x v="10"/>
    <x v="3"/>
    <x v="245"/>
    <n v="209.3"/>
    <n v="169.6"/>
    <n v="178.4"/>
    <n v="174.9"/>
    <n v="176.3"/>
    <n v="155.4"/>
    <n v="173.4"/>
    <n v="121.3"/>
    <n v="212.9"/>
    <n v="172.9"/>
    <n v="193.5"/>
    <n v="177.9"/>
    <n v="2289.6000000000004"/>
    <n v="186.9"/>
    <n v="179.2"/>
    <n v="185.7"/>
    <n v="551.79999999999995"/>
    <n v="175.2"/>
    <n v="181.7"/>
    <n v="174.6"/>
    <x v="350"/>
    <n v="185"/>
    <n v="184"/>
    <n v="369"/>
    <n v="164.5"/>
    <n v="170.7"/>
    <n v="176.4"/>
    <n v="347.1"/>
    <n v="200.6"/>
    <n v="175"/>
    <n v="375.6"/>
    <n v="178.1"/>
  </r>
  <r>
    <x v="0"/>
    <x v="10"/>
    <x v="4"/>
    <x v="251"/>
    <n v="211.5"/>
    <n v="171"/>
    <n v="179.6"/>
    <n v="173.3"/>
    <n v="169"/>
    <n v="148.69999999999999"/>
    <n v="174.9"/>
    <n v="121.9"/>
    <n v="221"/>
    <n v="178.7"/>
    <n v="191.1"/>
    <n v="176.8"/>
    <n v="2290.7000000000007"/>
    <n v="191.2"/>
    <n v="187.9"/>
    <n v="190.8"/>
    <n v="569.90000000000009"/>
    <n v="139.25"/>
    <n v="182.5"/>
    <n v="179.8"/>
    <x v="351"/>
    <n v="187.8"/>
    <n v="184.9"/>
    <n v="372.70000000000005"/>
    <n v="169.7"/>
    <n v="173.8"/>
    <n v="180.3"/>
    <n v="354.1"/>
    <n v="199.9"/>
    <n v="179.5"/>
    <n v="379.4"/>
    <n v="179.8"/>
  </r>
  <r>
    <x v="1"/>
    <x v="10"/>
    <x v="4"/>
    <x v="247"/>
    <n v="219.4"/>
    <n v="176.7"/>
    <n v="179.4"/>
    <n v="164.4"/>
    <n v="175.8"/>
    <n v="185"/>
    <n v="176.9"/>
    <n v="124.2"/>
    <n v="211.9"/>
    <n v="165.9"/>
    <n v="197.7"/>
    <n v="183.1"/>
    <n v="2335.1"/>
    <n v="181.3"/>
    <n v="168.1"/>
    <n v="179.3"/>
    <n v="528.70000000000005"/>
    <n v="175.6"/>
    <n v="183.4"/>
    <n v="170.1"/>
    <x v="352"/>
    <n v="182.2"/>
    <n v="185.6"/>
    <n v="367.79999999999995"/>
    <n v="160.4"/>
    <n v="169.2"/>
    <n v="174.8"/>
    <n v="344"/>
    <n v="204.2"/>
    <n v="171.6"/>
    <n v="375.79999999999995"/>
    <n v="178.2"/>
  </r>
  <r>
    <x v="2"/>
    <x v="10"/>
    <x v="4"/>
    <x v="252"/>
    <n v="214.3"/>
    <n v="173.2"/>
    <n v="179.5"/>
    <n v="170"/>
    <n v="172.2"/>
    <n v="161"/>
    <n v="175.6"/>
    <n v="122.7"/>
    <n v="218"/>
    <n v="173.4"/>
    <n v="194.2"/>
    <n v="179.1"/>
    <n v="2306.9"/>
    <n v="187.3"/>
    <n v="179.7"/>
    <n v="186.2"/>
    <n v="553.20000000000005"/>
    <n v="175.6"/>
    <n v="182.8"/>
    <n v="175.2"/>
    <x v="353"/>
    <n v="185.7"/>
    <n v="185.2"/>
    <n v="370.9"/>
    <n v="164.8"/>
    <n v="171.2"/>
    <n v="177.1"/>
    <n v="348.29999999999995"/>
    <n v="201"/>
    <n v="175.7"/>
    <n v="376.7"/>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C00-000001000000}"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5:H27" firstHeaderRow="0" firstDataRow="1" firstDataCol="1" rowPageCount="2" colPageCount="1"/>
  <pivotFields count="36">
    <pivotField axis="axisPage" multipleItemSelectionAllowed="1" showAll="0">
      <items count="4">
        <item h="1" x="0"/>
        <item h="1" x="2"/>
        <item x="1"/>
        <item t="default"/>
      </items>
    </pivotField>
    <pivotField axis="axisPage" numFmtId="1" multipleItemSelectionAllowed="1" showAll="0">
      <items count="12">
        <item h="1" x="0"/>
        <item h="1" x="1"/>
        <item h="1" x="2"/>
        <item h="1" x="3"/>
        <item h="1" x="4"/>
        <item h="1" x="5"/>
        <item h="1" x="6"/>
        <item h="1" x="7"/>
        <item h="1" x="8"/>
        <item h="1" x="9"/>
        <item x="10"/>
        <item t="default"/>
      </items>
    </pivotField>
    <pivotField axis="axisRow" showAll="0">
      <items count="15">
        <item h="1" x="0"/>
        <item h="1" x="1"/>
        <item h="1" x="2"/>
        <item h="1" x="3"/>
        <item x="4"/>
        <item h="1" x="5"/>
        <item h="1" x="6"/>
        <item h="1" x="7"/>
        <item h="1" x="8"/>
        <item h="1" x="9"/>
        <item h="1" x="11"/>
        <item h="1" x="12"/>
        <item h="1" x="13"/>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numFmtId="2" showAll="0"/>
    <pivotField showAll="0"/>
    <pivotField showAll="0"/>
    <pivotField dataField="1" numFmtId="2" showAll="0"/>
    <pivotField showAll="0"/>
    <pivotField showAll="0"/>
    <pivotField dataField="1" showAll="0"/>
    <pivotField dataField="1" showAll="0"/>
    <pivotField showAll="0"/>
    <pivotField showAll="0"/>
    <pivotField dataField="1" showAll="0"/>
    <pivotField showAll="0"/>
    <pivotField showAll="0"/>
    <pivotField dataField="1" showAll="0"/>
    <pivotField showAll="0"/>
  </pivotFields>
  <rowFields count="1">
    <field x="2"/>
  </rowFields>
  <rowItems count="2">
    <i>
      <x v="4"/>
    </i>
    <i t="grand">
      <x/>
    </i>
  </rowItems>
  <colFields count="1">
    <field x="-2"/>
  </colFields>
  <colItems count="7">
    <i>
      <x/>
    </i>
    <i i="1">
      <x v="1"/>
    </i>
    <i i="2">
      <x v="2"/>
    </i>
    <i i="3">
      <x v="3"/>
    </i>
    <i i="4">
      <x v="4"/>
    </i>
    <i i="5">
      <x v="5"/>
    </i>
    <i i="6">
      <x v="6"/>
    </i>
  </colItems>
  <pageFields count="2">
    <pageField fld="1" hier="-1"/>
    <pageField fld="0" hier="-1"/>
  </pageFields>
  <dataFields count="7">
    <dataField name="Average of Total (Food Products)" fld="16" subtotal="average" baseField="2" baseItem="0"/>
    <dataField name="Average of Total (Clothing &amp; MISC)" fld="20" subtotal="average" baseField="2" baseItem="0"/>
    <dataField name="Average of Total (Housing &amp; MISC)" fld="24" subtotal="average" baseField="2" baseItem="0"/>
    <dataField name="Average of Total (Health &amp; Personal Care)" fld="27" subtotal="average" baseField="2" baseItem="0"/>
    <dataField name="Average of Transport and communication" fld="28" subtotal="average" baseField="2" baseItem="0"/>
    <dataField name="Average of Total Edu &amp; Ent" fld="31" subtotal="average" baseField="2" baseItem="0"/>
    <dataField name="Average of Total (MISC)" fld="34" subtotal="average" baseField="2"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H19" firstHeaderRow="0" firstDataRow="1" firstDataCol="1" rowPageCount="2" colPageCount="1"/>
  <pivotFields count="36">
    <pivotField axis="axisPage" multipleItemSelectionAllowed="1" showAll="0">
      <items count="4">
        <item x="0"/>
        <item x="2"/>
        <item x="1"/>
        <item t="default"/>
      </items>
    </pivotField>
    <pivotField axis="axisPage" numFmtId="1" multipleItemSelectionAllowed="1" showAll="0">
      <items count="12">
        <item x="0"/>
        <item x="1"/>
        <item x="2"/>
        <item x="3"/>
        <item x="4"/>
        <item x="5"/>
        <item x="6"/>
        <item x="7"/>
        <item x="8"/>
        <item x="9"/>
        <item x="10"/>
        <item t="default"/>
      </items>
    </pivotField>
    <pivotField axis="axisRow" showAll="0">
      <items count="15">
        <item x="0"/>
        <item x="1"/>
        <item x="2"/>
        <item x="3"/>
        <item x="4"/>
        <item x="5"/>
        <item x="6"/>
        <item x="7"/>
        <item x="8"/>
        <item x="9"/>
        <item x="11"/>
        <item x="12"/>
        <item x="13"/>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numFmtId="2" showAll="0"/>
    <pivotField showAll="0"/>
    <pivotField showAll="0"/>
    <pivotField dataField="1" numFmtId="2" showAll="0"/>
    <pivotField showAll="0"/>
    <pivotField showAll="0"/>
    <pivotField dataField="1" showAll="0"/>
    <pivotField dataField="1" showAll="0"/>
    <pivotField showAll="0"/>
    <pivotField showAll="0"/>
    <pivotField dataField="1" showAll="0"/>
    <pivotField showAll="0"/>
    <pivotField showAll="0"/>
    <pivotField dataField="1" showAll="0"/>
    <pivotField showAll="0"/>
  </pivotFields>
  <rowFields count="1">
    <field x="2"/>
  </rowFields>
  <rowItems count="15">
    <i>
      <x/>
    </i>
    <i>
      <x v="1"/>
    </i>
    <i>
      <x v="2"/>
    </i>
    <i>
      <x v="3"/>
    </i>
    <i>
      <x v="4"/>
    </i>
    <i>
      <x v="5"/>
    </i>
    <i>
      <x v="6"/>
    </i>
    <i>
      <x v="7"/>
    </i>
    <i>
      <x v="8"/>
    </i>
    <i>
      <x v="9"/>
    </i>
    <i>
      <x v="10"/>
    </i>
    <i>
      <x v="11"/>
    </i>
    <i>
      <x v="12"/>
    </i>
    <i>
      <x v="13"/>
    </i>
    <i t="grand">
      <x/>
    </i>
  </rowItems>
  <colFields count="1">
    <field x="-2"/>
  </colFields>
  <colItems count="7">
    <i>
      <x/>
    </i>
    <i i="1">
      <x v="1"/>
    </i>
    <i i="2">
      <x v="2"/>
    </i>
    <i i="3">
      <x v="3"/>
    </i>
    <i i="4">
      <x v="4"/>
    </i>
    <i i="5">
      <x v="5"/>
    </i>
    <i i="6">
      <x v="6"/>
    </i>
  </colItems>
  <pageFields count="2">
    <pageField fld="1" hier="-1"/>
    <pageField fld="0" hier="-1"/>
  </pageFields>
  <dataFields count="7">
    <dataField name="Average of Total (Food Products)" fld="16" subtotal="average" baseField="2" baseItem="0"/>
    <dataField name="Average of Total (Clothing &amp; MISC)" fld="20" subtotal="average" baseField="2" baseItem="0"/>
    <dataField name="Average of Total (Housing &amp; MISC)" fld="24" subtotal="average" baseField="2" baseItem="0"/>
    <dataField name="Average of Total (Health &amp; Personal Care)" fld="27" subtotal="average" baseField="2" baseItem="0"/>
    <dataField name="Average of Transport and communication" fld="28" subtotal="average" baseField="2" baseItem="0"/>
    <dataField name="Average of Total Edu &amp; Ent" fld="31" subtotal="average" baseField="2" baseItem="0"/>
    <dataField name="Average of Total (MISC)" fld="34" subtotal="average" baseField="2"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D375" totalsRowShown="0">
  <autoFilter ref="A1:AD375" xr:uid="{00000000-0009-0000-0100-000001000000}"/>
  <tableColumns count="30">
    <tableColumn id="1" xr3:uid="{00000000-0010-0000-0000-000001000000}" name="Sector"/>
    <tableColumn id="2" xr3:uid="{00000000-0010-0000-0000-000002000000}" name="Year"/>
    <tableColumn id="3" xr3:uid="{00000000-0010-0000-0000-000003000000}" name="Month"/>
    <tableColumn id="4" xr3:uid="{00000000-0010-0000-0000-000004000000}" name="Cereals and products"/>
    <tableColumn id="5" xr3:uid="{00000000-0010-0000-0000-000005000000}" name="Meat and fish"/>
    <tableColumn id="6" xr3:uid="{00000000-0010-0000-0000-000006000000}" name="Egg"/>
    <tableColumn id="7" xr3:uid="{00000000-0010-0000-0000-000007000000}" name="Milk and products"/>
    <tableColumn id="8" xr3:uid="{00000000-0010-0000-0000-000008000000}" name="Oils and fats"/>
    <tableColumn id="9" xr3:uid="{00000000-0010-0000-0000-000009000000}" name="Fruits"/>
    <tableColumn id="10" xr3:uid="{00000000-0010-0000-0000-00000A000000}" name="Vegetables"/>
    <tableColumn id="11" xr3:uid="{00000000-0010-0000-0000-00000B000000}" name="Pulses and products"/>
    <tableColumn id="12" xr3:uid="{00000000-0010-0000-0000-00000C000000}" name="Sugar and Confectionery"/>
    <tableColumn id="13" xr3:uid="{00000000-0010-0000-0000-00000D000000}" name="Spices"/>
    <tableColumn id="14" xr3:uid="{00000000-0010-0000-0000-00000E000000}" name="Non-alcoholic beverages"/>
    <tableColumn id="15" xr3:uid="{00000000-0010-0000-0000-00000F000000}" name="Prepared meals, snacks, sweets etc."/>
    <tableColumn id="16" xr3:uid="{00000000-0010-0000-0000-000010000000}" name="Food and beverages"/>
    <tableColumn id="18" xr3:uid="{00000000-0010-0000-0000-000012000000}" name="Clothing"/>
    <tableColumn id="19" xr3:uid="{00000000-0010-0000-0000-000013000000}" name="Footwear"/>
    <tableColumn id="20" xr3:uid="{00000000-0010-0000-0000-000014000000}" name="Clothing and footwear"/>
    <tableColumn id="21" xr3:uid="{00000000-0010-0000-0000-000015000000}" name="Housing"/>
    <tableColumn id="22" xr3:uid="{00000000-0010-0000-0000-000016000000}" name="Fuel and light"/>
    <tableColumn id="23" xr3:uid="{00000000-0010-0000-0000-000017000000}" name="Household goods and services"/>
    <tableColumn id="24" xr3:uid="{00000000-0010-0000-0000-000018000000}" name="Health"/>
    <tableColumn id="25" xr3:uid="{00000000-0010-0000-0000-000019000000}" name="Personal care and effects"/>
    <tableColumn id="32" xr3:uid="{00000000-0010-0000-0000-000020000000}" name="Transport and communication"/>
    <tableColumn id="26" xr3:uid="{00000000-0010-0000-0000-00001A000000}" name="Recreation and amusement"/>
    <tableColumn id="27" xr3:uid="{00000000-0010-0000-0000-00001B000000}" name="Education"/>
    <tableColumn id="31" xr3:uid="{00000000-0010-0000-0000-00001F000000}" name="Pan, tobacco and intoxicants"/>
    <tableColumn id="29" xr3:uid="{00000000-0010-0000-0000-00001D000000}" name="Miscellaneous"/>
    <tableColumn id="30" xr3:uid="{00000000-0010-0000-0000-00001E000000}" name="General index"/>
  </tableColumns>
  <tableStyleInfo name="TableStyleLight14"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75"/>
  <sheetViews>
    <sheetView topLeftCell="V1" workbookViewId="0">
      <selection activeCell="AB1" sqref="AB1"/>
    </sheetView>
  </sheetViews>
  <sheetFormatPr defaultColWidth="10" defaultRowHeight="14.4"/>
  <cols>
    <col min="1" max="1" width="12.109375" customWidth="1"/>
    <col min="2" max="2" width="6.5546875" customWidth="1"/>
    <col min="3" max="3" width="10.6640625" customWidth="1"/>
    <col min="4" max="4" width="20.44140625" customWidth="1"/>
    <col min="5" max="5" width="14.44140625" customWidth="1"/>
    <col min="6" max="6" width="6.6640625" customWidth="1"/>
    <col min="7" max="7" width="18.109375" customWidth="1"/>
    <col min="8" max="8" width="13.109375" customWidth="1"/>
    <col min="9" max="9" width="7.44140625" customWidth="1"/>
    <col min="10" max="10" width="12.109375" customWidth="1"/>
    <col min="11" max="11" width="19.6640625" customWidth="1"/>
    <col min="12" max="12" width="23.6640625" customWidth="1"/>
    <col min="13" max="13" width="8.109375" customWidth="1"/>
    <col min="14" max="14" width="23.5546875" customWidth="1"/>
    <col min="15" max="15" width="33.109375" customWidth="1"/>
    <col min="16" max="16" width="19.6640625" customWidth="1"/>
    <col min="17" max="17" width="9.88671875" customWidth="1"/>
    <col min="18" max="18" width="10.6640625" customWidth="1"/>
    <col min="19" max="19" width="21.6640625" customWidth="1"/>
    <col min="20" max="20" width="9.6640625" customWidth="1"/>
    <col min="21" max="21" width="14.109375" customWidth="1"/>
    <col min="22" max="22" width="28.109375" customWidth="1"/>
    <col min="23" max="23" width="8.33203125" customWidth="1"/>
    <col min="24" max="25" width="28.33203125" customWidth="1"/>
    <col min="26" max="26" width="26" customWidth="1"/>
    <col min="27" max="27" width="11.33203125" customWidth="1"/>
    <col min="28" max="28" width="23.88671875" customWidth="1"/>
    <col min="29" max="29" width="14.6640625" customWidth="1"/>
    <col min="30" max="30" width="14.33203125"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17</v>
      </c>
      <c r="R1" t="s">
        <v>18</v>
      </c>
      <c r="S1" t="s">
        <v>19</v>
      </c>
      <c r="T1" t="s">
        <v>20</v>
      </c>
      <c r="U1" t="s">
        <v>21</v>
      </c>
      <c r="V1" t="s">
        <v>22</v>
      </c>
      <c r="W1" t="s">
        <v>23</v>
      </c>
      <c r="X1" t="s">
        <v>27</v>
      </c>
      <c r="Y1" s="7" t="s">
        <v>24</v>
      </c>
      <c r="Z1" t="s">
        <v>25</v>
      </c>
      <c r="AA1" t="s">
        <v>26</v>
      </c>
      <c r="AB1" s="7" t="s">
        <v>16</v>
      </c>
      <c r="AC1" t="s">
        <v>28</v>
      </c>
      <c r="AD1" t="s">
        <v>29</v>
      </c>
    </row>
    <row r="2" spans="1:30">
      <c r="A2" t="s">
        <v>30</v>
      </c>
      <c r="B2">
        <v>2013</v>
      </c>
      <c r="C2" t="s">
        <v>31</v>
      </c>
      <c r="D2">
        <v>107.5</v>
      </c>
      <c r="E2">
        <v>106.3</v>
      </c>
      <c r="F2">
        <v>108.1</v>
      </c>
      <c r="G2">
        <v>104.9</v>
      </c>
      <c r="H2">
        <v>106.1</v>
      </c>
      <c r="I2">
        <v>103.9</v>
      </c>
      <c r="J2">
        <v>101.9</v>
      </c>
      <c r="K2">
        <v>106.1</v>
      </c>
      <c r="L2">
        <v>106.8</v>
      </c>
      <c r="M2">
        <v>103.1</v>
      </c>
      <c r="N2">
        <v>104.8</v>
      </c>
      <c r="O2">
        <v>106.7</v>
      </c>
      <c r="P2">
        <v>105.5</v>
      </c>
      <c r="Q2">
        <v>106.5</v>
      </c>
      <c r="R2">
        <v>105.8</v>
      </c>
      <c r="S2">
        <v>106.4</v>
      </c>
      <c r="T2">
        <v>139.25609756097555</v>
      </c>
      <c r="U2">
        <v>105.5</v>
      </c>
      <c r="V2">
        <v>104.8</v>
      </c>
      <c r="W2">
        <v>104</v>
      </c>
      <c r="X2">
        <v>104.7</v>
      </c>
      <c r="Y2">
        <v>103.3</v>
      </c>
      <c r="Z2">
        <v>103.4</v>
      </c>
      <c r="AA2">
        <v>103.8</v>
      </c>
      <c r="AB2">
        <v>105.1</v>
      </c>
      <c r="AC2">
        <v>104</v>
      </c>
      <c r="AD2">
        <v>105.1</v>
      </c>
    </row>
    <row r="3" spans="1:30">
      <c r="A3" t="s">
        <v>33</v>
      </c>
      <c r="B3">
        <v>2013</v>
      </c>
      <c r="C3" t="s">
        <v>31</v>
      </c>
      <c r="D3">
        <v>110.5</v>
      </c>
      <c r="E3">
        <v>109.1</v>
      </c>
      <c r="F3">
        <v>113</v>
      </c>
      <c r="G3">
        <v>103.6</v>
      </c>
      <c r="H3">
        <v>103.4</v>
      </c>
      <c r="I3">
        <v>102.3</v>
      </c>
      <c r="J3">
        <v>102.9</v>
      </c>
      <c r="K3">
        <v>105.8</v>
      </c>
      <c r="L3">
        <v>105.1</v>
      </c>
      <c r="M3">
        <v>101.8</v>
      </c>
      <c r="N3">
        <v>105.1</v>
      </c>
      <c r="O3">
        <v>107.9</v>
      </c>
      <c r="P3">
        <v>105.9</v>
      </c>
      <c r="Q3">
        <v>105.9</v>
      </c>
      <c r="R3">
        <v>105</v>
      </c>
      <c r="S3">
        <v>105.8</v>
      </c>
      <c r="T3">
        <v>139.25609756097555</v>
      </c>
      <c r="U3">
        <v>105.4</v>
      </c>
      <c r="V3">
        <v>104.8</v>
      </c>
      <c r="W3">
        <v>104.1</v>
      </c>
      <c r="X3">
        <v>104.3</v>
      </c>
      <c r="Y3">
        <v>103.2</v>
      </c>
      <c r="Z3">
        <v>102.9</v>
      </c>
      <c r="AA3">
        <v>103.5</v>
      </c>
      <c r="AB3">
        <v>105.2</v>
      </c>
      <c r="AC3">
        <v>103.7</v>
      </c>
      <c r="AD3">
        <v>104</v>
      </c>
    </row>
    <row r="4" spans="1:30">
      <c r="A4" t="s">
        <v>34</v>
      </c>
      <c r="B4">
        <v>2013</v>
      </c>
      <c r="C4" t="s">
        <v>31</v>
      </c>
      <c r="D4">
        <v>108.4</v>
      </c>
      <c r="E4">
        <v>107.3</v>
      </c>
      <c r="F4">
        <v>110</v>
      </c>
      <c r="G4">
        <v>104.4</v>
      </c>
      <c r="H4">
        <v>105.1</v>
      </c>
      <c r="I4">
        <v>103.2</v>
      </c>
      <c r="J4">
        <v>102.2</v>
      </c>
      <c r="K4">
        <v>106</v>
      </c>
      <c r="L4">
        <v>106.2</v>
      </c>
      <c r="M4">
        <v>102.7</v>
      </c>
      <c r="N4">
        <v>104.9</v>
      </c>
      <c r="O4">
        <v>107.3</v>
      </c>
      <c r="P4">
        <v>105.6</v>
      </c>
      <c r="Q4">
        <v>106.3</v>
      </c>
      <c r="R4">
        <v>105.5</v>
      </c>
      <c r="S4">
        <v>106.2</v>
      </c>
      <c r="T4">
        <v>139.25609756097555</v>
      </c>
      <c r="U4">
        <v>105.5</v>
      </c>
      <c r="V4">
        <v>104.8</v>
      </c>
      <c r="W4">
        <v>104</v>
      </c>
      <c r="X4">
        <v>104.5</v>
      </c>
      <c r="Y4">
        <v>103.2</v>
      </c>
      <c r="Z4">
        <v>103.1</v>
      </c>
      <c r="AA4">
        <v>103.6</v>
      </c>
      <c r="AB4">
        <v>105.1</v>
      </c>
      <c r="AC4">
        <v>103.9</v>
      </c>
      <c r="AD4">
        <v>104.6</v>
      </c>
    </row>
    <row r="5" spans="1:30">
      <c r="A5" t="s">
        <v>30</v>
      </c>
      <c r="B5">
        <v>2013</v>
      </c>
      <c r="C5" t="s">
        <v>35</v>
      </c>
      <c r="D5">
        <v>109.2</v>
      </c>
      <c r="E5">
        <v>108.7</v>
      </c>
      <c r="F5">
        <v>110.2</v>
      </c>
      <c r="G5">
        <v>105.4</v>
      </c>
      <c r="H5">
        <v>106.7</v>
      </c>
      <c r="I5">
        <v>104</v>
      </c>
      <c r="J5">
        <v>102.4</v>
      </c>
      <c r="K5">
        <v>105.9</v>
      </c>
      <c r="L5">
        <v>105.7</v>
      </c>
      <c r="M5">
        <v>103.1</v>
      </c>
      <c r="N5">
        <v>105.1</v>
      </c>
      <c r="O5">
        <v>107.7</v>
      </c>
      <c r="P5">
        <v>106.3</v>
      </c>
      <c r="Q5">
        <v>107.1</v>
      </c>
      <c r="R5">
        <v>106.3</v>
      </c>
      <c r="S5">
        <v>107</v>
      </c>
      <c r="T5">
        <v>139.25609756097555</v>
      </c>
      <c r="U5">
        <v>106.2</v>
      </c>
      <c r="V5">
        <v>105.2</v>
      </c>
      <c r="W5">
        <v>104.4</v>
      </c>
      <c r="X5">
        <v>104.6</v>
      </c>
      <c r="Y5">
        <v>103.9</v>
      </c>
      <c r="Z5">
        <v>104</v>
      </c>
      <c r="AA5">
        <v>104.1</v>
      </c>
      <c r="AB5">
        <v>105.6</v>
      </c>
      <c r="AC5">
        <v>104.4</v>
      </c>
      <c r="AD5">
        <v>105.8</v>
      </c>
    </row>
    <row r="6" spans="1:30">
      <c r="A6" t="s">
        <v>33</v>
      </c>
      <c r="B6">
        <v>2013</v>
      </c>
      <c r="C6" t="s">
        <v>35</v>
      </c>
      <c r="D6">
        <v>112.9</v>
      </c>
      <c r="E6">
        <v>112.9</v>
      </c>
      <c r="F6">
        <v>116.9</v>
      </c>
      <c r="G6">
        <v>104</v>
      </c>
      <c r="H6">
        <v>103.5</v>
      </c>
      <c r="I6">
        <v>103.1</v>
      </c>
      <c r="J6">
        <v>104.9</v>
      </c>
      <c r="K6">
        <v>104.1</v>
      </c>
      <c r="L6">
        <v>103.8</v>
      </c>
      <c r="M6">
        <v>102.3</v>
      </c>
      <c r="N6">
        <v>106</v>
      </c>
      <c r="O6">
        <v>109</v>
      </c>
      <c r="P6">
        <v>107.2</v>
      </c>
      <c r="Q6">
        <v>106.6</v>
      </c>
      <c r="R6">
        <v>105.5</v>
      </c>
      <c r="S6">
        <v>106.4</v>
      </c>
      <c r="T6">
        <v>139.25609756097555</v>
      </c>
      <c r="U6">
        <v>105.7</v>
      </c>
      <c r="V6">
        <v>105.2</v>
      </c>
      <c r="W6">
        <v>104.7</v>
      </c>
      <c r="X6">
        <v>104.3</v>
      </c>
      <c r="Y6">
        <v>104.4</v>
      </c>
      <c r="Z6">
        <v>103.3</v>
      </c>
      <c r="AA6">
        <v>103.7</v>
      </c>
      <c r="AB6">
        <v>106</v>
      </c>
      <c r="AC6">
        <v>104.3</v>
      </c>
      <c r="AD6">
        <v>104.7</v>
      </c>
    </row>
    <row r="7" spans="1:30">
      <c r="A7" t="s">
        <v>34</v>
      </c>
      <c r="B7">
        <v>2013</v>
      </c>
      <c r="C7" t="s">
        <v>35</v>
      </c>
      <c r="D7">
        <v>110.4</v>
      </c>
      <c r="E7">
        <v>110.2</v>
      </c>
      <c r="F7">
        <v>112.8</v>
      </c>
      <c r="G7">
        <v>104.9</v>
      </c>
      <c r="H7">
        <v>105.5</v>
      </c>
      <c r="I7">
        <v>103.6</v>
      </c>
      <c r="J7">
        <v>103.2</v>
      </c>
      <c r="K7">
        <v>105.3</v>
      </c>
      <c r="L7">
        <v>105.1</v>
      </c>
      <c r="M7">
        <v>102.8</v>
      </c>
      <c r="N7">
        <v>105.5</v>
      </c>
      <c r="O7">
        <v>108.3</v>
      </c>
      <c r="P7">
        <v>106.6</v>
      </c>
      <c r="Q7">
        <v>106.9</v>
      </c>
      <c r="R7">
        <v>106</v>
      </c>
      <c r="S7">
        <v>106.8</v>
      </c>
      <c r="T7">
        <v>139.25609756097555</v>
      </c>
      <c r="U7">
        <v>106</v>
      </c>
      <c r="V7">
        <v>105.2</v>
      </c>
      <c r="W7">
        <v>104.5</v>
      </c>
      <c r="X7">
        <v>104.5</v>
      </c>
      <c r="Y7">
        <v>104.2</v>
      </c>
      <c r="Z7">
        <v>103.6</v>
      </c>
      <c r="AA7">
        <v>103.9</v>
      </c>
      <c r="AB7">
        <v>105.7</v>
      </c>
      <c r="AC7">
        <v>104.4</v>
      </c>
      <c r="AD7">
        <v>105.3</v>
      </c>
    </row>
    <row r="8" spans="1:30">
      <c r="A8" t="s">
        <v>30</v>
      </c>
      <c r="B8">
        <v>2013</v>
      </c>
      <c r="C8" t="s">
        <v>36</v>
      </c>
      <c r="D8">
        <v>110.2</v>
      </c>
      <c r="E8">
        <v>108.8</v>
      </c>
      <c r="F8">
        <v>109.9</v>
      </c>
      <c r="G8">
        <v>105.6</v>
      </c>
      <c r="H8">
        <v>106.2</v>
      </c>
      <c r="I8">
        <v>105.7</v>
      </c>
      <c r="J8">
        <v>101.4</v>
      </c>
      <c r="K8">
        <v>105.7</v>
      </c>
      <c r="L8">
        <v>105</v>
      </c>
      <c r="M8">
        <v>103.3</v>
      </c>
      <c r="N8">
        <v>105.6</v>
      </c>
      <c r="O8">
        <v>108.2</v>
      </c>
      <c r="P8">
        <v>106.6</v>
      </c>
      <c r="Q8">
        <v>107.6</v>
      </c>
      <c r="R8">
        <v>106.8</v>
      </c>
      <c r="S8">
        <v>107.5</v>
      </c>
      <c r="T8">
        <v>139.25609756097555</v>
      </c>
      <c r="U8">
        <v>106.1</v>
      </c>
      <c r="V8">
        <v>105.6</v>
      </c>
      <c r="W8">
        <v>104.7</v>
      </c>
      <c r="X8">
        <v>104.3</v>
      </c>
      <c r="Y8">
        <v>104.6</v>
      </c>
      <c r="Z8">
        <v>104</v>
      </c>
      <c r="AA8">
        <v>104.3</v>
      </c>
      <c r="AB8">
        <v>106.5</v>
      </c>
      <c r="AC8">
        <v>104.6</v>
      </c>
      <c r="AD8">
        <v>106</v>
      </c>
    </row>
    <row r="9" spans="1:30">
      <c r="A9" t="s">
        <v>33</v>
      </c>
      <c r="B9">
        <v>2013</v>
      </c>
      <c r="C9" t="s">
        <v>36</v>
      </c>
      <c r="D9">
        <v>113.9</v>
      </c>
      <c r="E9">
        <v>111.4</v>
      </c>
      <c r="F9">
        <v>113.2</v>
      </c>
      <c r="G9">
        <v>104.3</v>
      </c>
      <c r="H9">
        <v>102.7</v>
      </c>
      <c r="I9">
        <v>104.9</v>
      </c>
      <c r="J9">
        <v>103.8</v>
      </c>
      <c r="K9">
        <v>103.5</v>
      </c>
      <c r="L9">
        <v>102.6</v>
      </c>
      <c r="M9">
        <v>102.4</v>
      </c>
      <c r="N9">
        <v>107</v>
      </c>
      <c r="O9">
        <v>109.8</v>
      </c>
      <c r="P9">
        <v>107.3</v>
      </c>
      <c r="Q9">
        <v>107.2</v>
      </c>
      <c r="R9">
        <v>106</v>
      </c>
      <c r="S9">
        <v>107</v>
      </c>
      <c r="T9">
        <v>139.25609756097555</v>
      </c>
      <c r="U9">
        <v>106</v>
      </c>
      <c r="V9">
        <v>105.7</v>
      </c>
      <c r="W9">
        <v>105.2</v>
      </c>
      <c r="X9">
        <v>104.2</v>
      </c>
      <c r="Y9">
        <v>105.5</v>
      </c>
      <c r="Z9">
        <v>103.5</v>
      </c>
      <c r="AA9">
        <v>103.8</v>
      </c>
      <c r="AB9">
        <v>106.8</v>
      </c>
      <c r="AC9">
        <v>104.9</v>
      </c>
      <c r="AD9">
        <v>105</v>
      </c>
    </row>
    <row r="10" spans="1:30">
      <c r="A10" t="s">
        <v>34</v>
      </c>
      <c r="B10">
        <v>2013</v>
      </c>
      <c r="C10" t="s">
        <v>36</v>
      </c>
      <c r="D10">
        <v>111.4</v>
      </c>
      <c r="E10">
        <v>109.7</v>
      </c>
      <c r="F10">
        <v>111.2</v>
      </c>
      <c r="G10">
        <v>105.1</v>
      </c>
      <c r="H10">
        <v>104.9</v>
      </c>
      <c r="I10">
        <v>105.3</v>
      </c>
      <c r="J10">
        <v>102.2</v>
      </c>
      <c r="K10">
        <v>105</v>
      </c>
      <c r="L10">
        <v>104.2</v>
      </c>
      <c r="M10">
        <v>103</v>
      </c>
      <c r="N10">
        <v>106.2</v>
      </c>
      <c r="O10">
        <v>108.9</v>
      </c>
      <c r="P10">
        <v>106.9</v>
      </c>
      <c r="Q10">
        <v>107.4</v>
      </c>
      <c r="R10">
        <v>106.5</v>
      </c>
      <c r="S10">
        <v>107.3</v>
      </c>
      <c r="T10">
        <v>139.25609756097555</v>
      </c>
      <c r="U10">
        <v>106.1</v>
      </c>
      <c r="V10">
        <v>105.6</v>
      </c>
      <c r="W10">
        <v>104.9</v>
      </c>
      <c r="X10">
        <v>104.3</v>
      </c>
      <c r="Y10">
        <v>105.1</v>
      </c>
      <c r="Z10">
        <v>103.7</v>
      </c>
      <c r="AA10">
        <v>104</v>
      </c>
      <c r="AB10">
        <v>106.6</v>
      </c>
      <c r="AC10">
        <v>104.7</v>
      </c>
      <c r="AD10">
        <v>105.5</v>
      </c>
    </row>
    <row r="11" spans="1:30">
      <c r="A11" t="s">
        <v>30</v>
      </c>
      <c r="B11">
        <v>2013</v>
      </c>
      <c r="C11" t="s">
        <v>37</v>
      </c>
      <c r="D11">
        <v>110.2</v>
      </c>
      <c r="E11">
        <v>109.5</v>
      </c>
      <c r="F11">
        <v>106.9</v>
      </c>
      <c r="G11">
        <v>106.3</v>
      </c>
      <c r="H11">
        <v>105.7</v>
      </c>
      <c r="I11">
        <v>108.3</v>
      </c>
      <c r="J11">
        <v>103.4</v>
      </c>
      <c r="K11">
        <v>105.7</v>
      </c>
      <c r="L11">
        <v>104.2</v>
      </c>
      <c r="M11">
        <v>103.2</v>
      </c>
      <c r="N11">
        <v>106.5</v>
      </c>
      <c r="O11">
        <v>108.8</v>
      </c>
      <c r="P11">
        <v>107.1</v>
      </c>
      <c r="Q11">
        <v>108.1</v>
      </c>
      <c r="R11">
        <v>107.4</v>
      </c>
      <c r="S11">
        <v>108</v>
      </c>
      <c r="T11">
        <v>139.25609756097555</v>
      </c>
      <c r="U11">
        <v>106.5</v>
      </c>
      <c r="V11">
        <v>106.1</v>
      </c>
      <c r="W11">
        <v>105.1</v>
      </c>
      <c r="X11">
        <v>102.7</v>
      </c>
      <c r="Y11">
        <v>104.4</v>
      </c>
      <c r="Z11">
        <v>104.5</v>
      </c>
      <c r="AA11">
        <v>104.8</v>
      </c>
      <c r="AB11">
        <v>107.1</v>
      </c>
      <c r="AC11">
        <v>104.6</v>
      </c>
      <c r="AD11">
        <v>106.4</v>
      </c>
    </row>
    <row r="12" spans="1:30">
      <c r="A12" t="s">
        <v>33</v>
      </c>
      <c r="B12">
        <v>2013</v>
      </c>
      <c r="C12" t="s">
        <v>37</v>
      </c>
      <c r="D12">
        <v>114.6</v>
      </c>
      <c r="E12">
        <v>113.4</v>
      </c>
      <c r="F12">
        <v>106</v>
      </c>
      <c r="G12">
        <v>104.7</v>
      </c>
      <c r="H12">
        <v>102.1</v>
      </c>
      <c r="I12">
        <v>109.5</v>
      </c>
      <c r="J12">
        <v>109.7</v>
      </c>
      <c r="K12">
        <v>104.6</v>
      </c>
      <c r="L12">
        <v>102</v>
      </c>
      <c r="M12">
        <v>103.5</v>
      </c>
      <c r="N12">
        <v>108.2</v>
      </c>
      <c r="O12">
        <v>110.6</v>
      </c>
      <c r="P12">
        <v>108.8</v>
      </c>
      <c r="Q12">
        <v>107.9</v>
      </c>
      <c r="R12">
        <v>106.4</v>
      </c>
      <c r="S12">
        <v>107.7</v>
      </c>
      <c r="T12">
        <v>139.25609756097555</v>
      </c>
      <c r="U12">
        <v>106.4</v>
      </c>
      <c r="V12">
        <v>106.5</v>
      </c>
      <c r="W12">
        <v>105.7</v>
      </c>
      <c r="X12">
        <v>103.2</v>
      </c>
      <c r="Y12">
        <v>105</v>
      </c>
      <c r="Z12">
        <v>104</v>
      </c>
      <c r="AA12">
        <v>105.2</v>
      </c>
      <c r="AB12">
        <v>108.5</v>
      </c>
      <c r="AC12">
        <v>105.1</v>
      </c>
      <c r="AD12">
        <v>105.7</v>
      </c>
    </row>
    <row r="13" spans="1:30">
      <c r="A13" t="s">
        <v>34</v>
      </c>
      <c r="B13">
        <v>2013</v>
      </c>
      <c r="C13" t="s">
        <v>37</v>
      </c>
      <c r="D13">
        <v>111.6</v>
      </c>
      <c r="E13">
        <v>110.9</v>
      </c>
      <c r="F13">
        <v>106.6</v>
      </c>
      <c r="G13">
        <v>105.7</v>
      </c>
      <c r="H13">
        <v>104.4</v>
      </c>
      <c r="I13">
        <v>108.9</v>
      </c>
      <c r="J13">
        <v>105.5</v>
      </c>
      <c r="K13">
        <v>105.3</v>
      </c>
      <c r="L13">
        <v>103.5</v>
      </c>
      <c r="M13">
        <v>103.3</v>
      </c>
      <c r="N13">
        <v>107.2</v>
      </c>
      <c r="O13">
        <v>109.6</v>
      </c>
      <c r="P13">
        <v>107.7</v>
      </c>
      <c r="Q13">
        <v>108</v>
      </c>
      <c r="R13">
        <v>107</v>
      </c>
      <c r="S13">
        <v>107.9</v>
      </c>
      <c r="T13">
        <v>139.25609756097555</v>
      </c>
      <c r="U13">
        <v>106.5</v>
      </c>
      <c r="V13">
        <v>106.3</v>
      </c>
      <c r="W13">
        <v>105.3</v>
      </c>
      <c r="X13">
        <v>102.9</v>
      </c>
      <c r="Y13">
        <v>104.7</v>
      </c>
      <c r="Z13">
        <v>104.2</v>
      </c>
      <c r="AA13">
        <v>105</v>
      </c>
      <c r="AB13">
        <v>107.5</v>
      </c>
      <c r="AC13">
        <v>104.8</v>
      </c>
      <c r="AD13">
        <v>106.1</v>
      </c>
    </row>
    <row r="14" spans="1:30">
      <c r="A14" t="s">
        <v>30</v>
      </c>
      <c r="B14">
        <v>2013</v>
      </c>
      <c r="C14" t="s">
        <v>38</v>
      </c>
      <c r="D14">
        <v>110.9</v>
      </c>
      <c r="E14">
        <v>109.8</v>
      </c>
      <c r="F14">
        <v>105.9</v>
      </c>
      <c r="G14">
        <v>107.5</v>
      </c>
      <c r="H14">
        <v>105.3</v>
      </c>
      <c r="I14">
        <v>108.1</v>
      </c>
      <c r="J14">
        <v>107.3</v>
      </c>
      <c r="K14">
        <v>106.1</v>
      </c>
      <c r="L14">
        <v>103.7</v>
      </c>
      <c r="M14">
        <v>104</v>
      </c>
      <c r="N14">
        <v>107.4</v>
      </c>
      <c r="O14">
        <v>109.9</v>
      </c>
      <c r="P14">
        <v>108.1</v>
      </c>
      <c r="Q14">
        <v>108.8</v>
      </c>
      <c r="R14">
        <v>107.9</v>
      </c>
      <c r="S14">
        <v>108.6</v>
      </c>
      <c r="T14">
        <v>139.25609756097555</v>
      </c>
      <c r="U14">
        <v>107.5</v>
      </c>
      <c r="V14">
        <v>106.8</v>
      </c>
      <c r="W14">
        <v>105.7</v>
      </c>
      <c r="X14">
        <v>102.1</v>
      </c>
      <c r="Y14">
        <v>104.1</v>
      </c>
      <c r="Z14">
        <v>105</v>
      </c>
      <c r="AA14">
        <v>105.5</v>
      </c>
      <c r="AB14">
        <v>108.1</v>
      </c>
      <c r="AC14">
        <v>104.8</v>
      </c>
      <c r="AD14">
        <v>107.2</v>
      </c>
    </row>
    <row r="15" spans="1:30">
      <c r="A15" t="s">
        <v>33</v>
      </c>
      <c r="B15">
        <v>2013</v>
      </c>
      <c r="C15" t="s">
        <v>38</v>
      </c>
      <c r="D15">
        <v>115.4</v>
      </c>
      <c r="E15">
        <v>114.2</v>
      </c>
      <c r="F15">
        <v>102.7</v>
      </c>
      <c r="G15">
        <v>105.5</v>
      </c>
      <c r="H15">
        <v>101.5</v>
      </c>
      <c r="I15">
        <v>110.6</v>
      </c>
      <c r="J15">
        <v>123.7</v>
      </c>
      <c r="K15">
        <v>105.2</v>
      </c>
      <c r="L15">
        <v>101.9</v>
      </c>
      <c r="M15">
        <v>105</v>
      </c>
      <c r="N15">
        <v>109.1</v>
      </c>
      <c r="O15">
        <v>111.3</v>
      </c>
      <c r="P15">
        <v>111.1</v>
      </c>
      <c r="Q15">
        <v>108.5</v>
      </c>
      <c r="R15">
        <v>106.7</v>
      </c>
      <c r="S15">
        <v>108.3</v>
      </c>
      <c r="T15">
        <v>139.25609756097555</v>
      </c>
      <c r="U15">
        <v>107.2</v>
      </c>
      <c r="V15">
        <v>107.1</v>
      </c>
      <c r="W15">
        <v>106.2</v>
      </c>
      <c r="X15">
        <v>102.6</v>
      </c>
      <c r="Y15">
        <v>103.9</v>
      </c>
      <c r="Z15">
        <v>104.6</v>
      </c>
      <c r="AA15">
        <v>105.7</v>
      </c>
      <c r="AB15">
        <v>109.8</v>
      </c>
      <c r="AC15">
        <v>104.9</v>
      </c>
      <c r="AD15">
        <v>106.6</v>
      </c>
    </row>
    <row r="16" spans="1:30">
      <c r="A16" t="s">
        <v>34</v>
      </c>
      <c r="B16">
        <v>2013</v>
      </c>
      <c r="C16" t="s">
        <v>38</v>
      </c>
      <c r="D16">
        <v>112.3</v>
      </c>
      <c r="E16">
        <v>111.3</v>
      </c>
      <c r="F16">
        <v>104.7</v>
      </c>
      <c r="G16">
        <v>106.8</v>
      </c>
      <c r="H16">
        <v>103.9</v>
      </c>
      <c r="I16">
        <v>109.3</v>
      </c>
      <c r="J16">
        <v>112.9</v>
      </c>
      <c r="K16">
        <v>105.8</v>
      </c>
      <c r="L16">
        <v>103.1</v>
      </c>
      <c r="M16">
        <v>104.3</v>
      </c>
      <c r="N16">
        <v>108.1</v>
      </c>
      <c r="O16">
        <v>110.5</v>
      </c>
      <c r="P16">
        <v>109.2</v>
      </c>
      <c r="Q16">
        <v>108.7</v>
      </c>
      <c r="R16">
        <v>107.4</v>
      </c>
      <c r="S16">
        <v>108.5</v>
      </c>
      <c r="T16">
        <v>139.25609756097555</v>
      </c>
      <c r="U16">
        <v>107.4</v>
      </c>
      <c r="V16">
        <v>106.9</v>
      </c>
      <c r="W16">
        <v>105.9</v>
      </c>
      <c r="X16">
        <v>102.3</v>
      </c>
      <c r="Y16">
        <v>104</v>
      </c>
      <c r="Z16">
        <v>104.8</v>
      </c>
      <c r="AA16">
        <v>105.6</v>
      </c>
      <c r="AB16">
        <v>108.6</v>
      </c>
      <c r="AC16">
        <v>104.8</v>
      </c>
      <c r="AD16">
        <v>106.9</v>
      </c>
    </row>
    <row r="17" spans="1:30">
      <c r="A17" t="s">
        <v>30</v>
      </c>
      <c r="B17">
        <v>2013</v>
      </c>
      <c r="C17" t="s">
        <v>39</v>
      </c>
      <c r="D17">
        <v>112.3</v>
      </c>
      <c r="E17">
        <v>112.1</v>
      </c>
      <c r="F17">
        <v>108.1</v>
      </c>
      <c r="G17">
        <v>108.3</v>
      </c>
      <c r="H17">
        <v>105.9</v>
      </c>
      <c r="I17">
        <v>109.2</v>
      </c>
      <c r="J17">
        <v>118</v>
      </c>
      <c r="K17">
        <v>106.8</v>
      </c>
      <c r="L17">
        <v>104.1</v>
      </c>
      <c r="M17">
        <v>105.4</v>
      </c>
      <c r="N17">
        <v>108.2</v>
      </c>
      <c r="O17">
        <v>111</v>
      </c>
      <c r="P17">
        <v>110.6</v>
      </c>
      <c r="Q17">
        <v>109.7</v>
      </c>
      <c r="R17">
        <v>108.8</v>
      </c>
      <c r="S17">
        <v>109.5</v>
      </c>
      <c r="T17">
        <v>139.25609756097555</v>
      </c>
      <c r="U17">
        <v>108.5</v>
      </c>
      <c r="V17">
        <v>107.5</v>
      </c>
      <c r="W17">
        <v>106.3</v>
      </c>
      <c r="X17">
        <v>102.5</v>
      </c>
      <c r="Y17">
        <v>105</v>
      </c>
      <c r="Z17">
        <v>105.6</v>
      </c>
      <c r="AA17">
        <v>106.5</v>
      </c>
      <c r="AB17">
        <v>109</v>
      </c>
      <c r="AC17">
        <v>105.5</v>
      </c>
      <c r="AD17">
        <v>108.9</v>
      </c>
    </row>
    <row r="18" spans="1:30">
      <c r="A18" t="s">
        <v>33</v>
      </c>
      <c r="B18">
        <v>2013</v>
      </c>
      <c r="C18" t="s">
        <v>39</v>
      </c>
      <c r="D18">
        <v>117</v>
      </c>
      <c r="E18">
        <v>120.1</v>
      </c>
      <c r="F18">
        <v>112.5</v>
      </c>
      <c r="G18">
        <v>107.3</v>
      </c>
      <c r="H18">
        <v>101.3</v>
      </c>
      <c r="I18">
        <v>112.4</v>
      </c>
      <c r="J18">
        <v>143.6</v>
      </c>
      <c r="K18">
        <v>105.4</v>
      </c>
      <c r="L18">
        <v>101.4</v>
      </c>
      <c r="M18">
        <v>106.4</v>
      </c>
      <c r="N18">
        <v>110</v>
      </c>
      <c r="O18">
        <v>112.2</v>
      </c>
      <c r="P18">
        <v>115</v>
      </c>
      <c r="Q18">
        <v>109.2</v>
      </c>
      <c r="R18">
        <v>107.2</v>
      </c>
      <c r="S18">
        <v>108.9</v>
      </c>
      <c r="T18">
        <v>139.25609756097555</v>
      </c>
      <c r="U18">
        <v>108</v>
      </c>
      <c r="V18">
        <v>107.7</v>
      </c>
      <c r="W18">
        <v>106.5</v>
      </c>
      <c r="X18">
        <v>103.3</v>
      </c>
      <c r="Y18">
        <v>105.2</v>
      </c>
      <c r="Z18">
        <v>105.2</v>
      </c>
      <c r="AA18">
        <v>108.1</v>
      </c>
      <c r="AB18">
        <v>110.9</v>
      </c>
      <c r="AC18">
        <v>106.1</v>
      </c>
      <c r="AD18">
        <v>109.7</v>
      </c>
    </row>
    <row r="19" spans="1:30">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108.1</v>
      </c>
      <c r="S19">
        <v>109.3</v>
      </c>
      <c r="T19">
        <v>139.25609756097555</v>
      </c>
      <c r="U19">
        <v>108.3</v>
      </c>
      <c r="V19">
        <v>107.6</v>
      </c>
      <c r="W19">
        <v>106.4</v>
      </c>
      <c r="X19">
        <v>102.8</v>
      </c>
      <c r="Y19">
        <v>105.1</v>
      </c>
      <c r="Z19">
        <v>105.4</v>
      </c>
      <c r="AA19">
        <v>107.4</v>
      </c>
      <c r="AB19">
        <v>109.5</v>
      </c>
      <c r="AC19">
        <v>105.8</v>
      </c>
      <c r="AD19">
        <v>109.3</v>
      </c>
    </row>
    <row r="20" spans="1:30">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110.5</v>
      </c>
      <c r="R20">
        <v>109.5</v>
      </c>
      <c r="S20">
        <v>110.3</v>
      </c>
      <c r="T20">
        <v>139.25609756097555</v>
      </c>
      <c r="U20">
        <v>109.5</v>
      </c>
      <c r="V20">
        <v>108.3</v>
      </c>
      <c r="W20">
        <v>106.9</v>
      </c>
      <c r="X20">
        <v>102.5</v>
      </c>
      <c r="Y20">
        <v>106.8</v>
      </c>
      <c r="Z20">
        <v>106.4</v>
      </c>
      <c r="AA20">
        <v>107.8</v>
      </c>
      <c r="AB20">
        <v>109.8</v>
      </c>
      <c r="AC20">
        <v>106.5</v>
      </c>
      <c r="AD20">
        <v>110.7</v>
      </c>
    </row>
    <row r="21" spans="1:30">
      <c r="A21" t="s">
        <v>33</v>
      </c>
      <c r="B21">
        <v>2013</v>
      </c>
      <c r="C21" t="s">
        <v>40</v>
      </c>
      <c r="D21">
        <v>117.8</v>
      </c>
      <c r="E21">
        <v>119.2</v>
      </c>
      <c r="F21">
        <v>114</v>
      </c>
      <c r="G21">
        <v>108.3</v>
      </c>
      <c r="H21">
        <v>101.1</v>
      </c>
      <c r="I21">
        <v>113.2</v>
      </c>
      <c r="J21">
        <v>160.9</v>
      </c>
      <c r="K21">
        <v>105.1</v>
      </c>
      <c r="L21">
        <v>101.3</v>
      </c>
      <c r="M21">
        <v>107.5</v>
      </c>
      <c r="N21">
        <v>110.4</v>
      </c>
      <c r="O21">
        <v>113.1</v>
      </c>
      <c r="P21">
        <v>117.5</v>
      </c>
      <c r="Q21">
        <v>109.8</v>
      </c>
      <c r="R21">
        <v>107.8</v>
      </c>
      <c r="S21">
        <v>109.5</v>
      </c>
      <c r="T21">
        <v>139.25609756097555</v>
      </c>
      <c r="U21">
        <v>108.6</v>
      </c>
      <c r="V21">
        <v>108.1</v>
      </c>
      <c r="W21">
        <v>107.1</v>
      </c>
      <c r="X21">
        <v>103.2</v>
      </c>
      <c r="Y21">
        <v>107.3</v>
      </c>
      <c r="Z21">
        <v>105.9</v>
      </c>
      <c r="AA21">
        <v>110.1</v>
      </c>
      <c r="AB21">
        <v>111.7</v>
      </c>
      <c r="AC21">
        <v>107.3</v>
      </c>
      <c r="AD21">
        <v>111.4</v>
      </c>
    </row>
    <row r="22" spans="1:30">
      <c r="A22" t="s">
        <v>34</v>
      </c>
      <c r="B22">
        <v>2013</v>
      </c>
      <c r="C22" t="s">
        <v>40</v>
      </c>
      <c r="D22">
        <v>114.8</v>
      </c>
      <c r="E22">
        <v>116.4</v>
      </c>
      <c r="F22">
        <v>111.9</v>
      </c>
      <c r="G22">
        <v>108.9</v>
      </c>
      <c r="H22">
        <v>104.3</v>
      </c>
      <c r="I22">
        <v>111.7</v>
      </c>
      <c r="J22">
        <v>140</v>
      </c>
      <c r="K22">
        <v>106.4</v>
      </c>
      <c r="L22">
        <v>103.3</v>
      </c>
      <c r="M22">
        <v>106.8</v>
      </c>
      <c r="N22">
        <v>109.6</v>
      </c>
      <c r="O22">
        <v>112.6</v>
      </c>
      <c r="P22">
        <v>114.7</v>
      </c>
      <c r="Q22">
        <v>110.2</v>
      </c>
      <c r="R22">
        <v>108.8</v>
      </c>
      <c r="S22">
        <v>110</v>
      </c>
      <c r="T22">
        <v>139.25609756097555</v>
      </c>
      <c r="U22">
        <v>109.2</v>
      </c>
      <c r="V22">
        <v>108.2</v>
      </c>
      <c r="W22">
        <v>107</v>
      </c>
      <c r="X22">
        <v>102.8</v>
      </c>
      <c r="Y22">
        <v>107.1</v>
      </c>
      <c r="Z22">
        <v>106.1</v>
      </c>
      <c r="AA22">
        <v>109.1</v>
      </c>
      <c r="AB22">
        <v>110.3</v>
      </c>
      <c r="AC22">
        <v>106.9</v>
      </c>
      <c r="AD22">
        <v>111</v>
      </c>
    </row>
    <row r="23" spans="1:30">
      <c r="A23" t="s">
        <v>30</v>
      </c>
      <c r="B23">
        <v>2013</v>
      </c>
      <c r="C23" t="s">
        <v>41</v>
      </c>
      <c r="D23">
        <v>114.3</v>
      </c>
      <c r="E23">
        <v>115.4</v>
      </c>
      <c r="F23">
        <v>111.1</v>
      </c>
      <c r="G23">
        <v>110</v>
      </c>
      <c r="H23">
        <v>106.4</v>
      </c>
      <c r="I23">
        <v>110.8</v>
      </c>
      <c r="J23">
        <v>138.9</v>
      </c>
      <c r="K23">
        <v>107.4</v>
      </c>
      <c r="L23">
        <v>104.1</v>
      </c>
      <c r="M23">
        <v>106.9</v>
      </c>
      <c r="N23">
        <v>109.7</v>
      </c>
      <c r="O23">
        <v>112.6</v>
      </c>
      <c r="P23">
        <v>114.9</v>
      </c>
      <c r="Q23">
        <v>111.3</v>
      </c>
      <c r="R23">
        <v>110.2</v>
      </c>
      <c r="S23">
        <v>111.1</v>
      </c>
      <c r="T23">
        <v>139.25609756097555</v>
      </c>
      <c r="U23">
        <v>109.9</v>
      </c>
      <c r="V23">
        <v>108.7</v>
      </c>
      <c r="W23">
        <v>107.5</v>
      </c>
      <c r="X23">
        <v>105</v>
      </c>
      <c r="Y23">
        <v>107.8</v>
      </c>
      <c r="Z23">
        <v>106.8</v>
      </c>
      <c r="AA23">
        <v>108.7</v>
      </c>
      <c r="AB23">
        <v>110.7</v>
      </c>
      <c r="AC23">
        <v>107.5</v>
      </c>
      <c r="AD23">
        <v>112.1</v>
      </c>
    </row>
    <row r="24" spans="1:30">
      <c r="A24" t="s">
        <v>33</v>
      </c>
      <c r="B24">
        <v>2013</v>
      </c>
      <c r="C24" t="s">
        <v>41</v>
      </c>
      <c r="D24">
        <v>118.3</v>
      </c>
      <c r="E24">
        <v>120.4</v>
      </c>
      <c r="F24">
        <v>112.7</v>
      </c>
      <c r="G24">
        <v>108.9</v>
      </c>
      <c r="H24">
        <v>101.1</v>
      </c>
      <c r="I24">
        <v>108.7</v>
      </c>
      <c r="J24">
        <v>177</v>
      </c>
      <c r="K24">
        <v>104.7</v>
      </c>
      <c r="L24">
        <v>101</v>
      </c>
      <c r="M24">
        <v>108.5</v>
      </c>
      <c r="N24">
        <v>110.9</v>
      </c>
      <c r="O24">
        <v>114.3</v>
      </c>
      <c r="P24">
        <v>119.6</v>
      </c>
      <c r="Q24">
        <v>110.6</v>
      </c>
      <c r="R24">
        <v>108.3</v>
      </c>
      <c r="S24">
        <v>110.2</v>
      </c>
      <c r="T24">
        <v>139.25609756097555</v>
      </c>
      <c r="U24">
        <v>109.3</v>
      </c>
      <c r="V24">
        <v>108.7</v>
      </c>
      <c r="W24">
        <v>107.6</v>
      </c>
      <c r="X24">
        <v>106</v>
      </c>
      <c r="Y24">
        <v>108.1</v>
      </c>
      <c r="Z24">
        <v>106.5</v>
      </c>
      <c r="AA24">
        <v>110.8</v>
      </c>
      <c r="AB24">
        <v>112.4</v>
      </c>
      <c r="AC24">
        <v>108.3</v>
      </c>
      <c r="AD24">
        <v>112.7</v>
      </c>
    </row>
    <row r="25" spans="1:30">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v>
      </c>
      <c r="R25">
        <v>109.4</v>
      </c>
      <c r="S25">
        <v>110.7</v>
      </c>
      <c r="T25">
        <v>139.25609756097555</v>
      </c>
      <c r="U25">
        <v>109.7</v>
      </c>
      <c r="V25">
        <v>108.7</v>
      </c>
      <c r="W25">
        <v>107.5</v>
      </c>
      <c r="X25">
        <v>105.4</v>
      </c>
      <c r="Y25">
        <v>108</v>
      </c>
      <c r="Z25">
        <v>106.6</v>
      </c>
      <c r="AA25">
        <v>109.9</v>
      </c>
      <c r="AB25">
        <v>111.2</v>
      </c>
      <c r="AC25">
        <v>107.9</v>
      </c>
      <c r="AD25">
        <v>112.4</v>
      </c>
    </row>
    <row r="26" spans="1:30">
      <c r="A26" t="s">
        <v>30</v>
      </c>
      <c r="B26">
        <v>2013</v>
      </c>
      <c r="C26" t="s">
        <v>42</v>
      </c>
      <c r="D26">
        <v>115.4</v>
      </c>
      <c r="E26">
        <v>115.7</v>
      </c>
      <c r="F26">
        <v>111.7</v>
      </c>
      <c r="G26">
        <v>111</v>
      </c>
      <c r="H26">
        <v>107.4</v>
      </c>
      <c r="I26">
        <v>110.9</v>
      </c>
      <c r="J26">
        <v>154</v>
      </c>
      <c r="K26">
        <v>108.1</v>
      </c>
      <c r="L26">
        <v>104.2</v>
      </c>
      <c r="M26">
        <v>107.9</v>
      </c>
      <c r="N26">
        <v>110.4</v>
      </c>
      <c r="O26">
        <v>114</v>
      </c>
      <c r="P26">
        <v>117.8</v>
      </c>
      <c r="Q26">
        <v>112.7</v>
      </c>
      <c r="R26">
        <v>111.4</v>
      </c>
      <c r="S26">
        <v>112.5</v>
      </c>
      <c r="T26">
        <v>139.25609756097555</v>
      </c>
      <c r="U26">
        <v>111.1</v>
      </c>
      <c r="V26">
        <v>109.6</v>
      </c>
      <c r="W26">
        <v>108.3</v>
      </c>
      <c r="X26">
        <v>106.7</v>
      </c>
      <c r="Y26">
        <v>109.3</v>
      </c>
      <c r="Z26">
        <v>107.7</v>
      </c>
      <c r="AA26">
        <v>109.8</v>
      </c>
      <c r="AB26">
        <v>111.7</v>
      </c>
      <c r="AC26">
        <v>108.7</v>
      </c>
      <c r="AD26">
        <v>114.2</v>
      </c>
    </row>
    <row r="27" spans="1:30">
      <c r="A27" t="s">
        <v>33</v>
      </c>
      <c r="B27">
        <v>2013</v>
      </c>
      <c r="C27" t="s">
        <v>42</v>
      </c>
      <c r="D27">
        <v>118.6</v>
      </c>
      <c r="E27">
        <v>119.1</v>
      </c>
      <c r="F27">
        <v>113.2</v>
      </c>
      <c r="G27">
        <v>109.6</v>
      </c>
      <c r="H27">
        <v>101.7</v>
      </c>
      <c r="I27">
        <v>103.2</v>
      </c>
      <c r="J27">
        <v>174.3</v>
      </c>
      <c r="K27">
        <v>105.1</v>
      </c>
      <c r="L27">
        <v>100.8</v>
      </c>
      <c r="M27">
        <v>109.1</v>
      </c>
      <c r="N27">
        <v>111.1</v>
      </c>
      <c r="O27">
        <v>115.4</v>
      </c>
      <c r="P27">
        <v>119.2</v>
      </c>
      <c r="Q27">
        <v>111.4</v>
      </c>
      <c r="R27">
        <v>109</v>
      </c>
      <c r="S27">
        <v>111.1</v>
      </c>
      <c r="T27">
        <v>139.25609756097555</v>
      </c>
      <c r="U27">
        <v>109.5</v>
      </c>
      <c r="V27">
        <v>109.6</v>
      </c>
      <c r="W27">
        <v>107.9</v>
      </c>
      <c r="X27">
        <v>106.9</v>
      </c>
      <c r="Y27">
        <v>110.4</v>
      </c>
      <c r="Z27">
        <v>107.4</v>
      </c>
      <c r="AA27">
        <v>111.2</v>
      </c>
      <c r="AB27">
        <v>112.9</v>
      </c>
      <c r="AC27">
        <v>109.4</v>
      </c>
      <c r="AD27">
        <v>113.2</v>
      </c>
    </row>
    <row r="28" spans="1:30">
      <c r="A28" t="s">
        <v>34</v>
      </c>
      <c r="B28">
        <v>2013</v>
      </c>
      <c r="C28" t="s">
        <v>42</v>
      </c>
      <c r="D28">
        <v>116.4</v>
      </c>
      <c r="E28">
        <v>116.9</v>
      </c>
      <c r="F28">
        <v>112.3</v>
      </c>
      <c r="G28">
        <v>110.5</v>
      </c>
      <c r="H28">
        <v>105.3</v>
      </c>
      <c r="I28">
        <v>107.3</v>
      </c>
      <c r="J28">
        <v>160.9</v>
      </c>
      <c r="K28">
        <v>107.1</v>
      </c>
      <c r="L28">
        <v>103.1</v>
      </c>
      <c r="M28">
        <v>108.3</v>
      </c>
      <c r="N28">
        <v>110.7</v>
      </c>
      <c r="O28">
        <v>114.6</v>
      </c>
      <c r="P28">
        <v>118.3</v>
      </c>
      <c r="Q28">
        <v>112.2</v>
      </c>
      <c r="R28">
        <v>110.4</v>
      </c>
      <c r="S28">
        <v>111.9</v>
      </c>
      <c r="T28">
        <v>139.25609756097555</v>
      </c>
      <c r="U28">
        <v>110.5</v>
      </c>
      <c r="V28">
        <v>109.6</v>
      </c>
      <c r="W28">
        <v>108.1</v>
      </c>
      <c r="X28">
        <v>106.8</v>
      </c>
      <c r="Y28">
        <v>109.9</v>
      </c>
      <c r="Z28">
        <v>107.5</v>
      </c>
      <c r="AA28">
        <v>110.6</v>
      </c>
      <c r="AB28">
        <v>112</v>
      </c>
      <c r="AC28">
        <v>109</v>
      </c>
      <c r="AD28">
        <v>113.7</v>
      </c>
    </row>
    <row r="29" spans="1:30">
      <c r="A29" t="s">
        <v>30</v>
      </c>
      <c r="B29">
        <v>2013</v>
      </c>
      <c r="C29" t="s">
        <v>43</v>
      </c>
      <c r="D29">
        <v>116.3</v>
      </c>
      <c r="E29">
        <v>115.4</v>
      </c>
      <c r="F29">
        <v>112.6</v>
      </c>
      <c r="G29">
        <v>111.7</v>
      </c>
      <c r="H29">
        <v>107.7</v>
      </c>
      <c r="I29">
        <v>113.2</v>
      </c>
      <c r="J29">
        <v>164.9</v>
      </c>
      <c r="K29">
        <v>108.3</v>
      </c>
      <c r="L29">
        <v>103.9</v>
      </c>
      <c r="M29">
        <v>108.2</v>
      </c>
      <c r="N29">
        <v>111.1</v>
      </c>
      <c r="O29">
        <v>114.9</v>
      </c>
      <c r="P29">
        <v>119.8</v>
      </c>
      <c r="Q29">
        <v>113.6</v>
      </c>
      <c r="R29">
        <v>112.3</v>
      </c>
      <c r="S29">
        <v>113.4</v>
      </c>
      <c r="T29">
        <v>139.25609756097555</v>
      </c>
      <c r="U29">
        <v>111.6</v>
      </c>
      <c r="V29">
        <v>110.4</v>
      </c>
      <c r="W29">
        <v>108.9</v>
      </c>
      <c r="X29">
        <v>107.5</v>
      </c>
      <c r="Y29">
        <v>109.3</v>
      </c>
      <c r="Z29">
        <v>108.3</v>
      </c>
      <c r="AA29">
        <v>110.2</v>
      </c>
      <c r="AB29">
        <v>112.2</v>
      </c>
      <c r="AC29">
        <v>109.1</v>
      </c>
      <c r="AD29">
        <v>115.5</v>
      </c>
    </row>
    <row r="30" spans="1:30">
      <c r="A30" t="s">
        <v>33</v>
      </c>
      <c r="B30">
        <v>2013</v>
      </c>
      <c r="C30" t="s">
        <v>43</v>
      </c>
      <c r="D30">
        <v>118.9</v>
      </c>
      <c r="E30">
        <v>118.1</v>
      </c>
      <c r="F30">
        <v>114.5</v>
      </c>
      <c r="G30">
        <v>110.4</v>
      </c>
      <c r="H30">
        <v>102.3</v>
      </c>
      <c r="I30">
        <v>106.2</v>
      </c>
      <c r="J30">
        <v>183.5</v>
      </c>
      <c r="K30">
        <v>105.3</v>
      </c>
      <c r="L30">
        <v>100.2</v>
      </c>
      <c r="M30">
        <v>109.6</v>
      </c>
      <c r="N30">
        <v>111.4</v>
      </c>
      <c r="O30">
        <v>116</v>
      </c>
      <c r="P30">
        <v>120.8</v>
      </c>
      <c r="Q30">
        <v>112.5</v>
      </c>
      <c r="R30">
        <v>109.7</v>
      </c>
      <c r="S30">
        <v>112</v>
      </c>
      <c r="T30">
        <v>139.25609756097555</v>
      </c>
      <c r="U30">
        <v>109.7</v>
      </c>
      <c r="V30">
        <v>110.2</v>
      </c>
      <c r="W30">
        <v>108.2</v>
      </c>
      <c r="X30">
        <v>107.3</v>
      </c>
      <c r="Y30">
        <v>109.7</v>
      </c>
      <c r="Z30">
        <v>108</v>
      </c>
      <c r="AA30">
        <v>111.3</v>
      </c>
      <c r="AB30">
        <v>113.5</v>
      </c>
      <c r="AC30">
        <v>109.4</v>
      </c>
      <c r="AD30">
        <v>114</v>
      </c>
    </row>
    <row r="31" spans="1:30">
      <c r="A31" t="s">
        <v>34</v>
      </c>
      <c r="B31">
        <v>2013</v>
      </c>
      <c r="C31" t="s">
        <v>43</v>
      </c>
      <c r="D31">
        <v>117.1</v>
      </c>
      <c r="E31">
        <v>116.3</v>
      </c>
      <c r="F31">
        <v>113.3</v>
      </c>
      <c r="G31">
        <v>111.2</v>
      </c>
      <c r="H31">
        <v>105.7</v>
      </c>
      <c r="I31">
        <v>109.9</v>
      </c>
      <c r="J31">
        <v>171.2</v>
      </c>
      <c r="K31">
        <v>107.3</v>
      </c>
      <c r="L31">
        <v>102.7</v>
      </c>
      <c r="M31">
        <v>108.7</v>
      </c>
      <c r="N31">
        <v>111.2</v>
      </c>
      <c r="O31">
        <v>115.4</v>
      </c>
      <c r="P31">
        <v>120.2</v>
      </c>
      <c r="Q31">
        <v>113.2</v>
      </c>
      <c r="R31">
        <v>111.2</v>
      </c>
      <c r="S31">
        <v>112.8</v>
      </c>
      <c r="T31">
        <v>139.25609756097555</v>
      </c>
      <c r="U31">
        <v>110.9</v>
      </c>
      <c r="V31">
        <v>110.3</v>
      </c>
      <c r="W31">
        <v>108.6</v>
      </c>
      <c r="X31">
        <v>107.4</v>
      </c>
      <c r="Y31">
        <v>109.5</v>
      </c>
      <c r="Z31">
        <v>108.1</v>
      </c>
      <c r="AA31">
        <v>110.8</v>
      </c>
      <c r="AB31">
        <v>112.5</v>
      </c>
      <c r="AC31">
        <v>109.2</v>
      </c>
      <c r="AD31">
        <v>114.8</v>
      </c>
    </row>
    <row r="32" spans="1:30">
      <c r="A32" t="s">
        <v>30</v>
      </c>
      <c r="B32">
        <v>2013</v>
      </c>
      <c r="C32" t="s">
        <v>44</v>
      </c>
      <c r="D32">
        <v>117.3</v>
      </c>
      <c r="E32">
        <v>114.9</v>
      </c>
      <c r="F32">
        <v>116.2</v>
      </c>
      <c r="G32">
        <v>112.8</v>
      </c>
      <c r="H32">
        <v>108.9</v>
      </c>
      <c r="I32">
        <v>116.6</v>
      </c>
      <c r="J32">
        <v>178.1</v>
      </c>
      <c r="K32">
        <v>109.1</v>
      </c>
      <c r="L32">
        <v>103.6</v>
      </c>
      <c r="M32">
        <v>109</v>
      </c>
      <c r="N32">
        <v>111.8</v>
      </c>
      <c r="O32">
        <v>116</v>
      </c>
      <c r="P32">
        <v>122.5</v>
      </c>
      <c r="Q32">
        <v>114.6</v>
      </c>
      <c r="R32">
        <v>113.1</v>
      </c>
      <c r="S32">
        <v>114.4</v>
      </c>
      <c r="T32">
        <v>139.25609756097555</v>
      </c>
      <c r="U32">
        <v>112.6</v>
      </c>
      <c r="V32">
        <v>111.3</v>
      </c>
      <c r="W32">
        <v>109.7</v>
      </c>
      <c r="X32">
        <v>108.2</v>
      </c>
      <c r="Y32">
        <v>109.6</v>
      </c>
      <c r="Z32">
        <v>108.7</v>
      </c>
      <c r="AA32">
        <v>111</v>
      </c>
      <c r="AB32">
        <v>112.8</v>
      </c>
      <c r="AC32">
        <v>109.8</v>
      </c>
      <c r="AD32">
        <v>117.4</v>
      </c>
    </row>
    <row r="33" spans="1:30">
      <c r="A33" t="s">
        <v>33</v>
      </c>
      <c r="B33">
        <v>2013</v>
      </c>
      <c r="C33" t="s">
        <v>45</v>
      </c>
      <c r="D33">
        <v>119.8</v>
      </c>
      <c r="E33">
        <v>116.3</v>
      </c>
      <c r="F33">
        <v>122.6</v>
      </c>
      <c r="G33">
        <v>112</v>
      </c>
      <c r="H33">
        <v>103.2</v>
      </c>
      <c r="I33">
        <v>110</v>
      </c>
      <c r="J33">
        <v>192.8</v>
      </c>
      <c r="K33">
        <v>106.3</v>
      </c>
      <c r="L33">
        <v>99.5</v>
      </c>
      <c r="M33">
        <v>110.3</v>
      </c>
      <c r="N33">
        <v>111.8</v>
      </c>
      <c r="O33">
        <v>117.1</v>
      </c>
      <c r="P33">
        <v>122.9</v>
      </c>
      <c r="Q33">
        <v>113.5</v>
      </c>
      <c r="R33">
        <v>110.3</v>
      </c>
      <c r="S33">
        <v>113</v>
      </c>
      <c r="T33">
        <v>139.25609756097555</v>
      </c>
      <c r="U33">
        <v>110</v>
      </c>
      <c r="V33">
        <v>110.9</v>
      </c>
      <c r="W33">
        <v>108.6</v>
      </c>
      <c r="X33">
        <v>107.9</v>
      </c>
      <c r="Y33">
        <v>109.5</v>
      </c>
      <c r="Z33">
        <v>108.5</v>
      </c>
      <c r="AA33">
        <v>111.3</v>
      </c>
      <c r="AB33">
        <v>114.1</v>
      </c>
      <c r="AC33">
        <v>109.6</v>
      </c>
      <c r="AD33">
        <v>115</v>
      </c>
    </row>
    <row r="34" spans="1:30">
      <c r="A34" t="s">
        <v>34</v>
      </c>
      <c r="B34">
        <v>2013</v>
      </c>
      <c r="C34" t="s">
        <v>45</v>
      </c>
      <c r="D34">
        <v>118.1</v>
      </c>
      <c r="E34">
        <v>115.4</v>
      </c>
      <c r="F34">
        <v>118.7</v>
      </c>
      <c r="G34">
        <v>112.5</v>
      </c>
      <c r="H34">
        <v>106.8</v>
      </c>
      <c r="I34">
        <v>113.5</v>
      </c>
      <c r="J34">
        <v>183.1</v>
      </c>
      <c r="K34">
        <v>108.2</v>
      </c>
      <c r="L34">
        <v>102.2</v>
      </c>
      <c r="M34">
        <v>109.4</v>
      </c>
      <c r="N34">
        <v>111.8</v>
      </c>
      <c r="O34">
        <v>116.5</v>
      </c>
      <c r="P34">
        <v>122.6</v>
      </c>
      <c r="Q34">
        <v>114.2</v>
      </c>
      <c r="R34">
        <v>111.9</v>
      </c>
      <c r="S34">
        <v>113.8</v>
      </c>
      <c r="T34">
        <v>139.25609756097555</v>
      </c>
      <c r="U34">
        <v>111.6</v>
      </c>
      <c r="V34">
        <v>111.1</v>
      </c>
      <c r="W34">
        <v>109.3</v>
      </c>
      <c r="X34">
        <v>108.1</v>
      </c>
      <c r="Y34">
        <v>109.5</v>
      </c>
      <c r="Z34">
        <v>108.6</v>
      </c>
      <c r="AA34">
        <v>111.2</v>
      </c>
      <c r="AB34">
        <v>113.1</v>
      </c>
      <c r="AC34">
        <v>109.7</v>
      </c>
      <c r="AD34">
        <v>116.3</v>
      </c>
    </row>
    <row r="35" spans="1:30">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115.8</v>
      </c>
      <c r="R35">
        <v>114</v>
      </c>
      <c r="S35">
        <v>115.5</v>
      </c>
      <c r="T35">
        <v>139.25609756097555</v>
      </c>
      <c r="U35">
        <v>112.8</v>
      </c>
      <c r="V35">
        <v>112.1</v>
      </c>
      <c r="W35">
        <v>110.1</v>
      </c>
      <c r="X35">
        <v>108.1</v>
      </c>
      <c r="Y35">
        <v>109.9</v>
      </c>
      <c r="Z35">
        <v>109.2</v>
      </c>
      <c r="AA35">
        <v>111.6</v>
      </c>
      <c r="AB35">
        <v>113.6</v>
      </c>
      <c r="AC35">
        <v>110.1</v>
      </c>
      <c r="AD35">
        <v>115.5</v>
      </c>
    </row>
    <row r="36" spans="1:30">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114.2</v>
      </c>
      <c r="R36">
        <v>110.9</v>
      </c>
      <c r="S36">
        <v>113.7</v>
      </c>
      <c r="T36">
        <v>139.25609756097555</v>
      </c>
      <c r="U36">
        <v>110.4</v>
      </c>
      <c r="V36">
        <v>111.3</v>
      </c>
      <c r="W36">
        <v>109</v>
      </c>
      <c r="X36">
        <v>107.7</v>
      </c>
      <c r="Y36">
        <v>109.7</v>
      </c>
      <c r="Z36">
        <v>108.9</v>
      </c>
      <c r="AA36">
        <v>111.4</v>
      </c>
      <c r="AB36">
        <v>115</v>
      </c>
      <c r="AC36">
        <v>109.8</v>
      </c>
      <c r="AD36">
        <v>113.3</v>
      </c>
    </row>
    <row r="37" spans="1:30">
      <c r="A37" t="s">
        <v>34</v>
      </c>
      <c r="B37">
        <v>2013</v>
      </c>
      <c r="C37" t="s">
        <v>46</v>
      </c>
      <c r="D37">
        <v>119.1</v>
      </c>
      <c r="E37">
        <v>116.7</v>
      </c>
      <c r="F37">
        <v>123.5</v>
      </c>
      <c r="G37">
        <v>113.4</v>
      </c>
      <c r="H37">
        <v>107.3</v>
      </c>
      <c r="I37">
        <v>113.3</v>
      </c>
      <c r="J37">
        <v>145.4</v>
      </c>
      <c r="K37">
        <v>108.7</v>
      </c>
      <c r="L37">
        <v>101.5</v>
      </c>
      <c r="M37">
        <v>110.5</v>
      </c>
      <c r="N37">
        <v>112.1</v>
      </c>
      <c r="O37">
        <v>117.4</v>
      </c>
      <c r="P37">
        <v>118.4</v>
      </c>
      <c r="Q37">
        <v>115.2</v>
      </c>
      <c r="R37">
        <v>112.7</v>
      </c>
      <c r="S37">
        <v>114.8</v>
      </c>
      <c r="T37">
        <v>139.25609756097555</v>
      </c>
      <c r="U37">
        <v>111.9</v>
      </c>
      <c r="V37">
        <v>111.7</v>
      </c>
      <c r="W37">
        <v>109.7</v>
      </c>
      <c r="X37">
        <v>107.9</v>
      </c>
      <c r="Y37">
        <v>109.8</v>
      </c>
      <c r="Z37">
        <v>109</v>
      </c>
      <c r="AA37">
        <v>111.5</v>
      </c>
      <c r="AB37">
        <v>114</v>
      </c>
      <c r="AC37">
        <v>110</v>
      </c>
      <c r="AD37">
        <v>114.5</v>
      </c>
    </row>
    <row r="38" spans="1:30">
      <c r="A38" t="s">
        <v>30</v>
      </c>
      <c r="B38">
        <v>2014</v>
      </c>
      <c r="C38" t="s">
        <v>31</v>
      </c>
      <c r="D38">
        <v>118.9</v>
      </c>
      <c r="E38">
        <v>117.1</v>
      </c>
      <c r="F38">
        <v>120.5</v>
      </c>
      <c r="G38">
        <v>114.4</v>
      </c>
      <c r="H38">
        <v>109</v>
      </c>
      <c r="I38">
        <v>115.5</v>
      </c>
      <c r="J38">
        <v>123.9</v>
      </c>
      <c r="K38">
        <v>109.6</v>
      </c>
      <c r="L38">
        <v>101.8</v>
      </c>
      <c r="M38">
        <v>110.2</v>
      </c>
      <c r="N38">
        <v>112.4</v>
      </c>
      <c r="O38">
        <v>117.3</v>
      </c>
      <c r="P38">
        <v>116</v>
      </c>
      <c r="Q38">
        <v>116.5</v>
      </c>
      <c r="R38">
        <v>114.5</v>
      </c>
      <c r="S38">
        <v>116.2</v>
      </c>
      <c r="T38">
        <v>139.25609756097555</v>
      </c>
      <c r="U38">
        <v>113</v>
      </c>
      <c r="V38">
        <v>112.6</v>
      </c>
      <c r="W38">
        <v>110.6</v>
      </c>
      <c r="X38">
        <v>108.3</v>
      </c>
      <c r="Y38">
        <v>110.5</v>
      </c>
      <c r="Z38">
        <v>109.6</v>
      </c>
      <c r="AA38">
        <v>111.8</v>
      </c>
      <c r="AB38">
        <v>114</v>
      </c>
      <c r="AC38">
        <v>110.6</v>
      </c>
      <c r="AD38">
        <v>114.2</v>
      </c>
    </row>
    <row r="39" spans="1:30">
      <c r="A39" t="s">
        <v>33</v>
      </c>
      <c r="B39">
        <v>2014</v>
      </c>
      <c r="C39" t="s">
        <v>31</v>
      </c>
      <c r="D39">
        <v>121.2</v>
      </c>
      <c r="E39">
        <v>122</v>
      </c>
      <c r="F39">
        <v>129.9</v>
      </c>
      <c r="G39">
        <v>113.6</v>
      </c>
      <c r="H39">
        <v>102.9</v>
      </c>
      <c r="I39">
        <v>112.1</v>
      </c>
      <c r="J39">
        <v>118.9</v>
      </c>
      <c r="K39">
        <v>107.5</v>
      </c>
      <c r="L39">
        <v>96.9</v>
      </c>
      <c r="M39">
        <v>112.7</v>
      </c>
      <c r="N39">
        <v>112.1</v>
      </c>
      <c r="O39">
        <v>119</v>
      </c>
      <c r="P39">
        <v>115.5</v>
      </c>
      <c r="Q39">
        <v>114.8</v>
      </c>
      <c r="R39">
        <v>111.3</v>
      </c>
      <c r="S39">
        <v>114.3</v>
      </c>
      <c r="T39">
        <v>139.25609756097555</v>
      </c>
      <c r="U39">
        <v>111</v>
      </c>
      <c r="V39">
        <v>111.9</v>
      </c>
      <c r="W39">
        <v>109.7</v>
      </c>
      <c r="X39">
        <v>108</v>
      </c>
      <c r="Y39">
        <v>110.8</v>
      </c>
      <c r="Z39">
        <v>109.8</v>
      </c>
      <c r="AA39">
        <v>111.5</v>
      </c>
      <c r="AB39">
        <v>115.7</v>
      </c>
      <c r="AC39">
        <v>110.5</v>
      </c>
      <c r="AD39">
        <v>112.9</v>
      </c>
    </row>
    <row r="40" spans="1:30">
      <c r="A40" t="s">
        <v>34</v>
      </c>
      <c r="B40">
        <v>2014</v>
      </c>
      <c r="C40" t="s">
        <v>31</v>
      </c>
      <c r="D40">
        <v>119.6</v>
      </c>
      <c r="E40">
        <v>118.8</v>
      </c>
      <c r="F40">
        <v>124.1</v>
      </c>
      <c r="G40">
        <v>114.1</v>
      </c>
      <c r="H40">
        <v>106.8</v>
      </c>
      <c r="I40">
        <v>113.9</v>
      </c>
      <c r="J40">
        <v>122.2</v>
      </c>
      <c r="K40">
        <v>108.9</v>
      </c>
      <c r="L40">
        <v>100.2</v>
      </c>
      <c r="M40">
        <v>111</v>
      </c>
      <c r="N40">
        <v>112.3</v>
      </c>
      <c r="O40">
        <v>118.1</v>
      </c>
      <c r="P40">
        <v>115.8</v>
      </c>
      <c r="Q40">
        <v>115.8</v>
      </c>
      <c r="R40">
        <v>113.2</v>
      </c>
      <c r="S40">
        <v>115.4</v>
      </c>
      <c r="T40">
        <v>139.25609756097555</v>
      </c>
      <c r="U40">
        <v>112.2</v>
      </c>
      <c r="V40">
        <v>112.3</v>
      </c>
      <c r="W40">
        <v>110.3</v>
      </c>
      <c r="X40">
        <v>108.2</v>
      </c>
      <c r="Y40">
        <v>110.7</v>
      </c>
      <c r="Z40">
        <v>109.7</v>
      </c>
      <c r="AA40">
        <v>111.6</v>
      </c>
      <c r="AB40">
        <v>114.5</v>
      </c>
      <c r="AC40">
        <v>110.6</v>
      </c>
      <c r="AD40">
        <v>113.6</v>
      </c>
    </row>
    <row r="41" spans="1:30">
      <c r="A41" t="s">
        <v>30</v>
      </c>
      <c r="B41">
        <v>2014</v>
      </c>
      <c r="C41" t="s">
        <v>35</v>
      </c>
      <c r="D41">
        <v>119.4</v>
      </c>
      <c r="E41">
        <v>117.7</v>
      </c>
      <c r="F41">
        <v>121.2</v>
      </c>
      <c r="G41">
        <v>115</v>
      </c>
      <c r="H41">
        <v>109</v>
      </c>
      <c r="I41">
        <v>116.6</v>
      </c>
      <c r="J41">
        <v>116</v>
      </c>
      <c r="K41">
        <v>109.8</v>
      </c>
      <c r="L41">
        <v>101.1</v>
      </c>
      <c r="M41">
        <v>110.4</v>
      </c>
      <c r="N41">
        <v>112.9</v>
      </c>
      <c r="O41">
        <v>117.8</v>
      </c>
      <c r="P41">
        <v>115.3</v>
      </c>
      <c r="Q41">
        <v>117.1</v>
      </c>
      <c r="R41">
        <v>114.5</v>
      </c>
      <c r="S41">
        <v>116.7</v>
      </c>
      <c r="T41">
        <v>139.25609756097555</v>
      </c>
      <c r="U41">
        <v>113.2</v>
      </c>
      <c r="V41">
        <v>112.9</v>
      </c>
      <c r="W41">
        <v>110.9</v>
      </c>
      <c r="X41">
        <v>108.7</v>
      </c>
      <c r="Y41">
        <v>110.8</v>
      </c>
      <c r="Z41">
        <v>109.9</v>
      </c>
      <c r="AA41">
        <v>112</v>
      </c>
      <c r="AB41">
        <v>114.2</v>
      </c>
      <c r="AC41">
        <v>110.9</v>
      </c>
      <c r="AD41">
        <v>114</v>
      </c>
    </row>
    <row r="42" spans="1:30">
      <c r="A42" t="s">
        <v>33</v>
      </c>
      <c r="B42">
        <v>2014</v>
      </c>
      <c r="C42" t="s">
        <v>35</v>
      </c>
      <c r="D42">
        <v>121.9</v>
      </c>
      <c r="E42">
        <v>122</v>
      </c>
      <c r="F42">
        <v>124.5</v>
      </c>
      <c r="G42">
        <v>115.2</v>
      </c>
      <c r="H42">
        <v>102.5</v>
      </c>
      <c r="I42">
        <v>114.1</v>
      </c>
      <c r="J42">
        <v>111.5</v>
      </c>
      <c r="K42">
        <v>108.2</v>
      </c>
      <c r="L42">
        <v>95.4</v>
      </c>
      <c r="M42">
        <v>113.5</v>
      </c>
      <c r="N42">
        <v>112.1</v>
      </c>
      <c r="O42">
        <v>119.9</v>
      </c>
      <c r="P42">
        <v>115.2</v>
      </c>
      <c r="Q42">
        <v>115.3</v>
      </c>
      <c r="R42">
        <v>111.7</v>
      </c>
      <c r="S42">
        <v>114.7</v>
      </c>
      <c r="T42">
        <v>139.25609756097555</v>
      </c>
      <c r="U42">
        <v>111.1</v>
      </c>
      <c r="V42">
        <v>112.6</v>
      </c>
      <c r="W42">
        <v>110.4</v>
      </c>
      <c r="X42">
        <v>108.7</v>
      </c>
      <c r="Y42">
        <v>111.3</v>
      </c>
      <c r="Z42">
        <v>110.3</v>
      </c>
      <c r="AA42">
        <v>111.6</v>
      </c>
      <c r="AB42">
        <v>116.2</v>
      </c>
      <c r="AC42">
        <v>111</v>
      </c>
      <c r="AD42">
        <v>113.1</v>
      </c>
    </row>
    <row r="43" spans="1:30">
      <c r="A43" t="s">
        <v>34</v>
      </c>
      <c r="B43">
        <v>2014</v>
      </c>
      <c r="C43" t="s">
        <v>35</v>
      </c>
      <c r="D43">
        <v>120.2</v>
      </c>
      <c r="E43">
        <v>119.2</v>
      </c>
      <c r="F43">
        <v>122.5</v>
      </c>
      <c r="G43">
        <v>115.1</v>
      </c>
      <c r="H43">
        <v>106.6</v>
      </c>
      <c r="I43">
        <v>115.4</v>
      </c>
      <c r="J43">
        <v>114.5</v>
      </c>
      <c r="K43">
        <v>109.3</v>
      </c>
      <c r="L43">
        <v>99.2</v>
      </c>
      <c r="M43">
        <v>111.4</v>
      </c>
      <c r="N43">
        <v>112.6</v>
      </c>
      <c r="O43">
        <v>118.8</v>
      </c>
      <c r="P43">
        <v>115.3</v>
      </c>
      <c r="Q43">
        <v>116.4</v>
      </c>
      <c r="R43">
        <v>113.3</v>
      </c>
      <c r="S43">
        <v>115.9</v>
      </c>
      <c r="T43">
        <v>139.25609756097555</v>
      </c>
      <c r="U43">
        <v>112.4</v>
      </c>
      <c r="V43">
        <v>112.8</v>
      </c>
      <c r="W43">
        <v>110.7</v>
      </c>
      <c r="X43">
        <v>108.7</v>
      </c>
      <c r="Y43">
        <v>111.1</v>
      </c>
      <c r="Z43">
        <v>110.1</v>
      </c>
      <c r="AA43">
        <v>111.8</v>
      </c>
      <c r="AB43">
        <v>114.7</v>
      </c>
      <c r="AC43">
        <v>110.9</v>
      </c>
      <c r="AD43">
        <v>113.6</v>
      </c>
    </row>
    <row r="44" spans="1:30">
      <c r="A44" t="s">
        <v>30</v>
      </c>
      <c r="B44">
        <v>2014</v>
      </c>
      <c r="C44" t="s">
        <v>36</v>
      </c>
      <c r="D44">
        <v>120.1</v>
      </c>
      <c r="E44">
        <v>118.1</v>
      </c>
      <c r="F44">
        <v>120.7</v>
      </c>
      <c r="G44">
        <v>116.1</v>
      </c>
      <c r="H44">
        <v>109.3</v>
      </c>
      <c r="I44">
        <v>119.6</v>
      </c>
      <c r="J44">
        <v>117.9</v>
      </c>
      <c r="K44">
        <v>110.2</v>
      </c>
      <c r="L44">
        <v>101.2</v>
      </c>
      <c r="M44">
        <v>110.7</v>
      </c>
      <c r="N44">
        <v>113</v>
      </c>
      <c r="O44">
        <v>118.3</v>
      </c>
      <c r="P44">
        <v>116.2</v>
      </c>
      <c r="Q44">
        <v>117.5</v>
      </c>
      <c r="R44">
        <v>114.9</v>
      </c>
      <c r="S44">
        <v>117.2</v>
      </c>
      <c r="T44">
        <v>139.25609756097555</v>
      </c>
      <c r="U44">
        <v>113.4</v>
      </c>
      <c r="V44">
        <v>113.4</v>
      </c>
      <c r="W44">
        <v>111.4</v>
      </c>
      <c r="X44">
        <v>108.9</v>
      </c>
      <c r="Y44">
        <v>111.2</v>
      </c>
      <c r="Z44">
        <v>110.2</v>
      </c>
      <c r="AA44">
        <v>112.4</v>
      </c>
      <c r="AB44">
        <v>114.6</v>
      </c>
      <c r="AC44">
        <v>111.3</v>
      </c>
      <c r="AD44">
        <v>114.6</v>
      </c>
    </row>
    <row r="45" spans="1:30">
      <c r="A45" t="s">
        <v>33</v>
      </c>
      <c r="B45">
        <v>2014</v>
      </c>
      <c r="C45" t="s">
        <v>36</v>
      </c>
      <c r="D45">
        <v>122.1</v>
      </c>
      <c r="E45">
        <v>121.4</v>
      </c>
      <c r="F45">
        <v>121.5</v>
      </c>
      <c r="G45">
        <v>116.2</v>
      </c>
      <c r="H45">
        <v>102.8</v>
      </c>
      <c r="I45">
        <v>117.7</v>
      </c>
      <c r="J45">
        <v>113.3</v>
      </c>
      <c r="K45">
        <v>108.9</v>
      </c>
      <c r="L45">
        <v>96.3</v>
      </c>
      <c r="M45">
        <v>114.1</v>
      </c>
      <c r="N45">
        <v>112.2</v>
      </c>
      <c r="O45">
        <v>120.5</v>
      </c>
      <c r="P45">
        <v>116</v>
      </c>
      <c r="Q45">
        <v>115.8</v>
      </c>
      <c r="R45">
        <v>112.1</v>
      </c>
      <c r="S45">
        <v>115.2</v>
      </c>
      <c r="T45">
        <v>139.25609756097555</v>
      </c>
      <c r="U45">
        <v>110.9</v>
      </c>
      <c r="V45">
        <v>113</v>
      </c>
      <c r="W45">
        <v>110.8</v>
      </c>
      <c r="X45">
        <v>109.2</v>
      </c>
      <c r="Y45">
        <v>111.6</v>
      </c>
      <c r="Z45">
        <v>110.9</v>
      </c>
      <c r="AA45">
        <v>111.8</v>
      </c>
      <c r="AB45">
        <v>116.7</v>
      </c>
      <c r="AC45">
        <v>111.4</v>
      </c>
      <c r="AD45">
        <v>113.7</v>
      </c>
    </row>
    <row r="46" spans="1:30">
      <c r="A46" t="s">
        <v>34</v>
      </c>
      <c r="B46">
        <v>2014</v>
      </c>
      <c r="C46" t="s">
        <v>47</v>
      </c>
      <c r="D46">
        <v>120.7</v>
      </c>
      <c r="E46">
        <v>119.3</v>
      </c>
      <c r="F46">
        <v>121</v>
      </c>
      <c r="G46">
        <v>116.1</v>
      </c>
      <c r="H46">
        <v>106.9</v>
      </c>
      <c r="I46">
        <v>118.7</v>
      </c>
      <c r="J46">
        <v>116.3</v>
      </c>
      <c r="K46">
        <v>109.8</v>
      </c>
      <c r="L46">
        <v>99.6</v>
      </c>
      <c r="M46">
        <v>111.8</v>
      </c>
      <c r="N46">
        <v>112.7</v>
      </c>
      <c r="O46">
        <v>119.3</v>
      </c>
      <c r="P46">
        <v>116.1</v>
      </c>
      <c r="Q46">
        <v>116.8</v>
      </c>
      <c r="R46">
        <v>113.7</v>
      </c>
      <c r="S46">
        <v>116.4</v>
      </c>
      <c r="T46">
        <v>139.25609756097555</v>
      </c>
      <c r="U46">
        <v>112.5</v>
      </c>
      <c r="V46">
        <v>113.2</v>
      </c>
      <c r="W46">
        <v>111.2</v>
      </c>
      <c r="X46">
        <v>109</v>
      </c>
      <c r="Y46">
        <v>111.4</v>
      </c>
      <c r="Z46">
        <v>110.6</v>
      </c>
      <c r="AA46">
        <v>112</v>
      </c>
      <c r="AB46">
        <v>115.2</v>
      </c>
      <c r="AC46">
        <v>111.3</v>
      </c>
      <c r="AD46">
        <v>114.2</v>
      </c>
    </row>
    <row r="47" spans="1:30">
      <c r="A47" t="s">
        <v>30</v>
      </c>
      <c r="B47">
        <v>2014</v>
      </c>
      <c r="C47" t="s">
        <v>37</v>
      </c>
      <c r="D47">
        <v>120.2</v>
      </c>
      <c r="E47">
        <v>118.9</v>
      </c>
      <c r="F47">
        <v>118.1</v>
      </c>
      <c r="G47">
        <v>117</v>
      </c>
      <c r="H47">
        <v>109.7</v>
      </c>
      <c r="I47">
        <v>125.5</v>
      </c>
      <c r="J47">
        <v>120.5</v>
      </c>
      <c r="K47">
        <v>111</v>
      </c>
      <c r="L47">
        <v>102.6</v>
      </c>
      <c r="M47">
        <v>111.2</v>
      </c>
      <c r="N47">
        <v>113.5</v>
      </c>
      <c r="O47">
        <v>118.7</v>
      </c>
      <c r="P47">
        <v>117.2</v>
      </c>
      <c r="Q47">
        <v>118.1</v>
      </c>
      <c r="R47">
        <v>116.1</v>
      </c>
      <c r="S47">
        <v>117.8</v>
      </c>
      <c r="T47">
        <v>139.25609756097555</v>
      </c>
      <c r="U47">
        <v>113.4</v>
      </c>
      <c r="V47">
        <v>113.7</v>
      </c>
      <c r="W47">
        <v>111.8</v>
      </c>
      <c r="X47">
        <v>108.9</v>
      </c>
      <c r="Y47">
        <v>111.2</v>
      </c>
      <c r="Z47">
        <v>110.5</v>
      </c>
      <c r="AA47">
        <v>113</v>
      </c>
      <c r="AB47">
        <v>115.4</v>
      </c>
      <c r="AC47">
        <v>111.5</v>
      </c>
      <c r="AD47">
        <v>115.4</v>
      </c>
    </row>
    <row r="48" spans="1:30">
      <c r="A48" t="s">
        <v>33</v>
      </c>
      <c r="B48">
        <v>2014</v>
      </c>
      <c r="C48" t="s">
        <v>37</v>
      </c>
      <c r="D48">
        <v>122.5</v>
      </c>
      <c r="E48">
        <v>121.7</v>
      </c>
      <c r="F48">
        <v>113.3</v>
      </c>
      <c r="G48">
        <v>117</v>
      </c>
      <c r="H48">
        <v>103.1</v>
      </c>
      <c r="I48">
        <v>126.7</v>
      </c>
      <c r="J48">
        <v>121.2</v>
      </c>
      <c r="K48">
        <v>111</v>
      </c>
      <c r="L48">
        <v>100.3</v>
      </c>
      <c r="M48">
        <v>115.3</v>
      </c>
      <c r="N48">
        <v>112.7</v>
      </c>
      <c r="O48">
        <v>121</v>
      </c>
      <c r="P48">
        <v>118.2</v>
      </c>
      <c r="Q48">
        <v>116.3</v>
      </c>
      <c r="R48">
        <v>112.5</v>
      </c>
      <c r="S48">
        <v>115.7</v>
      </c>
      <c r="T48">
        <v>139.25609756097555</v>
      </c>
      <c r="U48">
        <v>110.9</v>
      </c>
      <c r="V48">
        <v>113.4</v>
      </c>
      <c r="W48">
        <v>111</v>
      </c>
      <c r="X48">
        <v>109.1</v>
      </c>
      <c r="Y48">
        <v>111.2</v>
      </c>
      <c r="Z48">
        <v>111.2</v>
      </c>
      <c r="AA48">
        <v>112.5</v>
      </c>
      <c r="AB48">
        <v>117.6</v>
      </c>
      <c r="AC48">
        <v>111.4</v>
      </c>
      <c r="AD48">
        <v>114.7</v>
      </c>
    </row>
    <row r="49" spans="1:30">
      <c r="A49" t="s">
        <v>34</v>
      </c>
      <c r="B49">
        <v>2014</v>
      </c>
      <c r="C49" t="s">
        <v>37</v>
      </c>
      <c r="D49">
        <v>120.9</v>
      </c>
      <c r="E49">
        <v>119.9</v>
      </c>
      <c r="F49">
        <v>116.2</v>
      </c>
      <c r="G49">
        <v>117</v>
      </c>
      <c r="H49">
        <v>107.3</v>
      </c>
      <c r="I49">
        <v>126.1</v>
      </c>
      <c r="J49">
        <v>120.7</v>
      </c>
      <c r="K49">
        <v>111</v>
      </c>
      <c r="L49">
        <v>101.8</v>
      </c>
      <c r="M49">
        <v>112.6</v>
      </c>
      <c r="N49">
        <v>113.2</v>
      </c>
      <c r="O49">
        <v>119.8</v>
      </c>
      <c r="P49">
        <v>117.6</v>
      </c>
      <c r="Q49">
        <v>117.4</v>
      </c>
      <c r="R49">
        <v>114.6</v>
      </c>
      <c r="S49">
        <v>117</v>
      </c>
      <c r="T49">
        <v>139.25609756097555</v>
      </c>
      <c r="U49">
        <v>112.5</v>
      </c>
      <c r="V49">
        <v>113.6</v>
      </c>
      <c r="W49">
        <v>111.5</v>
      </c>
      <c r="X49">
        <v>109</v>
      </c>
      <c r="Y49">
        <v>111.2</v>
      </c>
      <c r="Z49">
        <v>110.9</v>
      </c>
      <c r="AA49">
        <v>112.7</v>
      </c>
      <c r="AB49">
        <v>116</v>
      </c>
      <c r="AC49">
        <v>111.5</v>
      </c>
      <c r="AD49">
        <v>115.1</v>
      </c>
    </row>
    <row r="50" spans="1:30">
      <c r="A50" t="s">
        <v>30</v>
      </c>
      <c r="B50">
        <v>2014</v>
      </c>
      <c r="C50" t="s">
        <v>38</v>
      </c>
      <c r="D50">
        <v>120.3</v>
      </c>
      <c r="E50">
        <v>120.2</v>
      </c>
      <c r="F50">
        <v>116.9</v>
      </c>
      <c r="G50">
        <v>118</v>
      </c>
      <c r="H50">
        <v>110.1</v>
      </c>
      <c r="I50">
        <v>126.3</v>
      </c>
      <c r="J50">
        <v>123.9</v>
      </c>
      <c r="K50">
        <v>111.5</v>
      </c>
      <c r="L50">
        <v>103.5</v>
      </c>
      <c r="M50">
        <v>111.6</v>
      </c>
      <c r="N50">
        <v>114.2</v>
      </c>
      <c r="O50">
        <v>119.2</v>
      </c>
      <c r="P50">
        <v>118.2</v>
      </c>
      <c r="Q50">
        <v>118.7</v>
      </c>
      <c r="R50">
        <v>116.8</v>
      </c>
      <c r="S50">
        <v>118.5</v>
      </c>
      <c r="T50">
        <v>139.25609756097555</v>
      </c>
      <c r="U50">
        <v>113.4</v>
      </c>
      <c r="V50">
        <v>114.1</v>
      </c>
      <c r="W50">
        <v>112.1</v>
      </c>
      <c r="X50">
        <v>108.9</v>
      </c>
      <c r="Y50">
        <v>111.4</v>
      </c>
      <c r="Z50">
        <v>110.9</v>
      </c>
      <c r="AA50">
        <v>113.1</v>
      </c>
      <c r="AB50">
        <v>116.3</v>
      </c>
      <c r="AC50">
        <v>111.8</v>
      </c>
      <c r="AD50">
        <v>116</v>
      </c>
    </row>
    <row r="51" spans="1:30">
      <c r="A51" t="s">
        <v>33</v>
      </c>
      <c r="B51">
        <v>2014</v>
      </c>
      <c r="C51" t="s">
        <v>38</v>
      </c>
      <c r="D51">
        <v>122.7</v>
      </c>
      <c r="E51">
        <v>124.1</v>
      </c>
      <c r="F51">
        <v>114.2</v>
      </c>
      <c r="G51">
        <v>119.1</v>
      </c>
      <c r="H51">
        <v>103.5</v>
      </c>
      <c r="I51">
        <v>129.19999999999999</v>
      </c>
      <c r="J51">
        <v>127</v>
      </c>
      <c r="K51">
        <v>112.6</v>
      </c>
      <c r="L51">
        <v>101.3</v>
      </c>
      <c r="M51">
        <v>117</v>
      </c>
      <c r="N51">
        <v>112.9</v>
      </c>
      <c r="O51">
        <v>121.7</v>
      </c>
      <c r="P51">
        <v>120</v>
      </c>
      <c r="Q51">
        <v>116.8</v>
      </c>
      <c r="R51">
        <v>112.9</v>
      </c>
      <c r="S51">
        <v>116.2</v>
      </c>
      <c r="T51">
        <v>139.25609756097555</v>
      </c>
      <c r="U51">
        <v>111.1</v>
      </c>
      <c r="V51">
        <v>114.1</v>
      </c>
      <c r="W51">
        <v>111.2</v>
      </c>
      <c r="X51">
        <v>109.3</v>
      </c>
      <c r="Y51">
        <v>111.3</v>
      </c>
      <c r="Z51">
        <v>111.5</v>
      </c>
      <c r="AA51">
        <v>112.9</v>
      </c>
      <c r="AB51">
        <v>118.3</v>
      </c>
      <c r="AC51">
        <v>111.7</v>
      </c>
      <c r="AD51">
        <v>115.6</v>
      </c>
    </row>
    <row r="52" spans="1:30">
      <c r="A52" t="s">
        <v>34</v>
      </c>
      <c r="B52">
        <v>2014</v>
      </c>
      <c r="C52" t="s">
        <v>38</v>
      </c>
      <c r="D52">
        <v>121.1</v>
      </c>
      <c r="E52">
        <v>121.6</v>
      </c>
      <c r="F52">
        <v>115.9</v>
      </c>
      <c r="G52">
        <v>118.4</v>
      </c>
      <c r="H52">
        <v>107.7</v>
      </c>
      <c r="I52">
        <v>127.7</v>
      </c>
      <c r="J52">
        <v>125</v>
      </c>
      <c r="K52">
        <v>111.9</v>
      </c>
      <c r="L52">
        <v>102.8</v>
      </c>
      <c r="M52">
        <v>113.4</v>
      </c>
      <c r="N52">
        <v>113.7</v>
      </c>
      <c r="O52">
        <v>120.4</v>
      </c>
      <c r="P52">
        <v>118.9</v>
      </c>
      <c r="Q52">
        <v>118</v>
      </c>
      <c r="R52">
        <v>115.2</v>
      </c>
      <c r="S52">
        <v>117.6</v>
      </c>
      <c r="T52">
        <v>139.25609756097555</v>
      </c>
      <c r="U52">
        <v>112.5</v>
      </c>
      <c r="V52">
        <v>114.1</v>
      </c>
      <c r="W52">
        <v>111.8</v>
      </c>
      <c r="X52">
        <v>109.1</v>
      </c>
      <c r="Y52">
        <v>111.3</v>
      </c>
      <c r="Z52">
        <v>111.2</v>
      </c>
      <c r="AA52">
        <v>113</v>
      </c>
      <c r="AB52">
        <v>116.8</v>
      </c>
      <c r="AC52">
        <v>111.8</v>
      </c>
      <c r="AD52">
        <v>115.8</v>
      </c>
    </row>
    <row r="53" spans="1:30">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119.7</v>
      </c>
      <c r="R53">
        <v>117.3</v>
      </c>
      <c r="S53">
        <v>119.3</v>
      </c>
      <c r="T53">
        <v>139.25609756097555</v>
      </c>
      <c r="U53">
        <v>114.4</v>
      </c>
      <c r="V53">
        <v>114.9</v>
      </c>
      <c r="W53">
        <v>112.8</v>
      </c>
      <c r="X53">
        <v>108</v>
      </c>
      <c r="Y53">
        <v>112.2</v>
      </c>
      <c r="Z53">
        <v>111.4</v>
      </c>
      <c r="AA53">
        <v>114.3</v>
      </c>
      <c r="AB53">
        <v>117.3</v>
      </c>
      <c r="AC53">
        <v>112.3</v>
      </c>
      <c r="AD53">
        <v>117</v>
      </c>
    </row>
    <row r="54" spans="1:30">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117.4</v>
      </c>
      <c r="R54">
        <v>113.2</v>
      </c>
      <c r="S54">
        <v>116.7</v>
      </c>
      <c r="T54">
        <v>139.25609756097555</v>
      </c>
      <c r="U54">
        <v>111.2</v>
      </c>
      <c r="V54">
        <v>114.3</v>
      </c>
      <c r="W54">
        <v>111.4</v>
      </c>
      <c r="X54">
        <v>108.7</v>
      </c>
      <c r="Y54">
        <v>111.5</v>
      </c>
      <c r="Z54">
        <v>111.8</v>
      </c>
      <c r="AA54">
        <v>115.1</v>
      </c>
      <c r="AB54">
        <v>119</v>
      </c>
      <c r="AC54">
        <v>112.2</v>
      </c>
      <c r="AD54">
        <v>116.4</v>
      </c>
    </row>
    <row r="55" spans="1:30">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118.8</v>
      </c>
      <c r="R55">
        <v>115.6</v>
      </c>
      <c r="S55">
        <v>118.3</v>
      </c>
      <c r="T55">
        <v>139.25609756097555</v>
      </c>
      <c r="U55">
        <v>113.2</v>
      </c>
      <c r="V55">
        <v>114.6</v>
      </c>
      <c r="W55">
        <v>112.3</v>
      </c>
      <c r="X55">
        <v>108.3</v>
      </c>
      <c r="Y55">
        <v>111.8</v>
      </c>
      <c r="Z55">
        <v>111.6</v>
      </c>
      <c r="AA55">
        <v>114.8</v>
      </c>
      <c r="AB55">
        <v>117.8</v>
      </c>
      <c r="AC55">
        <v>112.3</v>
      </c>
      <c r="AD55">
        <v>116.7</v>
      </c>
    </row>
    <row r="56" spans="1:30">
      <c r="A56" t="s">
        <v>30</v>
      </c>
      <c r="B56">
        <v>2014</v>
      </c>
      <c r="C56" t="s">
        <v>40</v>
      </c>
      <c r="D56">
        <v>121.7</v>
      </c>
      <c r="E56">
        <v>122.5</v>
      </c>
      <c r="F56">
        <v>117.7</v>
      </c>
      <c r="G56">
        <v>120.6</v>
      </c>
      <c r="H56">
        <v>110.4</v>
      </c>
      <c r="I56">
        <v>129.1</v>
      </c>
      <c r="J56">
        <v>150.1</v>
      </c>
      <c r="K56">
        <v>113.2</v>
      </c>
      <c r="L56">
        <v>104.8</v>
      </c>
      <c r="M56">
        <v>113.3</v>
      </c>
      <c r="N56">
        <v>115.6</v>
      </c>
      <c r="O56">
        <v>120.9</v>
      </c>
      <c r="P56">
        <v>123.3</v>
      </c>
      <c r="Q56">
        <v>120.7</v>
      </c>
      <c r="R56">
        <v>118.3</v>
      </c>
      <c r="S56">
        <v>120.3</v>
      </c>
      <c r="T56">
        <v>139.25609756097555</v>
      </c>
      <c r="U56">
        <v>115.3</v>
      </c>
      <c r="V56">
        <v>115.4</v>
      </c>
      <c r="W56">
        <v>113.4</v>
      </c>
      <c r="X56">
        <v>108.8</v>
      </c>
      <c r="Y56">
        <v>113.2</v>
      </c>
      <c r="Z56">
        <v>111.8</v>
      </c>
      <c r="AA56">
        <v>115.5</v>
      </c>
      <c r="AB56">
        <v>118</v>
      </c>
      <c r="AC56">
        <v>113.1</v>
      </c>
      <c r="AD56">
        <v>119.5</v>
      </c>
    </row>
    <row r="57" spans="1:30">
      <c r="A57" t="s">
        <v>33</v>
      </c>
      <c r="B57">
        <v>2014</v>
      </c>
      <c r="C57" t="s">
        <v>40</v>
      </c>
      <c r="D57">
        <v>123.8</v>
      </c>
      <c r="E57">
        <v>126.4</v>
      </c>
      <c r="F57">
        <v>118</v>
      </c>
      <c r="G57">
        <v>121.6</v>
      </c>
      <c r="H57">
        <v>103.5</v>
      </c>
      <c r="I57">
        <v>133.69999999999999</v>
      </c>
      <c r="J57">
        <v>172.4</v>
      </c>
      <c r="K57">
        <v>113.1</v>
      </c>
      <c r="L57">
        <v>102.7</v>
      </c>
      <c r="M57">
        <v>120</v>
      </c>
      <c r="N57">
        <v>113.8</v>
      </c>
      <c r="O57">
        <v>123.4</v>
      </c>
      <c r="P57">
        <v>127.1</v>
      </c>
      <c r="Q57">
        <v>118</v>
      </c>
      <c r="R57">
        <v>113.6</v>
      </c>
      <c r="S57">
        <v>117.4</v>
      </c>
      <c r="T57">
        <v>139.25609756097555</v>
      </c>
      <c r="U57">
        <v>111.6</v>
      </c>
      <c r="V57">
        <v>114.9</v>
      </c>
      <c r="W57">
        <v>111.5</v>
      </c>
      <c r="X57">
        <v>109.7</v>
      </c>
      <c r="Y57">
        <v>113</v>
      </c>
      <c r="Z57">
        <v>112.4</v>
      </c>
      <c r="AA57">
        <v>117.8</v>
      </c>
      <c r="AB57">
        <v>121</v>
      </c>
      <c r="AC57">
        <v>113.5</v>
      </c>
      <c r="AD57">
        <v>118.9</v>
      </c>
    </row>
    <row r="58" spans="1:30">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119.6</v>
      </c>
      <c r="R58">
        <v>116.3</v>
      </c>
      <c r="S58">
        <v>119.1</v>
      </c>
      <c r="T58">
        <v>139.25609756097555</v>
      </c>
      <c r="U58">
        <v>113.9</v>
      </c>
      <c r="V58">
        <v>115.2</v>
      </c>
      <c r="W58">
        <v>112.7</v>
      </c>
      <c r="X58">
        <v>109.2</v>
      </c>
      <c r="Y58">
        <v>113.1</v>
      </c>
      <c r="Z58">
        <v>112.1</v>
      </c>
      <c r="AA58">
        <v>116.8</v>
      </c>
      <c r="AB58">
        <v>118.8</v>
      </c>
      <c r="AC58">
        <v>113.3</v>
      </c>
      <c r="AD58">
        <v>119.2</v>
      </c>
    </row>
    <row r="59" spans="1:30">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120.9</v>
      </c>
      <c r="R59">
        <v>118.8</v>
      </c>
      <c r="S59">
        <v>120.7</v>
      </c>
      <c r="T59">
        <v>139.25609756097555</v>
      </c>
      <c r="U59">
        <v>115.4</v>
      </c>
      <c r="V59">
        <v>115.9</v>
      </c>
      <c r="W59">
        <v>114</v>
      </c>
      <c r="X59">
        <v>109.4</v>
      </c>
      <c r="Y59">
        <v>113.2</v>
      </c>
      <c r="Z59">
        <v>112.2</v>
      </c>
      <c r="AA59">
        <v>116.2</v>
      </c>
      <c r="AB59">
        <v>118.8</v>
      </c>
      <c r="AC59">
        <v>113.5</v>
      </c>
      <c r="AD59">
        <v>120.7</v>
      </c>
    </row>
    <row r="60" spans="1:30">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118.6</v>
      </c>
      <c r="R60">
        <v>114.1</v>
      </c>
      <c r="S60">
        <v>117.9</v>
      </c>
      <c r="T60">
        <v>139.25609756097555</v>
      </c>
      <c r="U60">
        <v>111.8</v>
      </c>
      <c r="V60">
        <v>115.3</v>
      </c>
      <c r="W60">
        <v>112.2</v>
      </c>
      <c r="X60">
        <v>110.5</v>
      </c>
      <c r="Y60">
        <v>112.5</v>
      </c>
      <c r="Z60">
        <v>112.9</v>
      </c>
      <c r="AA60">
        <v>119.2</v>
      </c>
      <c r="AB60">
        <v>123</v>
      </c>
      <c r="AC60">
        <v>113.9</v>
      </c>
      <c r="AD60">
        <v>119.9</v>
      </c>
    </row>
    <row r="61" spans="1:30">
      <c r="A61" t="s">
        <v>34</v>
      </c>
      <c r="B61">
        <v>2014</v>
      </c>
      <c r="C61" t="s">
        <v>41</v>
      </c>
      <c r="D61">
        <v>122.7</v>
      </c>
      <c r="E61">
        <v>124.4</v>
      </c>
      <c r="F61">
        <v>117.3</v>
      </c>
      <c r="G61">
        <v>122</v>
      </c>
      <c r="H61">
        <v>108</v>
      </c>
      <c r="I61">
        <v>131.1</v>
      </c>
      <c r="J61">
        <v>168.2</v>
      </c>
      <c r="K61">
        <v>114.5</v>
      </c>
      <c r="L61">
        <v>104.3</v>
      </c>
      <c r="M61">
        <v>117.1</v>
      </c>
      <c r="N61">
        <v>115.2</v>
      </c>
      <c r="O61">
        <v>123.1</v>
      </c>
      <c r="P61">
        <v>126.6</v>
      </c>
      <c r="Q61">
        <v>120</v>
      </c>
      <c r="R61">
        <v>116.8</v>
      </c>
      <c r="S61">
        <v>119.6</v>
      </c>
      <c r="T61">
        <v>139.25609756097555</v>
      </c>
      <c r="U61">
        <v>114</v>
      </c>
      <c r="V61">
        <v>115.6</v>
      </c>
      <c r="W61">
        <v>113.3</v>
      </c>
      <c r="X61">
        <v>109.9</v>
      </c>
      <c r="Y61">
        <v>112.8</v>
      </c>
      <c r="Z61">
        <v>112.6</v>
      </c>
      <c r="AA61">
        <v>118</v>
      </c>
      <c r="AB61">
        <v>119.9</v>
      </c>
      <c r="AC61">
        <v>113.7</v>
      </c>
      <c r="AD61">
        <v>120.3</v>
      </c>
    </row>
    <row r="62" spans="1:30">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121.7</v>
      </c>
      <c r="R62">
        <v>119.2</v>
      </c>
      <c r="S62">
        <v>121.3</v>
      </c>
      <c r="T62">
        <v>139.25609756097555</v>
      </c>
      <c r="U62">
        <v>115.8</v>
      </c>
      <c r="V62">
        <v>116.7</v>
      </c>
      <c r="W62">
        <v>114.5</v>
      </c>
      <c r="X62">
        <v>109.1</v>
      </c>
      <c r="Y62">
        <v>112.8</v>
      </c>
      <c r="Z62">
        <v>112.6</v>
      </c>
      <c r="AA62">
        <v>116.6</v>
      </c>
      <c r="AB62">
        <v>119.5</v>
      </c>
      <c r="AC62">
        <v>113.7</v>
      </c>
      <c r="AD62">
        <v>120.9</v>
      </c>
    </row>
    <row r="63" spans="1:30">
      <c r="A63" t="s">
        <v>33</v>
      </c>
      <c r="B63">
        <v>2014</v>
      </c>
      <c r="C63" t="s">
        <v>42</v>
      </c>
      <c r="D63">
        <v>124.2</v>
      </c>
      <c r="E63">
        <v>125.4</v>
      </c>
      <c r="F63">
        <v>116.4</v>
      </c>
      <c r="G63">
        <v>122.7</v>
      </c>
      <c r="H63">
        <v>103.5</v>
      </c>
      <c r="I63">
        <v>124.5</v>
      </c>
      <c r="J63">
        <v>168.6</v>
      </c>
      <c r="K63">
        <v>116.9</v>
      </c>
      <c r="L63">
        <v>101.9</v>
      </c>
      <c r="M63">
        <v>122.9</v>
      </c>
      <c r="N63">
        <v>114.8</v>
      </c>
      <c r="O63">
        <v>125.2</v>
      </c>
      <c r="P63">
        <v>126.7</v>
      </c>
      <c r="Q63">
        <v>119.2</v>
      </c>
      <c r="R63">
        <v>114.5</v>
      </c>
      <c r="S63">
        <v>118.4</v>
      </c>
      <c r="T63">
        <v>139.25609756097555</v>
      </c>
      <c r="U63">
        <v>111.8</v>
      </c>
      <c r="V63">
        <v>115.5</v>
      </c>
      <c r="W63">
        <v>112.3</v>
      </c>
      <c r="X63">
        <v>110</v>
      </c>
      <c r="Y63">
        <v>111.2</v>
      </c>
      <c r="Z63">
        <v>113.4</v>
      </c>
      <c r="AA63">
        <v>120</v>
      </c>
      <c r="AB63">
        <v>124.3</v>
      </c>
      <c r="AC63">
        <v>113.6</v>
      </c>
      <c r="AD63">
        <v>119.2</v>
      </c>
    </row>
    <row r="64" spans="1:30">
      <c r="A64" t="s">
        <v>34</v>
      </c>
      <c r="B64">
        <v>2014</v>
      </c>
      <c r="C64" t="s">
        <v>42</v>
      </c>
      <c r="D64">
        <v>122.9</v>
      </c>
      <c r="E64">
        <v>123.5</v>
      </c>
      <c r="F64">
        <v>117.3</v>
      </c>
      <c r="G64">
        <v>122.7</v>
      </c>
      <c r="H64">
        <v>107.9</v>
      </c>
      <c r="I64">
        <v>127.3</v>
      </c>
      <c r="J64">
        <v>162.1</v>
      </c>
      <c r="K64">
        <v>115.6</v>
      </c>
      <c r="L64">
        <v>103.8</v>
      </c>
      <c r="M64">
        <v>117.6</v>
      </c>
      <c r="N64">
        <v>115.8</v>
      </c>
      <c r="O64">
        <v>123.8</v>
      </c>
      <c r="P64">
        <v>125.8</v>
      </c>
      <c r="Q64">
        <v>120.7</v>
      </c>
      <c r="R64">
        <v>117.2</v>
      </c>
      <c r="S64">
        <v>120.1</v>
      </c>
      <c r="T64">
        <v>139.25609756097555</v>
      </c>
      <c r="U64">
        <v>114.3</v>
      </c>
      <c r="V64">
        <v>116.1</v>
      </c>
      <c r="W64">
        <v>113.7</v>
      </c>
      <c r="X64">
        <v>109.5</v>
      </c>
      <c r="Y64">
        <v>112</v>
      </c>
      <c r="Z64">
        <v>113.1</v>
      </c>
      <c r="AA64">
        <v>118.6</v>
      </c>
      <c r="AB64">
        <v>120.8</v>
      </c>
      <c r="AC64">
        <v>113.7</v>
      </c>
      <c r="AD64">
        <v>120.1</v>
      </c>
    </row>
    <row r="65" spans="1:30">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122.7</v>
      </c>
      <c r="R65">
        <v>120.3</v>
      </c>
      <c r="S65">
        <v>122.3</v>
      </c>
      <c r="T65">
        <v>139.25609756097555</v>
      </c>
      <c r="U65">
        <v>116.4</v>
      </c>
      <c r="V65">
        <v>117.5</v>
      </c>
      <c r="W65">
        <v>115.3</v>
      </c>
      <c r="X65">
        <v>109.3</v>
      </c>
      <c r="Y65">
        <v>112.6</v>
      </c>
      <c r="Z65">
        <v>113</v>
      </c>
      <c r="AA65">
        <v>116.9</v>
      </c>
      <c r="AB65">
        <v>120</v>
      </c>
      <c r="AC65">
        <v>114</v>
      </c>
      <c r="AD65">
        <v>121</v>
      </c>
    </row>
    <row r="66" spans="1:30">
      <c r="A66" t="s">
        <v>33</v>
      </c>
      <c r="B66">
        <v>2014</v>
      </c>
      <c r="C66" t="s">
        <v>43</v>
      </c>
      <c r="D66">
        <v>124.6</v>
      </c>
      <c r="E66">
        <v>126.1</v>
      </c>
      <c r="F66">
        <v>117.8</v>
      </c>
      <c r="G66">
        <v>123.1</v>
      </c>
      <c r="H66">
        <v>103.5</v>
      </c>
      <c r="I66">
        <v>123.5</v>
      </c>
      <c r="J66">
        <v>159.6</v>
      </c>
      <c r="K66">
        <v>117.4</v>
      </c>
      <c r="L66">
        <v>101.2</v>
      </c>
      <c r="M66">
        <v>123.8</v>
      </c>
      <c r="N66">
        <v>115.2</v>
      </c>
      <c r="O66">
        <v>125.9</v>
      </c>
      <c r="P66">
        <v>125.8</v>
      </c>
      <c r="Q66">
        <v>119.6</v>
      </c>
      <c r="R66">
        <v>114.9</v>
      </c>
      <c r="S66">
        <v>118.9</v>
      </c>
      <c r="T66">
        <v>139.25609756097555</v>
      </c>
      <c r="U66">
        <v>112</v>
      </c>
      <c r="V66">
        <v>115.8</v>
      </c>
      <c r="W66">
        <v>112.6</v>
      </c>
      <c r="X66">
        <v>110.1</v>
      </c>
      <c r="Y66">
        <v>111</v>
      </c>
      <c r="Z66">
        <v>113.6</v>
      </c>
      <c r="AA66">
        <v>120.2</v>
      </c>
      <c r="AB66">
        <v>124.3</v>
      </c>
      <c r="AC66">
        <v>113.7</v>
      </c>
      <c r="AD66">
        <v>119.1</v>
      </c>
    </row>
    <row r="67" spans="1:30">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121.5</v>
      </c>
      <c r="R67">
        <v>118.1</v>
      </c>
      <c r="S67">
        <v>121</v>
      </c>
      <c r="T67">
        <v>139.25609756097555</v>
      </c>
      <c r="U67">
        <v>114.7</v>
      </c>
      <c r="V67">
        <v>116.7</v>
      </c>
      <c r="W67">
        <v>114.3</v>
      </c>
      <c r="X67">
        <v>109.6</v>
      </c>
      <c r="Y67">
        <v>111.8</v>
      </c>
      <c r="Z67">
        <v>113.3</v>
      </c>
      <c r="AA67">
        <v>118.8</v>
      </c>
      <c r="AB67">
        <v>121.1</v>
      </c>
      <c r="AC67">
        <v>113.9</v>
      </c>
      <c r="AD67">
        <v>120.1</v>
      </c>
    </row>
    <row r="68" spans="1:30">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123.3</v>
      </c>
      <c r="R68">
        <v>120.5</v>
      </c>
      <c r="S68">
        <v>122.9</v>
      </c>
      <c r="T68">
        <v>139.25609756097555</v>
      </c>
      <c r="U68">
        <v>117.3</v>
      </c>
      <c r="V68">
        <v>118.1</v>
      </c>
      <c r="W68">
        <v>115.9</v>
      </c>
      <c r="X68">
        <v>108.8</v>
      </c>
      <c r="Y68">
        <v>112</v>
      </c>
      <c r="Z68">
        <v>113.3</v>
      </c>
      <c r="AA68">
        <v>117.2</v>
      </c>
      <c r="AB68">
        <v>120.8</v>
      </c>
      <c r="AC68">
        <v>114.1</v>
      </c>
      <c r="AD68">
        <v>121.1</v>
      </c>
    </row>
    <row r="69" spans="1:30">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120.3</v>
      </c>
      <c r="R69">
        <v>115.4</v>
      </c>
      <c r="S69">
        <v>119.5</v>
      </c>
      <c r="T69">
        <v>139.25609756097555</v>
      </c>
      <c r="U69">
        <v>112.6</v>
      </c>
      <c r="V69">
        <v>116.4</v>
      </c>
      <c r="W69">
        <v>113</v>
      </c>
      <c r="X69">
        <v>109.6</v>
      </c>
      <c r="Y69">
        <v>109.7</v>
      </c>
      <c r="Z69">
        <v>114</v>
      </c>
      <c r="AA69">
        <v>120.3</v>
      </c>
      <c r="AB69">
        <v>125.8</v>
      </c>
      <c r="AC69">
        <v>113.4</v>
      </c>
      <c r="AD69">
        <v>119</v>
      </c>
    </row>
    <row r="70" spans="1:30">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118.4</v>
      </c>
      <c r="S70">
        <v>121.6</v>
      </c>
      <c r="T70">
        <v>139.25609756097555</v>
      </c>
      <c r="U70">
        <v>115.5</v>
      </c>
      <c r="V70">
        <v>117.3</v>
      </c>
      <c r="W70">
        <v>114.8</v>
      </c>
      <c r="X70">
        <v>109.1</v>
      </c>
      <c r="Y70">
        <v>110.8</v>
      </c>
      <c r="Z70">
        <v>113.7</v>
      </c>
      <c r="AA70">
        <v>119</v>
      </c>
      <c r="AB70">
        <v>122.1</v>
      </c>
      <c r="AC70">
        <v>113.8</v>
      </c>
      <c r="AD70">
        <v>120.1</v>
      </c>
    </row>
    <row r="71" spans="1:30">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123.8</v>
      </c>
      <c r="R71">
        <v>120.6</v>
      </c>
      <c r="S71">
        <v>123.3</v>
      </c>
      <c r="T71">
        <v>139.25609756097555</v>
      </c>
      <c r="U71">
        <v>117.4</v>
      </c>
      <c r="V71">
        <v>118.2</v>
      </c>
      <c r="W71">
        <v>116.2</v>
      </c>
      <c r="X71">
        <v>109.4</v>
      </c>
      <c r="Y71">
        <v>111.5</v>
      </c>
      <c r="Z71">
        <v>113.3</v>
      </c>
      <c r="AA71">
        <v>117.7</v>
      </c>
      <c r="AB71">
        <v>121.7</v>
      </c>
      <c r="AC71">
        <v>114.2</v>
      </c>
      <c r="AD71">
        <v>120.3</v>
      </c>
    </row>
    <row r="72" spans="1:30">
      <c r="A72" t="s">
        <v>33</v>
      </c>
      <c r="B72">
        <v>2014</v>
      </c>
      <c r="C72" t="s">
        <v>46</v>
      </c>
      <c r="D72">
        <v>124</v>
      </c>
      <c r="E72">
        <v>124.7</v>
      </c>
      <c r="F72">
        <v>126.3</v>
      </c>
      <c r="G72">
        <v>124.9</v>
      </c>
      <c r="H72">
        <v>103</v>
      </c>
      <c r="I72">
        <v>122.3</v>
      </c>
      <c r="J72">
        <v>141</v>
      </c>
      <c r="K72">
        <v>120.1</v>
      </c>
      <c r="L72">
        <v>97.8</v>
      </c>
      <c r="M72">
        <v>125.4</v>
      </c>
      <c r="N72">
        <v>116.1</v>
      </c>
      <c r="O72">
        <v>127.6</v>
      </c>
      <c r="P72">
        <v>124</v>
      </c>
      <c r="Q72">
        <v>120.7</v>
      </c>
      <c r="R72">
        <v>115.8</v>
      </c>
      <c r="S72">
        <v>120</v>
      </c>
      <c r="T72">
        <v>139.25609756097555</v>
      </c>
      <c r="U72">
        <v>113</v>
      </c>
      <c r="V72">
        <v>116.8</v>
      </c>
      <c r="W72">
        <v>113.2</v>
      </c>
      <c r="X72">
        <v>110.4</v>
      </c>
      <c r="Y72">
        <v>108.8</v>
      </c>
      <c r="Z72">
        <v>114.3</v>
      </c>
      <c r="AA72">
        <v>120.7</v>
      </c>
      <c r="AB72">
        <v>126.4</v>
      </c>
      <c r="AC72">
        <v>113.4</v>
      </c>
      <c r="AD72">
        <v>118.4</v>
      </c>
    </row>
    <row r="73" spans="1:30">
      <c r="A73" t="s">
        <v>34</v>
      </c>
      <c r="B73">
        <v>2014</v>
      </c>
      <c r="C73" t="s">
        <v>46</v>
      </c>
      <c r="D73">
        <v>122.9</v>
      </c>
      <c r="E73">
        <v>123.2</v>
      </c>
      <c r="F73">
        <v>123.5</v>
      </c>
      <c r="G73">
        <v>124.5</v>
      </c>
      <c r="H73">
        <v>107.6</v>
      </c>
      <c r="I73">
        <v>125.7</v>
      </c>
      <c r="J73">
        <v>140.5</v>
      </c>
      <c r="K73">
        <v>117.6</v>
      </c>
      <c r="L73">
        <v>100.6</v>
      </c>
      <c r="M73">
        <v>119.1</v>
      </c>
      <c r="N73">
        <v>116.8</v>
      </c>
      <c r="O73">
        <v>126.1</v>
      </c>
      <c r="P73">
        <v>123.6</v>
      </c>
      <c r="Q73">
        <v>122.6</v>
      </c>
      <c r="R73">
        <v>118.6</v>
      </c>
      <c r="S73">
        <v>122</v>
      </c>
      <c r="T73">
        <v>139.25609756097555</v>
      </c>
      <c r="U73">
        <v>115.7</v>
      </c>
      <c r="V73">
        <v>117.5</v>
      </c>
      <c r="W73">
        <v>115.1</v>
      </c>
      <c r="X73">
        <v>109.8</v>
      </c>
      <c r="Y73">
        <v>110.1</v>
      </c>
      <c r="Z73">
        <v>113.9</v>
      </c>
      <c r="AA73">
        <v>119.5</v>
      </c>
      <c r="AB73">
        <v>123</v>
      </c>
      <c r="AC73">
        <v>113.8</v>
      </c>
      <c r="AD73">
        <v>119.4</v>
      </c>
    </row>
    <row r="74" spans="1:30">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124.4</v>
      </c>
      <c r="R74">
        <v>121.6</v>
      </c>
      <c r="S74">
        <v>124</v>
      </c>
      <c r="T74">
        <v>139.25609756097555</v>
      </c>
      <c r="U74">
        <v>118.4</v>
      </c>
      <c r="V74">
        <v>118.9</v>
      </c>
      <c r="W74">
        <v>116.6</v>
      </c>
      <c r="X74">
        <v>110.2</v>
      </c>
      <c r="Y74">
        <v>111</v>
      </c>
      <c r="Z74">
        <v>114</v>
      </c>
      <c r="AA74">
        <v>118.2</v>
      </c>
      <c r="AB74">
        <v>122.7</v>
      </c>
      <c r="AC74">
        <v>114.5</v>
      </c>
      <c r="AD74">
        <v>120.3</v>
      </c>
    </row>
    <row r="75" spans="1:30">
      <c r="A75" t="s">
        <v>33</v>
      </c>
      <c r="B75">
        <v>2015</v>
      </c>
      <c r="C75" t="s">
        <v>31</v>
      </c>
      <c r="D75">
        <v>124</v>
      </c>
      <c r="E75">
        <v>125.5</v>
      </c>
      <c r="F75">
        <v>126.6</v>
      </c>
      <c r="G75">
        <v>125.2</v>
      </c>
      <c r="H75">
        <v>104.3</v>
      </c>
      <c r="I75">
        <v>121.3</v>
      </c>
      <c r="J75">
        <v>134.4</v>
      </c>
      <c r="K75">
        <v>122.9</v>
      </c>
      <c r="L75">
        <v>96.1</v>
      </c>
      <c r="M75">
        <v>126.6</v>
      </c>
      <c r="N75">
        <v>116.5</v>
      </c>
      <c r="O75">
        <v>128</v>
      </c>
      <c r="P75">
        <v>123.5</v>
      </c>
      <c r="Q75">
        <v>121</v>
      </c>
      <c r="R75">
        <v>116.1</v>
      </c>
      <c r="S75">
        <v>120.2</v>
      </c>
      <c r="T75">
        <v>139.25609756097555</v>
      </c>
      <c r="U75">
        <v>113.4</v>
      </c>
      <c r="V75">
        <v>117.2</v>
      </c>
      <c r="W75">
        <v>113.7</v>
      </c>
      <c r="X75">
        <v>111.4</v>
      </c>
      <c r="Y75">
        <v>107.9</v>
      </c>
      <c r="Z75">
        <v>114.6</v>
      </c>
      <c r="AA75">
        <v>120.8</v>
      </c>
      <c r="AB75">
        <v>127.4</v>
      </c>
      <c r="AC75">
        <v>113.4</v>
      </c>
      <c r="AD75">
        <v>118.5</v>
      </c>
    </row>
    <row r="76" spans="1:30">
      <c r="A76" t="s">
        <v>34</v>
      </c>
      <c r="B76">
        <v>2015</v>
      </c>
      <c r="C76" t="s">
        <v>31</v>
      </c>
      <c r="D76">
        <v>123.4</v>
      </c>
      <c r="E76">
        <v>123.9</v>
      </c>
      <c r="F76">
        <v>123.8</v>
      </c>
      <c r="G76">
        <v>125</v>
      </c>
      <c r="H76">
        <v>108.5</v>
      </c>
      <c r="I76">
        <v>126.2</v>
      </c>
      <c r="J76">
        <v>133</v>
      </c>
      <c r="K76">
        <v>119.1</v>
      </c>
      <c r="L76">
        <v>99</v>
      </c>
      <c r="M76">
        <v>120.3</v>
      </c>
      <c r="N76">
        <v>117.3</v>
      </c>
      <c r="O76">
        <v>126.7</v>
      </c>
      <c r="P76">
        <v>123.1</v>
      </c>
      <c r="Q76">
        <v>123.1</v>
      </c>
      <c r="R76">
        <v>119.3</v>
      </c>
      <c r="S76">
        <v>122.5</v>
      </c>
      <c r="T76">
        <v>139.25609756097555</v>
      </c>
      <c r="U76">
        <v>116.5</v>
      </c>
      <c r="V76">
        <v>118.1</v>
      </c>
      <c r="W76">
        <v>115.5</v>
      </c>
      <c r="X76">
        <v>110.7</v>
      </c>
      <c r="Y76">
        <v>109.4</v>
      </c>
      <c r="Z76">
        <v>114.3</v>
      </c>
      <c r="AA76">
        <v>119.7</v>
      </c>
      <c r="AB76">
        <v>124</v>
      </c>
      <c r="AC76">
        <v>114</v>
      </c>
      <c r="AD76">
        <v>119.5</v>
      </c>
    </row>
    <row r="77" spans="1:30">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125.4</v>
      </c>
      <c r="R77">
        <v>122.7</v>
      </c>
      <c r="S77">
        <v>125</v>
      </c>
      <c r="T77">
        <v>139.25609756097555</v>
      </c>
      <c r="U77">
        <v>120</v>
      </c>
      <c r="V77">
        <v>119.6</v>
      </c>
      <c r="W77">
        <v>117.7</v>
      </c>
      <c r="X77">
        <v>110.8</v>
      </c>
      <c r="Y77">
        <v>110.9</v>
      </c>
      <c r="Z77">
        <v>114.8</v>
      </c>
      <c r="AA77">
        <v>118.7</v>
      </c>
      <c r="AB77">
        <v>124.2</v>
      </c>
      <c r="AC77">
        <v>115</v>
      </c>
      <c r="AD77">
        <v>120.6</v>
      </c>
    </row>
    <row r="78" spans="1:30">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121.3</v>
      </c>
      <c r="R78">
        <v>116.5</v>
      </c>
      <c r="S78">
        <v>120.6</v>
      </c>
      <c r="T78">
        <v>139.25609756097555</v>
      </c>
      <c r="U78">
        <v>114</v>
      </c>
      <c r="V78">
        <v>117.7</v>
      </c>
      <c r="W78">
        <v>114.1</v>
      </c>
      <c r="X78">
        <v>111.7</v>
      </c>
      <c r="Y78">
        <v>106.8</v>
      </c>
      <c r="Z78">
        <v>114.9</v>
      </c>
      <c r="AA78">
        <v>120.4</v>
      </c>
      <c r="AB78">
        <v>128.1</v>
      </c>
      <c r="AC78">
        <v>113.2</v>
      </c>
      <c r="AD78">
        <v>118.7</v>
      </c>
    </row>
    <row r="79" spans="1:30">
      <c r="A79" t="s">
        <v>34</v>
      </c>
      <c r="B79">
        <v>2015</v>
      </c>
      <c r="C79" t="s">
        <v>35</v>
      </c>
      <c r="D79">
        <v>123.7</v>
      </c>
      <c r="E79">
        <v>125.1</v>
      </c>
      <c r="F79">
        <v>121.1</v>
      </c>
      <c r="G79">
        <v>125.7</v>
      </c>
      <c r="H79">
        <v>109.1</v>
      </c>
      <c r="I79">
        <v>125.8</v>
      </c>
      <c r="J79">
        <v>129.4</v>
      </c>
      <c r="K79">
        <v>120.9</v>
      </c>
      <c r="L79">
        <v>98.3</v>
      </c>
      <c r="M79">
        <v>121.6</v>
      </c>
      <c r="N79">
        <v>118</v>
      </c>
      <c r="O79">
        <v>127.6</v>
      </c>
      <c r="P79">
        <v>123.1</v>
      </c>
      <c r="Q79">
        <v>123.8</v>
      </c>
      <c r="R79">
        <v>120.1</v>
      </c>
      <c r="S79">
        <v>123.3</v>
      </c>
      <c r="T79">
        <v>139.25609756097555</v>
      </c>
      <c r="U79">
        <v>117.7</v>
      </c>
      <c r="V79">
        <v>118.7</v>
      </c>
      <c r="W79">
        <v>116.3</v>
      </c>
      <c r="X79">
        <v>111.2</v>
      </c>
      <c r="Y79">
        <v>108.7</v>
      </c>
      <c r="Z79">
        <v>114.9</v>
      </c>
      <c r="AA79">
        <v>119.7</v>
      </c>
      <c r="AB79">
        <v>125.2</v>
      </c>
      <c r="AC79">
        <v>114.1</v>
      </c>
      <c r="AD79">
        <v>119.7</v>
      </c>
    </row>
    <row r="80" spans="1:30">
      <c r="A80" t="s">
        <v>30</v>
      </c>
      <c r="B80">
        <v>2015</v>
      </c>
      <c r="C80" t="s">
        <v>36</v>
      </c>
      <c r="D80">
        <v>123.3</v>
      </c>
      <c r="E80">
        <v>124.7</v>
      </c>
      <c r="F80">
        <v>118.9</v>
      </c>
      <c r="G80">
        <v>126</v>
      </c>
      <c r="H80">
        <v>111.8</v>
      </c>
      <c r="I80">
        <v>130.9</v>
      </c>
      <c r="J80">
        <v>128</v>
      </c>
      <c r="K80">
        <v>119.9</v>
      </c>
      <c r="L80">
        <v>98.9</v>
      </c>
      <c r="M80">
        <v>119.4</v>
      </c>
      <c r="N80">
        <v>118.9</v>
      </c>
      <c r="O80">
        <v>127.7</v>
      </c>
      <c r="P80">
        <v>123.1</v>
      </c>
      <c r="Q80">
        <v>126</v>
      </c>
      <c r="R80">
        <v>122.9</v>
      </c>
      <c r="S80">
        <v>125.5</v>
      </c>
      <c r="T80">
        <v>139.25609756097555</v>
      </c>
      <c r="U80">
        <v>120.6</v>
      </c>
      <c r="V80">
        <v>120.2</v>
      </c>
      <c r="W80">
        <v>118.2</v>
      </c>
      <c r="X80">
        <v>110.8</v>
      </c>
      <c r="Y80">
        <v>111.6</v>
      </c>
      <c r="Z80">
        <v>115.5</v>
      </c>
      <c r="AA80">
        <v>119.4</v>
      </c>
      <c r="AB80">
        <v>124.7</v>
      </c>
      <c r="AC80">
        <v>115.5</v>
      </c>
      <c r="AD80">
        <v>121.1</v>
      </c>
    </row>
    <row r="81" spans="1:30">
      <c r="A81" t="s">
        <v>33</v>
      </c>
      <c r="B81">
        <v>2015</v>
      </c>
      <c r="C81" t="s">
        <v>36</v>
      </c>
      <c r="D81">
        <v>124</v>
      </c>
      <c r="E81">
        <v>126.7</v>
      </c>
      <c r="F81">
        <v>113.5</v>
      </c>
      <c r="G81">
        <v>125.9</v>
      </c>
      <c r="H81">
        <v>104.8</v>
      </c>
      <c r="I81">
        <v>123.8</v>
      </c>
      <c r="J81">
        <v>131.4</v>
      </c>
      <c r="K81">
        <v>127.2</v>
      </c>
      <c r="L81">
        <v>93.2</v>
      </c>
      <c r="M81">
        <v>127.4</v>
      </c>
      <c r="N81">
        <v>117</v>
      </c>
      <c r="O81">
        <v>129.19999999999999</v>
      </c>
      <c r="P81">
        <v>123.9</v>
      </c>
      <c r="Q81">
        <v>121.7</v>
      </c>
      <c r="R81">
        <v>116.9</v>
      </c>
      <c r="S81">
        <v>120.9</v>
      </c>
      <c r="T81">
        <v>139.25609756097555</v>
      </c>
      <c r="U81">
        <v>114.4</v>
      </c>
      <c r="V81">
        <v>118</v>
      </c>
      <c r="W81">
        <v>114.3</v>
      </c>
      <c r="X81">
        <v>111.3</v>
      </c>
      <c r="Y81">
        <v>108.4</v>
      </c>
      <c r="Z81">
        <v>115.4</v>
      </c>
      <c r="AA81">
        <v>120.6</v>
      </c>
      <c r="AB81">
        <v>128.80000000000001</v>
      </c>
      <c r="AC81">
        <v>113.8</v>
      </c>
      <c r="AD81">
        <v>119.1</v>
      </c>
    </row>
    <row r="82" spans="1:30">
      <c r="A82" t="s">
        <v>34</v>
      </c>
      <c r="B82">
        <v>2015</v>
      </c>
      <c r="C82" t="s">
        <v>36</v>
      </c>
      <c r="D82">
        <v>123.5</v>
      </c>
      <c r="E82">
        <v>125.4</v>
      </c>
      <c r="F82">
        <v>116.8</v>
      </c>
      <c r="G82">
        <v>126</v>
      </c>
      <c r="H82">
        <v>109.2</v>
      </c>
      <c r="I82">
        <v>127.6</v>
      </c>
      <c r="J82">
        <v>129.19999999999999</v>
      </c>
      <c r="K82">
        <v>122.4</v>
      </c>
      <c r="L82">
        <v>97</v>
      </c>
      <c r="M82">
        <v>122.1</v>
      </c>
      <c r="N82">
        <v>118.1</v>
      </c>
      <c r="O82">
        <v>128.4</v>
      </c>
      <c r="P82">
        <v>123.4</v>
      </c>
      <c r="Q82">
        <v>124.3</v>
      </c>
      <c r="R82">
        <v>120.4</v>
      </c>
      <c r="S82">
        <v>123.7</v>
      </c>
      <c r="T82">
        <v>139.25609756097555</v>
      </c>
      <c r="U82">
        <v>118.3</v>
      </c>
      <c r="V82">
        <v>119.2</v>
      </c>
      <c r="W82">
        <v>116.7</v>
      </c>
      <c r="X82">
        <v>111</v>
      </c>
      <c r="Y82">
        <v>109.9</v>
      </c>
      <c r="Z82">
        <v>115.4</v>
      </c>
      <c r="AA82">
        <v>120.1</v>
      </c>
      <c r="AB82">
        <v>125.8</v>
      </c>
      <c r="AC82">
        <v>114.7</v>
      </c>
      <c r="AD82">
        <v>120.2</v>
      </c>
    </row>
    <row r="83" spans="1:30">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126.4</v>
      </c>
      <c r="R83">
        <v>123.3</v>
      </c>
      <c r="S83">
        <v>126</v>
      </c>
      <c r="T83">
        <v>139.25609756097555</v>
      </c>
      <c r="U83">
        <v>121.2</v>
      </c>
      <c r="V83">
        <v>120.9</v>
      </c>
      <c r="W83">
        <v>118.6</v>
      </c>
      <c r="X83">
        <v>111.6</v>
      </c>
      <c r="Y83">
        <v>111.9</v>
      </c>
      <c r="Z83">
        <v>116.2</v>
      </c>
      <c r="AA83">
        <v>119.9</v>
      </c>
      <c r="AB83">
        <v>125.7</v>
      </c>
      <c r="AC83">
        <v>116</v>
      </c>
      <c r="AD83">
        <v>121.5</v>
      </c>
    </row>
    <row r="84" spans="1:30">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122.1</v>
      </c>
      <c r="R84">
        <v>117.2</v>
      </c>
      <c r="S84">
        <v>121.3</v>
      </c>
      <c r="T84">
        <v>139.25609756097555</v>
      </c>
      <c r="U84">
        <v>114.7</v>
      </c>
      <c r="V84">
        <v>118.4</v>
      </c>
      <c r="W84">
        <v>114.6</v>
      </c>
      <c r="X84">
        <v>111.8</v>
      </c>
      <c r="Y84">
        <v>108.4</v>
      </c>
      <c r="Z84">
        <v>115.6</v>
      </c>
      <c r="AA84">
        <v>121.7</v>
      </c>
      <c r="AB84">
        <v>130.1</v>
      </c>
      <c r="AC84">
        <v>114.2</v>
      </c>
      <c r="AD84">
        <v>119.7</v>
      </c>
    </row>
    <row r="85" spans="1:30">
      <c r="A85" t="s">
        <v>34</v>
      </c>
      <c r="B85">
        <v>2015</v>
      </c>
      <c r="C85" t="s">
        <v>37</v>
      </c>
      <c r="D85">
        <v>123.5</v>
      </c>
      <c r="E85">
        <v>126.4</v>
      </c>
      <c r="F85">
        <v>114.4</v>
      </c>
      <c r="G85">
        <v>126.6</v>
      </c>
      <c r="H85">
        <v>109.2</v>
      </c>
      <c r="I85">
        <v>132.5</v>
      </c>
      <c r="J85">
        <v>128.6</v>
      </c>
      <c r="K85">
        <v>124.8</v>
      </c>
      <c r="L85">
        <v>95.7</v>
      </c>
      <c r="M85">
        <v>122.4</v>
      </c>
      <c r="N85">
        <v>118.5</v>
      </c>
      <c r="O85">
        <v>129.1</v>
      </c>
      <c r="P85">
        <v>124</v>
      </c>
      <c r="Q85">
        <v>124.7</v>
      </c>
      <c r="R85">
        <v>120.8</v>
      </c>
      <c r="S85">
        <v>124.1</v>
      </c>
      <c r="T85">
        <v>139.25609756097555</v>
      </c>
      <c r="U85">
        <v>118.7</v>
      </c>
      <c r="V85">
        <v>119.7</v>
      </c>
      <c r="W85">
        <v>117.1</v>
      </c>
      <c r="X85">
        <v>111.7</v>
      </c>
      <c r="Y85">
        <v>110.1</v>
      </c>
      <c r="Z85">
        <v>115.9</v>
      </c>
      <c r="AA85">
        <v>121</v>
      </c>
      <c r="AB85">
        <v>126.9</v>
      </c>
      <c r="AC85">
        <v>115.1</v>
      </c>
      <c r="AD85">
        <v>120.7</v>
      </c>
    </row>
    <row r="86" spans="1:30">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127.3</v>
      </c>
      <c r="R86">
        <v>124.1</v>
      </c>
      <c r="S86">
        <v>126.8</v>
      </c>
      <c r="T86">
        <v>139.25609756097555</v>
      </c>
      <c r="U86">
        <v>121.9</v>
      </c>
      <c r="V86">
        <v>121.5</v>
      </c>
      <c r="W86">
        <v>119.4</v>
      </c>
      <c r="X86">
        <v>112.3</v>
      </c>
      <c r="Y86">
        <v>113.3</v>
      </c>
      <c r="Z86">
        <v>116.7</v>
      </c>
      <c r="AA86">
        <v>120.5</v>
      </c>
      <c r="AB86">
        <v>126.7</v>
      </c>
      <c r="AC86">
        <v>116.9</v>
      </c>
      <c r="AD86">
        <v>122.4</v>
      </c>
    </row>
    <row r="87" spans="1:30">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122.4</v>
      </c>
      <c r="R87">
        <v>117.4</v>
      </c>
      <c r="S87">
        <v>121.6</v>
      </c>
      <c r="T87">
        <v>139.25609756097555</v>
      </c>
      <c r="U87">
        <v>114.9</v>
      </c>
      <c r="V87">
        <v>118.7</v>
      </c>
      <c r="W87">
        <v>114.9</v>
      </c>
      <c r="X87">
        <v>112.4</v>
      </c>
      <c r="Y87">
        <v>110.8</v>
      </c>
      <c r="Z87">
        <v>116</v>
      </c>
      <c r="AA87">
        <v>122</v>
      </c>
      <c r="AB87">
        <v>131.30000000000001</v>
      </c>
      <c r="AC87">
        <v>115.2</v>
      </c>
      <c r="AD87">
        <v>120.7</v>
      </c>
    </row>
    <row r="88" spans="1:30">
      <c r="A88" t="s">
        <v>34</v>
      </c>
      <c r="B88">
        <v>2015</v>
      </c>
      <c r="C88" t="s">
        <v>38</v>
      </c>
      <c r="D88">
        <v>123.6</v>
      </c>
      <c r="E88">
        <v>128</v>
      </c>
      <c r="F88">
        <v>115</v>
      </c>
      <c r="G88">
        <v>127.3</v>
      </c>
      <c r="H88">
        <v>109.8</v>
      </c>
      <c r="I88">
        <v>132.6</v>
      </c>
      <c r="J88">
        <v>130.9</v>
      </c>
      <c r="K88">
        <v>130.5</v>
      </c>
      <c r="L88">
        <v>95.3</v>
      </c>
      <c r="M88">
        <v>123.4</v>
      </c>
      <c r="N88">
        <v>119.2</v>
      </c>
      <c r="O88">
        <v>129.80000000000001</v>
      </c>
      <c r="P88">
        <v>125</v>
      </c>
      <c r="Q88">
        <v>125.4</v>
      </c>
      <c r="R88">
        <v>121.3</v>
      </c>
      <c r="S88">
        <v>124.7</v>
      </c>
      <c r="T88">
        <v>139.25609756097555</v>
      </c>
      <c r="U88">
        <v>119.2</v>
      </c>
      <c r="V88">
        <v>120.2</v>
      </c>
      <c r="W88">
        <v>117.7</v>
      </c>
      <c r="X88">
        <v>112.3</v>
      </c>
      <c r="Y88">
        <v>112</v>
      </c>
      <c r="Z88">
        <v>116.3</v>
      </c>
      <c r="AA88">
        <v>121.4</v>
      </c>
      <c r="AB88">
        <v>127.9</v>
      </c>
      <c r="AC88">
        <v>116.1</v>
      </c>
      <c r="AD88">
        <v>121.6</v>
      </c>
    </row>
    <row r="89" spans="1:30">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128.4</v>
      </c>
      <c r="R89">
        <v>125.1</v>
      </c>
      <c r="S89">
        <v>128</v>
      </c>
      <c r="T89">
        <v>139.25609756097555</v>
      </c>
      <c r="U89">
        <v>122.6</v>
      </c>
      <c r="V89">
        <v>122.8</v>
      </c>
      <c r="W89">
        <v>120.4</v>
      </c>
      <c r="X89">
        <v>113</v>
      </c>
      <c r="Y89">
        <v>114.2</v>
      </c>
      <c r="Z89">
        <v>117.9</v>
      </c>
      <c r="AA89">
        <v>122</v>
      </c>
      <c r="AB89">
        <v>128.19999999999999</v>
      </c>
      <c r="AC89">
        <v>117.9</v>
      </c>
      <c r="AD89">
        <v>124.1</v>
      </c>
    </row>
    <row r="90" spans="1:30">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123.2</v>
      </c>
      <c r="R90">
        <v>117.6</v>
      </c>
      <c r="S90">
        <v>122.3</v>
      </c>
      <c r="T90">
        <v>139.25609756097555</v>
      </c>
      <c r="U90">
        <v>115.1</v>
      </c>
      <c r="V90">
        <v>119.2</v>
      </c>
      <c r="W90">
        <v>115.4</v>
      </c>
      <c r="X90">
        <v>112.5</v>
      </c>
      <c r="Y90">
        <v>111.7</v>
      </c>
      <c r="Z90">
        <v>116.2</v>
      </c>
      <c r="AA90">
        <v>123.8</v>
      </c>
      <c r="AB90">
        <v>132.1</v>
      </c>
      <c r="AC90">
        <v>116</v>
      </c>
      <c r="AD90">
        <v>121.7</v>
      </c>
    </row>
    <row r="91" spans="1:30">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126.4</v>
      </c>
      <c r="R91">
        <v>122</v>
      </c>
      <c r="S91">
        <v>125.7</v>
      </c>
      <c r="T91">
        <v>139.25609756097555</v>
      </c>
      <c r="U91">
        <v>119.8</v>
      </c>
      <c r="V91">
        <v>121.1</v>
      </c>
      <c r="W91">
        <v>118.5</v>
      </c>
      <c r="X91">
        <v>112.8</v>
      </c>
      <c r="Y91">
        <v>112.9</v>
      </c>
      <c r="Z91">
        <v>116.9</v>
      </c>
      <c r="AA91">
        <v>123.1</v>
      </c>
      <c r="AB91">
        <v>129.19999999999999</v>
      </c>
      <c r="AC91">
        <v>117</v>
      </c>
      <c r="AD91">
        <v>123</v>
      </c>
    </row>
    <row r="92" spans="1:30">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128.80000000000001</v>
      </c>
      <c r="R92">
        <v>125.5</v>
      </c>
      <c r="S92">
        <v>128.30000000000001</v>
      </c>
      <c r="T92">
        <v>139.25609756097555</v>
      </c>
      <c r="U92">
        <v>123</v>
      </c>
      <c r="V92">
        <v>123</v>
      </c>
      <c r="W92">
        <v>120.8</v>
      </c>
      <c r="X92">
        <v>112.7</v>
      </c>
      <c r="Y92">
        <v>114.1</v>
      </c>
      <c r="Z92">
        <v>118</v>
      </c>
      <c r="AA92">
        <v>122.9</v>
      </c>
      <c r="AB92">
        <v>129.4</v>
      </c>
      <c r="AC92">
        <v>118.1</v>
      </c>
      <c r="AD92">
        <v>124.7</v>
      </c>
    </row>
    <row r="93" spans="1:30">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123.5</v>
      </c>
      <c r="R93">
        <v>117.9</v>
      </c>
      <c r="S93">
        <v>122.7</v>
      </c>
      <c r="T93">
        <v>139.25609756097555</v>
      </c>
      <c r="U93">
        <v>115.3</v>
      </c>
      <c r="V93">
        <v>119.5</v>
      </c>
      <c r="W93">
        <v>116</v>
      </c>
      <c r="X93">
        <v>111.7</v>
      </c>
      <c r="Y93">
        <v>111.5</v>
      </c>
      <c r="Z93">
        <v>116.6</v>
      </c>
      <c r="AA93">
        <v>125.4</v>
      </c>
      <c r="AB93">
        <v>133.1</v>
      </c>
      <c r="AC93">
        <v>116.3</v>
      </c>
      <c r="AD93">
        <v>122.4</v>
      </c>
    </row>
    <row r="94" spans="1:30">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126.7</v>
      </c>
      <c r="R94">
        <v>122.3</v>
      </c>
      <c r="S94">
        <v>126.1</v>
      </c>
      <c r="T94">
        <v>139.25609756097555</v>
      </c>
      <c r="U94">
        <v>120.1</v>
      </c>
      <c r="V94">
        <v>121.3</v>
      </c>
      <c r="W94">
        <v>119</v>
      </c>
      <c r="X94">
        <v>112.3</v>
      </c>
      <c r="Y94">
        <v>112.7</v>
      </c>
      <c r="Z94">
        <v>117.2</v>
      </c>
      <c r="AA94">
        <v>124.4</v>
      </c>
      <c r="AB94">
        <v>130.4</v>
      </c>
      <c r="AC94">
        <v>117.2</v>
      </c>
      <c r="AD94">
        <v>123.6</v>
      </c>
    </row>
    <row r="95" spans="1:30">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129.5</v>
      </c>
      <c r="R95">
        <v>126.3</v>
      </c>
      <c r="S95">
        <v>129</v>
      </c>
      <c r="T95">
        <v>139.25609756097555</v>
      </c>
      <c r="U95">
        <v>123.8</v>
      </c>
      <c r="V95">
        <v>123.7</v>
      </c>
      <c r="W95">
        <v>121.1</v>
      </c>
      <c r="X95">
        <v>112.5</v>
      </c>
      <c r="Y95">
        <v>113.6</v>
      </c>
      <c r="Z95">
        <v>118.5</v>
      </c>
      <c r="AA95">
        <v>123.6</v>
      </c>
      <c r="AB95">
        <v>130.1</v>
      </c>
      <c r="AC95">
        <v>118.2</v>
      </c>
      <c r="AD95">
        <v>126.1</v>
      </c>
    </row>
    <row r="96" spans="1:30">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123.7</v>
      </c>
      <c r="R96">
        <v>118.2</v>
      </c>
      <c r="S96">
        <v>122.9</v>
      </c>
      <c r="T96">
        <v>139.25609756097555</v>
      </c>
      <c r="U96">
        <v>115.3</v>
      </c>
      <c r="V96">
        <v>120</v>
      </c>
      <c r="W96">
        <v>116.6</v>
      </c>
      <c r="X96">
        <v>112</v>
      </c>
      <c r="Y96">
        <v>109.9</v>
      </c>
      <c r="Z96">
        <v>117.2</v>
      </c>
      <c r="AA96">
        <v>126.2</v>
      </c>
      <c r="AB96">
        <v>134.19999999999999</v>
      </c>
      <c r="AC96">
        <v>116.2</v>
      </c>
      <c r="AD96">
        <v>123.2</v>
      </c>
    </row>
    <row r="97" spans="1:30">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127.2</v>
      </c>
      <c r="R97">
        <v>122.9</v>
      </c>
      <c r="S97">
        <v>126.6</v>
      </c>
      <c r="T97">
        <v>139.25609756097555</v>
      </c>
      <c r="U97">
        <v>120.6</v>
      </c>
      <c r="V97">
        <v>122</v>
      </c>
      <c r="W97">
        <v>119.4</v>
      </c>
      <c r="X97">
        <v>112.3</v>
      </c>
      <c r="Y97">
        <v>111.7</v>
      </c>
      <c r="Z97">
        <v>117.8</v>
      </c>
      <c r="AA97">
        <v>125.1</v>
      </c>
      <c r="AB97">
        <v>131.19999999999999</v>
      </c>
      <c r="AC97">
        <v>117.2</v>
      </c>
      <c r="AD97">
        <v>124.8</v>
      </c>
    </row>
    <row r="98" spans="1:30">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130.4</v>
      </c>
      <c r="R98">
        <v>126.8</v>
      </c>
      <c r="S98">
        <v>129.9</v>
      </c>
      <c r="T98">
        <v>139.25609756097555</v>
      </c>
      <c r="U98">
        <v>123.7</v>
      </c>
      <c r="V98">
        <v>124.5</v>
      </c>
      <c r="W98">
        <v>121.4</v>
      </c>
      <c r="X98">
        <v>113.7</v>
      </c>
      <c r="Y98">
        <v>113.8</v>
      </c>
      <c r="Z98">
        <v>119.6</v>
      </c>
      <c r="AA98">
        <v>124.5</v>
      </c>
      <c r="AB98">
        <v>131</v>
      </c>
      <c r="AC98">
        <v>118.8</v>
      </c>
      <c r="AD98">
        <v>127</v>
      </c>
    </row>
    <row r="99" spans="1:30">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124</v>
      </c>
      <c r="R99">
        <v>118.6</v>
      </c>
      <c r="S99">
        <v>123.2</v>
      </c>
      <c r="T99">
        <v>139.25609756097555</v>
      </c>
      <c r="U99">
        <v>115.1</v>
      </c>
      <c r="V99">
        <v>120.4</v>
      </c>
      <c r="W99">
        <v>117.1</v>
      </c>
      <c r="X99">
        <v>112.9</v>
      </c>
      <c r="Y99">
        <v>109.1</v>
      </c>
      <c r="Z99">
        <v>117.3</v>
      </c>
      <c r="AA99">
        <v>126.5</v>
      </c>
      <c r="AB99">
        <v>134.69999999999999</v>
      </c>
      <c r="AC99">
        <v>116.2</v>
      </c>
      <c r="AD99">
        <v>123.5</v>
      </c>
    </row>
    <row r="100" spans="1:30">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127.9</v>
      </c>
      <c r="R100">
        <v>123.4</v>
      </c>
      <c r="S100">
        <v>127.2</v>
      </c>
      <c r="T100">
        <v>139.25609756097555</v>
      </c>
      <c r="U100">
        <v>120.4</v>
      </c>
      <c r="V100">
        <v>122.6</v>
      </c>
      <c r="W100">
        <v>119.8</v>
      </c>
      <c r="X100">
        <v>113.4</v>
      </c>
      <c r="Y100">
        <v>111.3</v>
      </c>
      <c r="Z100">
        <v>118.3</v>
      </c>
      <c r="AA100">
        <v>125.7</v>
      </c>
      <c r="AB100">
        <v>132</v>
      </c>
      <c r="AC100">
        <v>117.5</v>
      </c>
      <c r="AD100">
        <v>125.4</v>
      </c>
    </row>
    <row r="101" spans="1:30">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131.1</v>
      </c>
      <c r="R101">
        <v>127.3</v>
      </c>
      <c r="S101">
        <v>130.6</v>
      </c>
      <c r="T101">
        <v>139.25609756097555</v>
      </c>
      <c r="U101">
        <v>124.4</v>
      </c>
      <c r="V101">
        <v>125.1</v>
      </c>
      <c r="W101">
        <v>122</v>
      </c>
      <c r="X101">
        <v>114.2</v>
      </c>
      <c r="Y101">
        <v>113.8</v>
      </c>
      <c r="Z101">
        <v>120.1</v>
      </c>
      <c r="AA101">
        <v>125.1</v>
      </c>
      <c r="AB101">
        <v>131.5</v>
      </c>
      <c r="AC101">
        <v>119.2</v>
      </c>
      <c r="AD101">
        <v>127.7</v>
      </c>
    </row>
    <row r="102" spans="1:30">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124.4</v>
      </c>
      <c r="R102">
        <v>118.8</v>
      </c>
      <c r="S102">
        <v>123.6</v>
      </c>
      <c r="T102">
        <v>139.25609756097555</v>
      </c>
      <c r="U102">
        <v>114.9</v>
      </c>
      <c r="V102">
        <v>120.7</v>
      </c>
      <c r="W102">
        <v>117.7</v>
      </c>
      <c r="X102">
        <v>113.5</v>
      </c>
      <c r="Y102">
        <v>109.3</v>
      </c>
      <c r="Z102">
        <v>117.7</v>
      </c>
      <c r="AA102">
        <v>126.5</v>
      </c>
      <c r="AB102">
        <v>135.30000000000001</v>
      </c>
      <c r="AC102">
        <v>116.5</v>
      </c>
      <c r="AD102">
        <v>124.2</v>
      </c>
    </row>
    <row r="103" spans="1:30">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128.5</v>
      </c>
      <c r="R103">
        <v>123.8</v>
      </c>
      <c r="S103">
        <v>127.8</v>
      </c>
      <c r="T103">
        <v>139.25609756097555</v>
      </c>
      <c r="U103">
        <v>120.8</v>
      </c>
      <c r="V103">
        <v>123</v>
      </c>
      <c r="W103">
        <v>120.4</v>
      </c>
      <c r="X103">
        <v>113.9</v>
      </c>
      <c r="Y103">
        <v>111.4</v>
      </c>
      <c r="Z103">
        <v>118.7</v>
      </c>
      <c r="AA103">
        <v>125.9</v>
      </c>
      <c r="AB103">
        <v>132.5</v>
      </c>
      <c r="AC103">
        <v>117.9</v>
      </c>
      <c r="AD103">
        <v>126.1</v>
      </c>
    </row>
    <row r="104" spans="1:30">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v>
      </c>
      <c r="R104">
        <v>128.19999999999999</v>
      </c>
      <c r="S104">
        <v>131.5</v>
      </c>
      <c r="T104">
        <v>139.25609756097555</v>
      </c>
      <c r="U104">
        <v>125.6</v>
      </c>
      <c r="V104">
        <v>125.6</v>
      </c>
      <c r="W104">
        <v>122.6</v>
      </c>
      <c r="X104">
        <v>114.2</v>
      </c>
      <c r="Y104">
        <v>114</v>
      </c>
      <c r="Z104">
        <v>120.9</v>
      </c>
      <c r="AA104">
        <v>125.8</v>
      </c>
      <c r="AB104">
        <v>132.19999999999999</v>
      </c>
      <c r="AC104">
        <v>119.6</v>
      </c>
      <c r="AD104">
        <v>128.30000000000001</v>
      </c>
    </row>
    <row r="105" spans="1:30">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125</v>
      </c>
      <c r="R105">
        <v>119.3</v>
      </c>
      <c r="S105">
        <v>124.2</v>
      </c>
      <c r="T105">
        <v>139.25609756097555</v>
      </c>
      <c r="U105">
        <v>115.1</v>
      </c>
      <c r="V105">
        <v>121</v>
      </c>
      <c r="W105">
        <v>118.1</v>
      </c>
      <c r="X105">
        <v>113.3</v>
      </c>
      <c r="Y105">
        <v>109.3</v>
      </c>
      <c r="Z105">
        <v>117.9</v>
      </c>
      <c r="AA105">
        <v>126.6</v>
      </c>
      <c r="AB105">
        <v>137.6</v>
      </c>
      <c r="AC105">
        <v>116.6</v>
      </c>
      <c r="AD105">
        <v>124.6</v>
      </c>
    </row>
    <row r="106" spans="1:30">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129.30000000000001</v>
      </c>
      <c r="R106">
        <v>124.5</v>
      </c>
      <c r="S106">
        <v>128.6</v>
      </c>
      <c r="T106">
        <v>139.25609756097555</v>
      </c>
      <c r="U106">
        <v>121.6</v>
      </c>
      <c r="V106">
        <v>123.4</v>
      </c>
      <c r="W106">
        <v>120.9</v>
      </c>
      <c r="X106">
        <v>113.8</v>
      </c>
      <c r="Y106">
        <v>111.5</v>
      </c>
      <c r="Z106">
        <v>119.2</v>
      </c>
      <c r="AA106">
        <v>126.3</v>
      </c>
      <c r="AB106">
        <v>133.6</v>
      </c>
      <c r="AC106">
        <v>118.1</v>
      </c>
      <c r="AD106">
        <v>126.6</v>
      </c>
    </row>
    <row r="107" spans="1:30">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132.5</v>
      </c>
      <c r="R107">
        <v>128.5</v>
      </c>
      <c r="S107">
        <v>131.9</v>
      </c>
      <c r="T107">
        <v>139.25609756097555</v>
      </c>
      <c r="U107">
        <v>125.7</v>
      </c>
      <c r="V107">
        <v>126</v>
      </c>
      <c r="W107">
        <v>123.1</v>
      </c>
      <c r="X107">
        <v>114.1</v>
      </c>
      <c r="Y107">
        <v>114</v>
      </c>
      <c r="Z107">
        <v>121.6</v>
      </c>
      <c r="AA107">
        <v>125.6</v>
      </c>
      <c r="AB107">
        <v>133.1</v>
      </c>
      <c r="AC107">
        <v>119.8</v>
      </c>
      <c r="AD107">
        <v>127.9</v>
      </c>
    </row>
    <row r="108" spans="1:30">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125.4</v>
      </c>
      <c r="R108">
        <v>119.5</v>
      </c>
      <c r="S108">
        <v>124.5</v>
      </c>
      <c r="T108">
        <v>139.25609756097555</v>
      </c>
      <c r="U108">
        <v>116</v>
      </c>
      <c r="V108">
        <v>121</v>
      </c>
      <c r="W108">
        <v>118.6</v>
      </c>
      <c r="X108">
        <v>113.2</v>
      </c>
      <c r="Y108">
        <v>109.3</v>
      </c>
      <c r="Z108">
        <v>118.1</v>
      </c>
      <c r="AA108">
        <v>126.6</v>
      </c>
      <c r="AB108">
        <v>138.19999999999999</v>
      </c>
      <c r="AC108">
        <v>116.7</v>
      </c>
      <c r="AD108">
        <v>124</v>
      </c>
    </row>
    <row r="109" spans="1:30">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129.69999999999999</v>
      </c>
      <c r="R109">
        <v>124.8</v>
      </c>
      <c r="S109">
        <v>129</v>
      </c>
      <c r="T109">
        <v>139.25609756097555</v>
      </c>
      <c r="U109">
        <v>122</v>
      </c>
      <c r="V109">
        <v>123.6</v>
      </c>
      <c r="W109">
        <v>121.4</v>
      </c>
      <c r="X109">
        <v>113.7</v>
      </c>
      <c r="Y109">
        <v>111.5</v>
      </c>
      <c r="Z109">
        <v>119.6</v>
      </c>
      <c r="AA109">
        <v>126.2</v>
      </c>
      <c r="AB109">
        <v>134.5</v>
      </c>
      <c r="AC109">
        <v>118.3</v>
      </c>
      <c r="AD109">
        <v>126.1</v>
      </c>
    </row>
    <row r="110" spans="1:30">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133.19999999999999</v>
      </c>
      <c r="R110">
        <v>128.9</v>
      </c>
      <c r="S110">
        <v>132.6</v>
      </c>
      <c r="T110">
        <v>139.25609756097555</v>
      </c>
      <c r="U110">
        <v>126.2</v>
      </c>
      <c r="V110">
        <v>126.6</v>
      </c>
      <c r="W110">
        <v>123.7</v>
      </c>
      <c r="X110">
        <v>114.9</v>
      </c>
      <c r="Y110">
        <v>113.6</v>
      </c>
      <c r="Z110">
        <v>121.4</v>
      </c>
      <c r="AA110">
        <v>126.2</v>
      </c>
      <c r="AB110">
        <v>133.6</v>
      </c>
      <c r="AC110">
        <v>120.1</v>
      </c>
      <c r="AD110">
        <v>128.1</v>
      </c>
    </row>
    <row r="111" spans="1:30">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125.8</v>
      </c>
      <c r="R111">
        <v>119.8</v>
      </c>
      <c r="S111">
        <v>124.9</v>
      </c>
      <c r="T111">
        <v>139.25609756097555</v>
      </c>
      <c r="U111">
        <v>116.9</v>
      </c>
      <c r="V111">
        <v>121.6</v>
      </c>
      <c r="W111">
        <v>119.1</v>
      </c>
      <c r="X111">
        <v>114</v>
      </c>
      <c r="Y111">
        <v>108.9</v>
      </c>
      <c r="Z111">
        <v>118.5</v>
      </c>
      <c r="AA111">
        <v>126.4</v>
      </c>
      <c r="AB111">
        <v>139.5</v>
      </c>
      <c r="AC111">
        <v>116.8</v>
      </c>
      <c r="AD111">
        <v>124.2</v>
      </c>
    </row>
    <row r="112" spans="1:30">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130.30000000000001</v>
      </c>
      <c r="R112">
        <v>125.1</v>
      </c>
      <c r="S112">
        <v>129.5</v>
      </c>
      <c r="T112">
        <v>139.25609756097555</v>
      </c>
      <c r="U112">
        <v>122.7</v>
      </c>
      <c r="V112">
        <v>124.2</v>
      </c>
      <c r="W112">
        <v>122</v>
      </c>
      <c r="X112">
        <v>114.5</v>
      </c>
      <c r="Y112">
        <v>111.1</v>
      </c>
      <c r="Z112">
        <v>119.8</v>
      </c>
      <c r="AA112">
        <v>126.3</v>
      </c>
      <c r="AB112">
        <v>135.19999999999999</v>
      </c>
      <c r="AC112">
        <v>118.5</v>
      </c>
      <c r="AD112">
        <v>126.3</v>
      </c>
    </row>
    <row r="113" spans="1:30">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133.9</v>
      </c>
      <c r="R113">
        <v>129.80000000000001</v>
      </c>
      <c r="S113">
        <v>133.4</v>
      </c>
      <c r="T113">
        <v>139.25609756097555</v>
      </c>
      <c r="U113">
        <v>127.5</v>
      </c>
      <c r="V113">
        <v>127.1</v>
      </c>
      <c r="W113">
        <v>124.3</v>
      </c>
      <c r="X113">
        <v>116.8</v>
      </c>
      <c r="Y113">
        <v>113.9</v>
      </c>
      <c r="Z113">
        <v>122.3</v>
      </c>
      <c r="AA113">
        <v>127.1</v>
      </c>
      <c r="AB113">
        <v>134.4</v>
      </c>
      <c r="AC113">
        <v>120.9</v>
      </c>
      <c r="AD113">
        <v>127.9</v>
      </c>
    </row>
    <row r="114" spans="1:30">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126.2</v>
      </c>
      <c r="R114">
        <v>120.1</v>
      </c>
      <c r="S114">
        <v>125.3</v>
      </c>
      <c r="T114">
        <v>139.25609756097555</v>
      </c>
      <c r="U114">
        <v>116</v>
      </c>
      <c r="V114">
        <v>121.8</v>
      </c>
      <c r="W114">
        <v>119.5</v>
      </c>
      <c r="X114">
        <v>116.2</v>
      </c>
      <c r="Y114">
        <v>109.1</v>
      </c>
      <c r="Z114">
        <v>118.8</v>
      </c>
      <c r="AA114">
        <v>126.3</v>
      </c>
      <c r="AB114">
        <v>140</v>
      </c>
      <c r="AC114">
        <v>117.2</v>
      </c>
      <c r="AD114">
        <v>123.8</v>
      </c>
    </row>
    <row r="115" spans="1:30">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130.9</v>
      </c>
      <c r="R115">
        <v>125.8</v>
      </c>
      <c r="S115">
        <v>130.19999999999999</v>
      </c>
      <c r="T115">
        <v>139.25609756097555</v>
      </c>
      <c r="U115">
        <v>123.1</v>
      </c>
      <c r="V115">
        <v>124.6</v>
      </c>
      <c r="W115">
        <v>122.5</v>
      </c>
      <c r="X115">
        <v>116.6</v>
      </c>
      <c r="Y115">
        <v>111.4</v>
      </c>
      <c r="Z115">
        <v>120.3</v>
      </c>
      <c r="AA115">
        <v>126.6</v>
      </c>
      <c r="AB115">
        <v>135.9</v>
      </c>
      <c r="AC115">
        <v>119.1</v>
      </c>
      <c r="AD115">
        <v>126</v>
      </c>
    </row>
    <row r="116" spans="1:30">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134.4</v>
      </c>
      <c r="R116">
        <v>130.19999999999999</v>
      </c>
      <c r="S116">
        <v>133.80000000000001</v>
      </c>
      <c r="T116">
        <v>139.25609756097555</v>
      </c>
      <c r="U116">
        <v>127</v>
      </c>
      <c r="V116">
        <v>127.7</v>
      </c>
      <c r="W116">
        <v>124.8</v>
      </c>
      <c r="X116">
        <v>117.4</v>
      </c>
      <c r="Y116">
        <v>113.6</v>
      </c>
      <c r="Z116">
        <v>122.5</v>
      </c>
      <c r="AA116">
        <v>127.5</v>
      </c>
      <c r="AB116">
        <v>135</v>
      </c>
      <c r="AC116">
        <v>121.1</v>
      </c>
      <c r="AD116">
        <v>128</v>
      </c>
    </row>
    <row r="117" spans="1:30">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126.4</v>
      </c>
      <c r="R117">
        <v>120.3</v>
      </c>
      <c r="S117">
        <v>125.5</v>
      </c>
      <c r="T117">
        <v>139.25609756097555</v>
      </c>
      <c r="U117">
        <v>114.8</v>
      </c>
      <c r="V117">
        <v>122.3</v>
      </c>
      <c r="W117">
        <v>119.7</v>
      </c>
      <c r="X117">
        <v>117.1</v>
      </c>
      <c r="Y117">
        <v>108.5</v>
      </c>
      <c r="Z117">
        <v>119.1</v>
      </c>
      <c r="AA117">
        <v>126.4</v>
      </c>
      <c r="AB117">
        <v>140.6</v>
      </c>
      <c r="AC117">
        <v>117.3</v>
      </c>
      <c r="AD117">
        <v>123.8</v>
      </c>
    </row>
    <row r="118" spans="1:30">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131.30000000000001</v>
      </c>
      <c r="R118">
        <v>126.1</v>
      </c>
      <c r="S118">
        <v>130.5</v>
      </c>
      <c r="T118">
        <v>139.25609756097555</v>
      </c>
      <c r="U118">
        <v>122.4</v>
      </c>
      <c r="V118">
        <v>125.1</v>
      </c>
      <c r="W118">
        <v>122.9</v>
      </c>
      <c r="X118">
        <v>117.3</v>
      </c>
      <c r="Y118">
        <v>110.9</v>
      </c>
      <c r="Z118">
        <v>120.6</v>
      </c>
      <c r="AA118">
        <v>126.9</v>
      </c>
      <c r="AB118">
        <v>136.5</v>
      </c>
      <c r="AC118">
        <v>119.3</v>
      </c>
      <c r="AD118">
        <v>126</v>
      </c>
    </row>
    <row r="119" spans="1:30">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v>
      </c>
      <c r="R119">
        <v>130.6</v>
      </c>
      <c r="S119">
        <v>134.4</v>
      </c>
      <c r="T119">
        <v>139.25609756097555</v>
      </c>
      <c r="U119">
        <v>127</v>
      </c>
      <c r="V119">
        <v>128</v>
      </c>
      <c r="W119">
        <v>125.2</v>
      </c>
      <c r="X119">
        <v>118.4</v>
      </c>
      <c r="Y119">
        <v>114.4</v>
      </c>
      <c r="Z119">
        <v>123.2</v>
      </c>
      <c r="AA119">
        <v>127.9</v>
      </c>
      <c r="AB119">
        <v>135.5</v>
      </c>
      <c r="AC119">
        <v>121.7</v>
      </c>
      <c r="AD119">
        <v>129</v>
      </c>
    </row>
    <row r="120" spans="1:30">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126.8</v>
      </c>
      <c r="R120">
        <v>120.5</v>
      </c>
      <c r="S120">
        <v>125.8</v>
      </c>
      <c r="T120">
        <v>139.25609756097555</v>
      </c>
      <c r="U120">
        <v>114.6</v>
      </c>
      <c r="V120">
        <v>122.8</v>
      </c>
      <c r="W120">
        <v>120</v>
      </c>
      <c r="X120">
        <v>117.6</v>
      </c>
      <c r="Y120">
        <v>110</v>
      </c>
      <c r="Z120">
        <v>119.5</v>
      </c>
      <c r="AA120">
        <v>127.6</v>
      </c>
      <c r="AB120">
        <v>141.5</v>
      </c>
      <c r="AC120">
        <v>118.2</v>
      </c>
      <c r="AD120">
        <v>125.3</v>
      </c>
    </row>
    <row r="121" spans="1:30">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131.80000000000001</v>
      </c>
      <c r="R121">
        <v>126.4</v>
      </c>
      <c r="S121">
        <v>131</v>
      </c>
      <c r="T121">
        <v>139.25609756097555</v>
      </c>
      <c r="U121">
        <v>122.3</v>
      </c>
      <c r="V121">
        <v>125.5</v>
      </c>
      <c r="W121">
        <v>123.2</v>
      </c>
      <c r="X121">
        <v>118.1</v>
      </c>
      <c r="Y121">
        <v>112.1</v>
      </c>
      <c r="Z121">
        <v>121.1</v>
      </c>
      <c r="AA121">
        <v>127.7</v>
      </c>
      <c r="AB121">
        <v>137.1</v>
      </c>
      <c r="AC121">
        <v>120</v>
      </c>
      <c r="AD121">
        <v>127.3</v>
      </c>
    </row>
    <row r="122" spans="1:30">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135.4</v>
      </c>
      <c r="R122">
        <v>131.1</v>
      </c>
      <c r="S122">
        <v>134.80000000000001</v>
      </c>
      <c r="T122">
        <v>139.25609756097555</v>
      </c>
      <c r="U122">
        <v>127.4</v>
      </c>
      <c r="V122">
        <v>128.5</v>
      </c>
      <c r="W122">
        <v>125.8</v>
      </c>
      <c r="X122">
        <v>119.7</v>
      </c>
      <c r="Y122">
        <v>115.1</v>
      </c>
      <c r="Z122">
        <v>123.6</v>
      </c>
      <c r="AA122">
        <v>129.1</v>
      </c>
      <c r="AB122">
        <v>136</v>
      </c>
      <c r="AC122">
        <v>122.5</v>
      </c>
      <c r="AD122">
        <v>130.30000000000001</v>
      </c>
    </row>
    <row r="123" spans="1:30">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127.2</v>
      </c>
      <c r="R123">
        <v>120.7</v>
      </c>
      <c r="S123">
        <v>126.2</v>
      </c>
      <c r="T123">
        <v>139.25609756097555</v>
      </c>
      <c r="U123">
        <v>115</v>
      </c>
      <c r="V123">
        <v>123.2</v>
      </c>
      <c r="W123">
        <v>120.3</v>
      </c>
      <c r="X123">
        <v>118.5</v>
      </c>
      <c r="Y123">
        <v>110.7</v>
      </c>
      <c r="Z123">
        <v>119.8</v>
      </c>
      <c r="AA123">
        <v>128</v>
      </c>
      <c r="AB123">
        <v>142.19999999999999</v>
      </c>
      <c r="AC123">
        <v>118.7</v>
      </c>
      <c r="AD123">
        <v>126.6</v>
      </c>
    </row>
    <row r="124" spans="1:30">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132.19999999999999</v>
      </c>
      <c r="R124">
        <v>126.8</v>
      </c>
      <c r="S124">
        <v>131.4</v>
      </c>
      <c r="T124">
        <v>139.25609756097555</v>
      </c>
      <c r="U124">
        <v>122.7</v>
      </c>
      <c r="V124">
        <v>126</v>
      </c>
      <c r="W124">
        <v>123.7</v>
      </c>
      <c r="X124">
        <v>119.2</v>
      </c>
      <c r="Y124">
        <v>112.8</v>
      </c>
      <c r="Z124">
        <v>121.5</v>
      </c>
      <c r="AA124">
        <v>128.5</v>
      </c>
      <c r="AB124">
        <v>137.69999999999999</v>
      </c>
      <c r="AC124">
        <v>120.7</v>
      </c>
      <c r="AD124">
        <v>128.6</v>
      </c>
    </row>
    <row r="125" spans="1:30">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136.30000000000001</v>
      </c>
      <c r="R125">
        <v>131.6</v>
      </c>
      <c r="S125">
        <v>135.6</v>
      </c>
      <c r="T125">
        <v>139.25609756097555</v>
      </c>
      <c r="U125">
        <v>128</v>
      </c>
      <c r="V125">
        <v>129.30000000000001</v>
      </c>
      <c r="W125">
        <v>126.2</v>
      </c>
      <c r="X125">
        <v>119.9</v>
      </c>
      <c r="Y125">
        <v>116.3</v>
      </c>
      <c r="Z125">
        <v>124.1</v>
      </c>
      <c r="AA125">
        <v>130.19999999999999</v>
      </c>
      <c r="AB125">
        <v>137.19999999999999</v>
      </c>
      <c r="AC125">
        <v>123.3</v>
      </c>
      <c r="AD125">
        <v>131.9</v>
      </c>
    </row>
    <row r="126" spans="1:30">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127.6</v>
      </c>
      <c r="R126">
        <v>121.1</v>
      </c>
      <c r="S126">
        <v>126.6</v>
      </c>
      <c r="T126">
        <v>139.25609756097555</v>
      </c>
      <c r="U126">
        <v>115.5</v>
      </c>
      <c r="V126">
        <v>123.2</v>
      </c>
      <c r="W126">
        <v>120.6</v>
      </c>
      <c r="X126">
        <v>118.8</v>
      </c>
      <c r="Y126">
        <v>112.3</v>
      </c>
      <c r="Z126">
        <v>119.9</v>
      </c>
      <c r="AA126">
        <v>129.30000000000001</v>
      </c>
      <c r="AB126">
        <v>142.69999999999999</v>
      </c>
      <c r="AC126">
        <v>119.6</v>
      </c>
      <c r="AD126">
        <v>128.1</v>
      </c>
    </row>
    <row r="127" spans="1:30">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132.9</v>
      </c>
      <c r="R127">
        <v>127.2</v>
      </c>
      <c r="S127">
        <v>132</v>
      </c>
      <c r="T127">
        <v>139.25609756097555</v>
      </c>
      <c r="U127">
        <v>123.3</v>
      </c>
      <c r="V127">
        <v>126.4</v>
      </c>
      <c r="W127">
        <v>124.1</v>
      </c>
      <c r="X127">
        <v>119.4</v>
      </c>
      <c r="Y127">
        <v>114.2</v>
      </c>
      <c r="Z127">
        <v>121.7</v>
      </c>
      <c r="AA127">
        <v>129.69999999999999</v>
      </c>
      <c r="AB127">
        <v>138.69999999999999</v>
      </c>
      <c r="AC127">
        <v>121.5</v>
      </c>
      <c r="AD127">
        <v>130.1</v>
      </c>
    </row>
    <row r="128" spans="1:30">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137.19999999999999</v>
      </c>
      <c r="R128">
        <v>132.19999999999999</v>
      </c>
      <c r="S128">
        <v>136.5</v>
      </c>
      <c r="T128">
        <v>139.25609756097555</v>
      </c>
      <c r="U128">
        <v>128.19999999999999</v>
      </c>
      <c r="V128">
        <v>130</v>
      </c>
      <c r="W128">
        <v>126.7</v>
      </c>
      <c r="X128">
        <v>120.9</v>
      </c>
      <c r="Y128">
        <v>116.4</v>
      </c>
      <c r="Z128">
        <v>125.2</v>
      </c>
      <c r="AA128">
        <v>130.80000000000001</v>
      </c>
      <c r="AB128">
        <v>138</v>
      </c>
      <c r="AC128">
        <v>123.8</v>
      </c>
      <c r="AD128">
        <v>133</v>
      </c>
    </row>
    <row r="129" spans="1:30">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127.9</v>
      </c>
      <c r="R129">
        <v>121.1</v>
      </c>
      <c r="S129">
        <v>126.9</v>
      </c>
      <c r="T129">
        <v>139.25609756097555</v>
      </c>
      <c r="U129">
        <v>115.5</v>
      </c>
      <c r="V129">
        <v>123.5</v>
      </c>
      <c r="W129">
        <v>120.9</v>
      </c>
      <c r="X129">
        <v>120</v>
      </c>
      <c r="Y129">
        <v>111.7</v>
      </c>
      <c r="Z129">
        <v>120.3</v>
      </c>
      <c r="AA129">
        <v>130.80000000000001</v>
      </c>
      <c r="AB129">
        <v>142.9</v>
      </c>
      <c r="AC129">
        <v>119.9</v>
      </c>
      <c r="AD129">
        <v>129</v>
      </c>
    </row>
    <row r="130" spans="1:30">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133.5</v>
      </c>
      <c r="R130">
        <v>127.6</v>
      </c>
      <c r="S130">
        <v>132.69999999999999</v>
      </c>
      <c r="T130">
        <v>139.25609756097555</v>
      </c>
      <c r="U130">
        <v>123.4</v>
      </c>
      <c r="V130">
        <v>126.9</v>
      </c>
      <c r="W130">
        <v>124.5</v>
      </c>
      <c r="X130">
        <v>120.5</v>
      </c>
      <c r="Y130">
        <v>113.9</v>
      </c>
      <c r="Z130">
        <v>122.4</v>
      </c>
      <c r="AA130">
        <v>130.80000000000001</v>
      </c>
      <c r="AB130">
        <v>139.30000000000001</v>
      </c>
      <c r="AC130">
        <v>121.9</v>
      </c>
      <c r="AD130">
        <v>131.1</v>
      </c>
    </row>
    <row r="131" spans="1:30">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137.80000000000001</v>
      </c>
      <c r="R131">
        <v>133</v>
      </c>
      <c r="S131">
        <v>137.1</v>
      </c>
      <c r="T131">
        <v>139.25609756097555</v>
      </c>
      <c r="U131">
        <v>129.1</v>
      </c>
      <c r="V131">
        <v>130.6</v>
      </c>
      <c r="W131">
        <v>127</v>
      </c>
      <c r="X131">
        <v>122</v>
      </c>
      <c r="Y131">
        <v>116</v>
      </c>
      <c r="Z131">
        <v>125.5</v>
      </c>
      <c r="AA131">
        <v>131.9</v>
      </c>
      <c r="AB131">
        <v>138.9</v>
      </c>
      <c r="AC131">
        <v>124.2</v>
      </c>
      <c r="AD131">
        <v>133.5</v>
      </c>
    </row>
    <row r="132" spans="1:30">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128.30000000000001</v>
      </c>
      <c r="R132">
        <v>121.4</v>
      </c>
      <c r="S132">
        <v>127.3</v>
      </c>
      <c r="T132">
        <v>139.25609756097555</v>
      </c>
      <c r="U132">
        <v>114.7</v>
      </c>
      <c r="V132">
        <v>123.9</v>
      </c>
      <c r="W132">
        <v>121.2</v>
      </c>
      <c r="X132">
        <v>120.9</v>
      </c>
      <c r="Y132">
        <v>110.4</v>
      </c>
      <c r="Z132">
        <v>120.6</v>
      </c>
      <c r="AA132">
        <v>131.5</v>
      </c>
      <c r="AB132">
        <v>143.6</v>
      </c>
      <c r="AC132">
        <v>119.9</v>
      </c>
      <c r="AD132">
        <v>128.4</v>
      </c>
    </row>
    <row r="133" spans="1:30">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134.1</v>
      </c>
      <c r="R133">
        <v>128.19999999999999</v>
      </c>
      <c r="S133">
        <v>133.19999999999999</v>
      </c>
      <c r="T133">
        <v>139.25609756097555</v>
      </c>
      <c r="U133">
        <v>123.6</v>
      </c>
      <c r="V133">
        <v>127.4</v>
      </c>
      <c r="W133">
        <v>124.8</v>
      </c>
      <c r="X133">
        <v>121.5</v>
      </c>
      <c r="Y133">
        <v>113.1</v>
      </c>
      <c r="Z133">
        <v>122.7</v>
      </c>
      <c r="AA133">
        <v>131.69999999999999</v>
      </c>
      <c r="AB133">
        <v>140.19999999999999</v>
      </c>
      <c r="AC133">
        <v>122.1</v>
      </c>
      <c r="AD133">
        <v>131.1</v>
      </c>
    </row>
    <row r="134" spans="1:30">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138.5</v>
      </c>
      <c r="R134">
        <v>133.5</v>
      </c>
      <c r="S134">
        <v>137.80000000000001</v>
      </c>
      <c r="T134">
        <v>139.25609756097555</v>
      </c>
      <c r="U134">
        <v>129.69999999999999</v>
      </c>
      <c r="V134">
        <v>131.1</v>
      </c>
      <c r="W134">
        <v>127.8</v>
      </c>
      <c r="X134">
        <v>122.8</v>
      </c>
      <c r="Y134">
        <v>117</v>
      </c>
      <c r="Z134">
        <v>125.7</v>
      </c>
      <c r="AA134">
        <v>132.19999999999999</v>
      </c>
      <c r="AB134">
        <v>139.9</v>
      </c>
      <c r="AC134">
        <v>124.9</v>
      </c>
      <c r="AD134">
        <v>133.4</v>
      </c>
    </row>
    <row r="135" spans="1:30">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128.69999999999999</v>
      </c>
      <c r="R135">
        <v>121.6</v>
      </c>
      <c r="S135">
        <v>127.7</v>
      </c>
      <c r="T135">
        <v>139.25609756097555</v>
      </c>
      <c r="U135">
        <v>114.8</v>
      </c>
      <c r="V135">
        <v>124.3</v>
      </c>
      <c r="W135">
        <v>121.4</v>
      </c>
      <c r="X135">
        <v>121.2</v>
      </c>
      <c r="Y135">
        <v>111.8</v>
      </c>
      <c r="Z135">
        <v>120.8</v>
      </c>
      <c r="AA135">
        <v>131.6</v>
      </c>
      <c r="AB135">
        <v>143.9</v>
      </c>
      <c r="AC135">
        <v>120.5</v>
      </c>
      <c r="AD135">
        <v>128</v>
      </c>
    </row>
    <row r="136" spans="1:30">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134.6</v>
      </c>
      <c r="R136">
        <v>128.6</v>
      </c>
      <c r="S136">
        <v>133.80000000000001</v>
      </c>
      <c r="T136">
        <v>139.25609756097555</v>
      </c>
      <c r="U136">
        <v>124.1</v>
      </c>
      <c r="V136">
        <v>127.9</v>
      </c>
      <c r="W136">
        <v>125.4</v>
      </c>
      <c r="X136">
        <v>122.1</v>
      </c>
      <c r="Y136">
        <v>114.3</v>
      </c>
      <c r="Z136">
        <v>122.9</v>
      </c>
      <c r="AA136">
        <v>131.80000000000001</v>
      </c>
      <c r="AB136">
        <v>141</v>
      </c>
      <c r="AC136">
        <v>122.8</v>
      </c>
      <c r="AD136">
        <v>130.9</v>
      </c>
    </row>
    <row r="137" spans="1:30">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139.6</v>
      </c>
      <c r="R137">
        <v>134.30000000000001</v>
      </c>
      <c r="S137">
        <v>138.80000000000001</v>
      </c>
      <c r="T137">
        <v>139.25609756097555</v>
      </c>
      <c r="U137">
        <v>129.80000000000001</v>
      </c>
      <c r="V137">
        <v>131.80000000000001</v>
      </c>
      <c r="W137">
        <v>128.69999999999999</v>
      </c>
      <c r="X137">
        <v>123</v>
      </c>
      <c r="Y137">
        <v>117.8</v>
      </c>
      <c r="Z137">
        <v>126.5</v>
      </c>
      <c r="AA137">
        <v>133</v>
      </c>
      <c r="AB137">
        <v>140.9</v>
      </c>
      <c r="AC137">
        <v>125.7</v>
      </c>
      <c r="AD137">
        <v>133.80000000000001</v>
      </c>
    </row>
    <row r="138" spans="1:30">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129.1</v>
      </c>
      <c r="R138">
        <v>121.9</v>
      </c>
      <c r="S138">
        <v>128</v>
      </c>
      <c r="T138">
        <v>139.25609756097555</v>
      </c>
      <c r="U138">
        <v>115.2</v>
      </c>
      <c r="V138">
        <v>124.5</v>
      </c>
      <c r="W138">
        <v>121.8</v>
      </c>
      <c r="X138">
        <v>120.8</v>
      </c>
      <c r="Y138">
        <v>112.8</v>
      </c>
      <c r="Z138">
        <v>121.2</v>
      </c>
      <c r="AA138">
        <v>131.9</v>
      </c>
      <c r="AB138">
        <v>144.30000000000001</v>
      </c>
      <c r="AC138">
        <v>120.9</v>
      </c>
      <c r="AD138">
        <v>128.6</v>
      </c>
    </row>
    <row r="139" spans="1:30">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135.5</v>
      </c>
      <c r="R139">
        <v>129.1</v>
      </c>
      <c r="S139">
        <v>134.5</v>
      </c>
      <c r="T139">
        <v>139.25609756097555</v>
      </c>
      <c r="U139">
        <v>124.3</v>
      </c>
      <c r="V139">
        <v>128.4</v>
      </c>
      <c r="W139">
        <v>126.1</v>
      </c>
      <c r="X139">
        <v>122.1</v>
      </c>
      <c r="Y139">
        <v>115.2</v>
      </c>
      <c r="Z139">
        <v>123.5</v>
      </c>
      <c r="AA139">
        <v>132.4</v>
      </c>
      <c r="AB139">
        <v>141.80000000000001</v>
      </c>
      <c r="AC139">
        <v>123.4</v>
      </c>
      <c r="AD139">
        <v>131.4</v>
      </c>
    </row>
    <row r="140" spans="1:30">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139.9</v>
      </c>
      <c r="R140">
        <v>134.5</v>
      </c>
      <c r="S140">
        <v>139.19999999999999</v>
      </c>
      <c r="T140">
        <v>139.25609756097555</v>
      </c>
      <c r="U140">
        <v>130.30000000000001</v>
      </c>
      <c r="V140">
        <v>132.1</v>
      </c>
      <c r="W140">
        <v>129.1</v>
      </c>
      <c r="X140">
        <v>123.5</v>
      </c>
      <c r="Y140">
        <v>118.2</v>
      </c>
      <c r="Z140">
        <v>126.9</v>
      </c>
      <c r="AA140">
        <v>133.69999999999999</v>
      </c>
      <c r="AB140">
        <v>141.19999999999999</v>
      </c>
      <c r="AC140">
        <v>126.1</v>
      </c>
      <c r="AD140">
        <v>133.6</v>
      </c>
    </row>
    <row r="141" spans="1:30">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129.6</v>
      </c>
      <c r="R141">
        <v>122.1</v>
      </c>
      <c r="S141">
        <v>128.5</v>
      </c>
      <c r="T141">
        <v>139.25609756097555</v>
      </c>
      <c r="U141">
        <v>116.2</v>
      </c>
      <c r="V141">
        <v>124.7</v>
      </c>
      <c r="W141">
        <v>122.1</v>
      </c>
      <c r="X141">
        <v>121.3</v>
      </c>
      <c r="Y141">
        <v>113.4</v>
      </c>
      <c r="Z141">
        <v>121.7</v>
      </c>
      <c r="AA141">
        <v>132.1</v>
      </c>
      <c r="AB141">
        <v>144.30000000000001</v>
      </c>
      <c r="AC141">
        <v>121.3</v>
      </c>
      <c r="AD141">
        <v>128.5</v>
      </c>
    </row>
    <row r="142" spans="1:30">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135.80000000000001</v>
      </c>
      <c r="R142">
        <v>129.30000000000001</v>
      </c>
      <c r="S142">
        <v>135</v>
      </c>
      <c r="T142">
        <v>139.25609756097555</v>
      </c>
      <c r="U142">
        <v>125</v>
      </c>
      <c r="V142">
        <v>128.6</v>
      </c>
      <c r="W142">
        <v>126.4</v>
      </c>
      <c r="X142">
        <v>122.6</v>
      </c>
      <c r="Y142">
        <v>115.7</v>
      </c>
      <c r="Z142">
        <v>124</v>
      </c>
      <c r="AA142">
        <v>132.80000000000001</v>
      </c>
      <c r="AB142">
        <v>142</v>
      </c>
      <c r="AC142">
        <v>123.8</v>
      </c>
      <c r="AD142">
        <v>131.19999999999999</v>
      </c>
    </row>
    <row r="143" spans="1:30">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140.4</v>
      </c>
      <c r="R143">
        <v>135.19999999999999</v>
      </c>
      <c r="S143">
        <v>139.69999999999999</v>
      </c>
      <c r="T143">
        <v>139.25609756097555</v>
      </c>
      <c r="U143">
        <v>132</v>
      </c>
      <c r="V143">
        <v>132.9</v>
      </c>
      <c r="W143">
        <v>129.69999999999999</v>
      </c>
      <c r="X143">
        <v>121.9</v>
      </c>
      <c r="Y143">
        <v>118.6</v>
      </c>
      <c r="Z143">
        <v>127.3</v>
      </c>
      <c r="AA143">
        <v>134.19999999999999</v>
      </c>
      <c r="AB143">
        <v>142.4</v>
      </c>
      <c r="AC143">
        <v>126.3</v>
      </c>
      <c r="AD143">
        <v>132.80000000000001</v>
      </c>
    </row>
    <row r="144" spans="1:30">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130</v>
      </c>
      <c r="R144">
        <v>122.2</v>
      </c>
      <c r="S144">
        <v>128.80000000000001</v>
      </c>
      <c r="T144">
        <v>139.25609756097555</v>
      </c>
      <c r="U144">
        <v>117.8</v>
      </c>
      <c r="V144">
        <v>125</v>
      </c>
      <c r="W144">
        <v>122.3</v>
      </c>
      <c r="X144">
        <v>119.9</v>
      </c>
      <c r="Y144">
        <v>113.7</v>
      </c>
      <c r="Z144">
        <v>121.8</v>
      </c>
      <c r="AA144">
        <v>132.30000000000001</v>
      </c>
      <c r="AB144">
        <v>145</v>
      </c>
      <c r="AC144">
        <v>121.4</v>
      </c>
      <c r="AD144">
        <v>127.6</v>
      </c>
    </row>
    <row r="145" spans="1:30">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136.30000000000001</v>
      </c>
      <c r="R145">
        <v>129.80000000000001</v>
      </c>
      <c r="S145">
        <v>135.4</v>
      </c>
      <c r="T145">
        <v>139.25609756097555</v>
      </c>
      <c r="U145">
        <v>126.6</v>
      </c>
      <c r="V145">
        <v>129.19999999999999</v>
      </c>
      <c r="W145">
        <v>126.9</v>
      </c>
      <c r="X145">
        <v>121.1</v>
      </c>
      <c r="Y145">
        <v>116</v>
      </c>
      <c r="Z145">
        <v>124.2</v>
      </c>
      <c r="AA145">
        <v>133.1</v>
      </c>
      <c r="AB145">
        <v>143.1</v>
      </c>
      <c r="AC145">
        <v>123.9</v>
      </c>
      <c r="AD145">
        <v>130.4</v>
      </c>
    </row>
    <row r="146" spans="1:30">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140.69999999999999</v>
      </c>
      <c r="R146">
        <v>135.80000000000001</v>
      </c>
      <c r="S146">
        <v>140</v>
      </c>
      <c r="T146">
        <v>139.25609756097555</v>
      </c>
      <c r="U146">
        <v>132.1</v>
      </c>
      <c r="V146">
        <v>133.19999999999999</v>
      </c>
      <c r="W146">
        <v>129.9</v>
      </c>
      <c r="X146">
        <v>122.3</v>
      </c>
      <c r="Y146">
        <v>119.1</v>
      </c>
      <c r="Z146">
        <v>127</v>
      </c>
      <c r="AA146">
        <v>134.6</v>
      </c>
      <c r="AB146">
        <v>143.1</v>
      </c>
      <c r="AC146">
        <v>126.6</v>
      </c>
      <c r="AD146">
        <v>132.4</v>
      </c>
    </row>
    <row r="147" spans="1:30">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130.19999999999999</v>
      </c>
      <c r="R147">
        <v>122.3</v>
      </c>
      <c r="S147">
        <v>129</v>
      </c>
      <c r="T147">
        <v>139.25609756097555</v>
      </c>
      <c r="U147">
        <v>118</v>
      </c>
      <c r="V147">
        <v>125.1</v>
      </c>
      <c r="W147">
        <v>122.6</v>
      </c>
      <c r="X147">
        <v>120.9</v>
      </c>
      <c r="Y147">
        <v>115.2</v>
      </c>
      <c r="Z147">
        <v>122</v>
      </c>
      <c r="AA147">
        <v>132.4</v>
      </c>
      <c r="AB147">
        <v>145.6</v>
      </c>
      <c r="AC147">
        <v>122.1</v>
      </c>
      <c r="AD147">
        <v>127.8</v>
      </c>
    </row>
    <row r="148" spans="1:30">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136.6</v>
      </c>
      <c r="R148">
        <v>130.19999999999999</v>
      </c>
      <c r="S148">
        <v>135.6</v>
      </c>
      <c r="T148">
        <v>139.25609756097555</v>
      </c>
      <c r="U148">
        <v>126.8</v>
      </c>
      <c r="V148">
        <v>129.4</v>
      </c>
      <c r="W148">
        <v>127.1</v>
      </c>
      <c r="X148">
        <v>121.7</v>
      </c>
      <c r="Y148">
        <v>117</v>
      </c>
      <c r="Z148">
        <v>124.2</v>
      </c>
      <c r="AA148">
        <v>133.30000000000001</v>
      </c>
      <c r="AB148">
        <v>143.80000000000001</v>
      </c>
      <c r="AC148">
        <v>124.4</v>
      </c>
      <c r="AD148">
        <v>130.30000000000001</v>
      </c>
    </row>
    <row r="149" spans="1:30">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140.9</v>
      </c>
      <c r="R149">
        <v>135.80000000000001</v>
      </c>
      <c r="S149">
        <v>140.19999999999999</v>
      </c>
      <c r="T149">
        <v>139.25609756097555</v>
      </c>
      <c r="U149">
        <v>133.19999999999999</v>
      </c>
      <c r="V149">
        <v>133.6</v>
      </c>
      <c r="W149">
        <v>130.1</v>
      </c>
      <c r="X149">
        <v>123.2</v>
      </c>
      <c r="Y149">
        <v>119.5</v>
      </c>
      <c r="Z149">
        <v>127.7</v>
      </c>
      <c r="AA149">
        <v>134.9</v>
      </c>
      <c r="AB149">
        <v>143.69999999999999</v>
      </c>
      <c r="AC149">
        <v>127</v>
      </c>
      <c r="AD149">
        <v>132.6</v>
      </c>
    </row>
    <row r="150" spans="1:30">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130.5</v>
      </c>
      <c r="R150">
        <v>122.5</v>
      </c>
      <c r="S150">
        <v>129.30000000000001</v>
      </c>
      <c r="T150">
        <v>139.25609756097555</v>
      </c>
      <c r="U150">
        <v>119.2</v>
      </c>
      <c r="V150">
        <v>125.3</v>
      </c>
      <c r="W150">
        <v>122.9</v>
      </c>
      <c r="X150">
        <v>121.7</v>
      </c>
      <c r="Y150">
        <v>115.5</v>
      </c>
      <c r="Z150">
        <v>122.2</v>
      </c>
      <c r="AA150">
        <v>132.4</v>
      </c>
      <c r="AB150">
        <v>146.30000000000001</v>
      </c>
      <c r="AC150">
        <v>122.4</v>
      </c>
      <c r="AD150">
        <v>128.19999999999999</v>
      </c>
    </row>
    <row r="151" spans="1:30">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136.80000000000001</v>
      </c>
      <c r="R151">
        <v>130.30000000000001</v>
      </c>
      <c r="S151">
        <v>135.9</v>
      </c>
      <c r="T151">
        <v>139.25609756097555</v>
      </c>
      <c r="U151">
        <v>127.9</v>
      </c>
      <c r="V151">
        <v>129.69999999999999</v>
      </c>
      <c r="W151">
        <v>127.4</v>
      </c>
      <c r="X151">
        <v>122.6</v>
      </c>
      <c r="Y151">
        <v>117.4</v>
      </c>
      <c r="Z151">
        <v>124.6</v>
      </c>
      <c r="AA151">
        <v>133.4</v>
      </c>
      <c r="AB151">
        <v>144.4</v>
      </c>
      <c r="AC151">
        <v>124.8</v>
      </c>
      <c r="AD151">
        <v>130.6</v>
      </c>
    </row>
    <row r="152" spans="1:30">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141.6</v>
      </c>
      <c r="R152">
        <v>136.19999999999999</v>
      </c>
      <c r="S152">
        <v>140.80000000000001</v>
      </c>
      <c r="T152">
        <v>139.25609756097555</v>
      </c>
      <c r="U152">
        <v>134.19999999999999</v>
      </c>
      <c r="V152">
        <v>134.1</v>
      </c>
      <c r="W152">
        <v>130.6</v>
      </c>
      <c r="X152">
        <v>123.3</v>
      </c>
      <c r="Y152">
        <v>119.8</v>
      </c>
      <c r="Z152">
        <v>128.30000000000001</v>
      </c>
      <c r="AA152">
        <v>135.19999999999999</v>
      </c>
      <c r="AB152">
        <v>144.19999999999999</v>
      </c>
      <c r="AC152">
        <v>127.4</v>
      </c>
      <c r="AD152">
        <v>132.80000000000001</v>
      </c>
    </row>
    <row r="153" spans="1:30">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130.80000000000001</v>
      </c>
      <c r="R153">
        <v>122.8</v>
      </c>
      <c r="S153">
        <v>129.6</v>
      </c>
      <c r="T153">
        <v>139.25609756097555</v>
      </c>
      <c r="U153">
        <v>120.8</v>
      </c>
      <c r="V153">
        <v>125.6</v>
      </c>
      <c r="W153">
        <v>123.1</v>
      </c>
      <c r="X153">
        <v>121.7</v>
      </c>
      <c r="Y153">
        <v>115.6</v>
      </c>
      <c r="Z153">
        <v>122.4</v>
      </c>
      <c r="AA153">
        <v>132.80000000000001</v>
      </c>
      <c r="AB153">
        <v>147.5</v>
      </c>
      <c r="AC153">
        <v>122.6</v>
      </c>
      <c r="AD153">
        <v>128.69999999999999</v>
      </c>
    </row>
    <row r="154" spans="1:30">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137.30000000000001</v>
      </c>
      <c r="R154">
        <v>130.6</v>
      </c>
      <c r="S154">
        <v>136.4</v>
      </c>
      <c r="T154">
        <v>139.25609756097555</v>
      </c>
      <c r="U154">
        <v>129.1</v>
      </c>
      <c r="V154">
        <v>130.1</v>
      </c>
      <c r="W154">
        <v>127.8</v>
      </c>
      <c r="X154">
        <v>122.6</v>
      </c>
      <c r="Y154">
        <v>117.6</v>
      </c>
      <c r="Z154">
        <v>125</v>
      </c>
      <c r="AA154">
        <v>133.80000000000001</v>
      </c>
      <c r="AB154">
        <v>145.1</v>
      </c>
      <c r="AC154">
        <v>125.1</v>
      </c>
      <c r="AD154">
        <v>130.9</v>
      </c>
    </row>
    <row r="155" spans="1:30">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142.4</v>
      </c>
      <c r="R155">
        <v>136.80000000000001</v>
      </c>
      <c r="S155">
        <v>141.6</v>
      </c>
      <c r="T155">
        <v>139.25609756097555</v>
      </c>
      <c r="U155">
        <v>135</v>
      </c>
      <c r="V155">
        <v>134.30000000000001</v>
      </c>
      <c r="W155">
        <v>131</v>
      </c>
      <c r="X155">
        <v>123.7</v>
      </c>
      <c r="Y155">
        <v>119.2</v>
      </c>
      <c r="Z155">
        <v>128.30000000000001</v>
      </c>
      <c r="AA155">
        <v>135.69999999999999</v>
      </c>
      <c r="AB155">
        <v>144.4</v>
      </c>
      <c r="AC155">
        <v>127.5</v>
      </c>
      <c r="AD155">
        <v>132.9</v>
      </c>
    </row>
    <row r="156" spans="1:30">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131.19999999999999</v>
      </c>
      <c r="R156">
        <v>123</v>
      </c>
      <c r="S156">
        <v>130</v>
      </c>
      <c r="T156">
        <v>139.25609756097555</v>
      </c>
      <c r="U156">
        <v>121.4</v>
      </c>
      <c r="V156">
        <v>126</v>
      </c>
      <c r="W156">
        <v>123.4</v>
      </c>
      <c r="X156">
        <v>122.2</v>
      </c>
      <c r="Y156">
        <v>114.3</v>
      </c>
      <c r="Z156">
        <v>122.6</v>
      </c>
      <c r="AA156">
        <v>133.6</v>
      </c>
      <c r="AB156">
        <v>148</v>
      </c>
      <c r="AC156">
        <v>122.5</v>
      </c>
      <c r="AD156">
        <v>129.1</v>
      </c>
    </row>
    <row r="157" spans="1:30">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138</v>
      </c>
      <c r="R157">
        <v>131.1</v>
      </c>
      <c r="S157">
        <v>137</v>
      </c>
      <c r="T157">
        <v>139.25609756097555</v>
      </c>
      <c r="U157">
        <v>129.80000000000001</v>
      </c>
      <c r="V157">
        <v>130.4</v>
      </c>
      <c r="W157">
        <v>128.1</v>
      </c>
      <c r="X157">
        <v>123.1</v>
      </c>
      <c r="Y157">
        <v>116.6</v>
      </c>
      <c r="Z157">
        <v>125.1</v>
      </c>
      <c r="AA157">
        <v>134.5</v>
      </c>
      <c r="AB157">
        <v>145.4</v>
      </c>
      <c r="AC157">
        <v>125.1</v>
      </c>
      <c r="AD157">
        <v>131.1</v>
      </c>
    </row>
    <row r="158" spans="1:30">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142.5</v>
      </c>
      <c r="R158">
        <v>137.30000000000001</v>
      </c>
      <c r="S158">
        <v>141.80000000000001</v>
      </c>
      <c r="T158">
        <v>139.25609756097555</v>
      </c>
      <c r="U158">
        <v>135</v>
      </c>
      <c r="V158">
        <v>134.9</v>
      </c>
      <c r="W158">
        <v>131.4</v>
      </c>
      <c r="X158">
        <v>123.7</v>
      </c>
      <c r="Y158">
        <v>119.4</v>
      </c>
      <c r="Z158">
        <v>129.4</v>
      </c>
      <c r="AA158">
        <v>136.30000000000001</v>
      </c>
      <c r="AB158">
        <v>145.5</v>
      </c>
      <c r="AC158">
        <v>127.9</v>
      </c>
      <c r="AD158">
        <v>133.30000000000001</v>
      </c>
    </row>
    <row r="159" spans="1:30">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131.5</v>
      </c>
      <c r="R159">
        <v>123.2</v>
      </c>
      <c r="S159">
        <v>130.19999999999999</v>
      </c>
      <c r="T159">
        <v>139.25609756097555</v>
      </c>
      <c r="U159">
        <v>120.1</v>
      </c>
      <c r="V159">
        <v>126.5</v>
      </c>
      <c r="W159">
        <v>123.6</v>
      </c>
      <c r="X159">
        <v>122</v>
      </c>
      <c r="Y159">
        <v>114.3</v>
      </c>
      <c r="Z159">
        <v>122.8</v>
      </c>
      <c r="AA159">
        <v>133.80000000000001</v>
      </c>
      <c r="AB159">
        <v>148.30000000000001</v>
      </c>
      <c r="AC159">
        <v>122.6</v>
      </c>
      <c r="AD159">
        <v>129.30000000000001</v>
      </c>
    </row>
    <row r="160" spans="1:30">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138.19999999999999</v>
      </c>
      <c r="R160">
        <v>131.4</v>
      </c>
      <c r="S160">
        <v>137.19999999999999</v>
      </c>
      <c r="T160">
        <v>139.25609756097555</v>
      </c>
      <c r="U160">
        <v>129.4</v>
      </c>
      <c r="V160">
        <v>130.9</v>
      </c>
      <c r="W160">
        <v>128.4</v>
      </c>
      <c r="X160">
        <v>123</v>
      </c>
      <c r="Y160">
        <v>116.7</v>
      </c>
      <c r="Z160">
        <v>125.7</v>
      </c>
      <c r="AA160">
        <v>134.80000000000001</v>
      </c>
      <c r="AB160">
        <v>146.19999999999999</v>
      </c>
      <c r="AC160">
        <v>125.3</v>
      </c>
      <c r="AD160">
        <v>131.4</v>
      </c>
    </row>
    <row r="161" spans="1:30">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143.1</v>
      </c>
      <c r="R161">
        <v>137.69999999999999</v>
      </c>
      <c r="S161">
        <v>142.30000000000001</v>
      </c>
      <c r="T161">
        <v>139.25609756097555</v>
      </c>
      <c r="U161">
        <v>134.80000000000001</v>
      </c>
      <c r="V161">
        <v>135.19999999999999</v>
      </c>
      <c r="W161">
        <v>131.30000000000001</v>
      </c>
      <c r="X161">
        <v>124.1</v>
      </c>
      <c r="Y161">
        <v>119.4</v>
      </c>
      <c r="Z161">
        <v>129.80000000000001</v>
      </c>
      <c r="AA161">
        <v>136.9</v>
      </c>
      <c r="AB161">
        <v>145.80000000000001</v>
      </c>
      <c r="AC161">
        <v>128.1</v>
      </c>
      <c r="AD161">
        <v>133.9</v>
      </c>
    </row>
    <row r="162" spans="1:30">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131.5</v>
      </c>
      <c r="R162">
        <v>123.2</v>
      </c>
      <c r="S162">
        <v>130.19999999999999</v>
      </c>
      <c r="T162">
        <v>139.25609756097555</v>
      </c>
      <c r="U162">
        <v>119</v>
      </c>
      <c r="V162">
        <v>126.8</v>
      </c>
      <c r="W162">
        <v>123.8</v>
      </c>
      <c r="X162">
        <v>122.5</v>
      </c>
      <c r="Y162">
        <v>113.9</v>
      </c>
      <c r="Z162">
        <v>122.9</v>
      </c>
      <c r="AA162">
        <v>134.30000000000001</v>
      </c>
      <c r="AB162">
        <v>148.6</v>
      </c>
      <c r="AC162">
        <v>122.7</v>
      </c>
      <c r="AD162">
        <v>129.9</v>
      </c>
    </row>
    <row r="163" spans="1:30">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138.5</v>
      </c>
      <c r="R163">
        <v>131.69999999999999</v>
      </c>
      <c r="S163">
        <v>137.5</v>
      </c>
      <c r="T163">
        <v>139.25609756097555</v>
      </c>
      <c r="U163">
        <v>128.80000000000001</v>
      </c>
      <c r="V163">
        <v>131.19999999999999</v>
      </c>
      <c r="W163">
        <v>128.5</v>
      </c>
      <c r="X163">
        <v>123.4</v>
      </c>
      <c r="Y163">
        <v>116.5</v>
      </c>
      <c r="Z163">
        <v>125.9</v>
      </c>
      <c r="AA163">
        <v>135.4</v>
      </c>
      <c r="AB163">
        <v>146.5</v>
      </c>
      <c r="AC163">
        <v>125.5</v>
      </c>
      <c r="AD163">
        <v>132</v>
      </c>
    </row>
    <row r="164" spans="1:30">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144.30000000000001</v>
      </c>
      <c r="R164">
        <v>138.1</v>
      </c>
      <c r="S164">
        <v>143.5</v>
      </c>
      <c r="T164">
        <v>139.25609756097555</v>
      </c>
      <c r="U164">
        <v>135.30000000000001</v>
      </c>
      <c r="V164">
        <v>136.1</v>
      </c>
      <c r="W164">
        <v>132.1</v>
      </c>
      <c r="X164">
        <v>124.4</v>
      </c>
      <c r="Y164">
        <v>119.1</v>
      </c>
      <c r="Z164">
        <v>130.6</v>
      </c>
      <c r="AA164">
        <v>138.6</v>
      </c>
      <c r="AB164">
        <v>147.4</v>
      </c>
      <c r="AC164">
        <v>128.6</v>
      </c>
      <c r="AD164">
        <v>136.19999999999999</v>
      </c>
    </row>
    <row r="165" spans="1:30">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131.6</v>
      </c>
      <c r="R165">
        <v>123.7</v>
      </c>
      <c r="S165">
        <v>130.4</v>
      </c>
      <c r="T165">
        <v>139.25609756097555</v>
      </c>
      <c r="U165">
        <v>119.7</v>
      </c>
      <c r="V165">
        <v>127.2</v>
      </c>
      <c r="W165">
        <v>125</v>
      </c>
      <c r="X165">
        <v>122.4</v>
      </c>
      <c r="Y165">
        <v>113.2</v>
      </c>
      <c r="Z165">
        <v>123.5</v>
      </c>
      <c r="AA165">
        <v>135.5</v>
      </c>
      <c r="AB165">
        <v>150.5</v>
      </c>
      <c r="AC165">
        <v>123</v>
      </c>
      <c r="AD165">
        <v>131.80000000000001</v>
      </c>
    </row>
    <row r="166" spans="1:30">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139.30000000000001</v>
      </c>
      <c r="R166">
        <v>132.1</v>
      </c>
      <c r="S166">
        <v>138.30000000000001</v>
      </c>
      <c r="T166">
        <v>139.25609756097555</v>
      </c>
      <c r="U166">
        <v>129.4</v>
      </c>
      <c r="V166">
        <v>131.9</v>
      </c>
      <c r="W166">
        <v>129.4</v>
      </c>
      <c r="X166">
        <v>123.6</v>
      </c>
      <c r="Y166">
        <v>116</v>
      </c>
      <c r="Z166">
        <v>126.6</v>
      </c>
      <c r="AA166">
        <v>136.80000000000001</v>
      </c>
      <c r="AB166">
        <v>148.19999999999999</v>
      </c>
      <c r="AC166">
        <v>125.9</v>
      </c>
      <c r="AD166">
        <v>134.19999999999999</v>
      </c>
    </row>
    <row r="167" spans="1:30">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145.30000000000001</v>
      </c>
      <c r="R167">
        <v>139.19999999999999</v>
      </c>
      <c r="S167">
        <v>144.5</v>
      </c>
      <c r="T167">
        <v>139.25609756097555</v>
      </c>
      <c r="U167">
        <v>136.4</v>
      </c>
      <c r="V167">
        <v>137.30000000000001</v>
      </c>
      <c r="W167">
        <v>133</v>
      </c>
      <c r="X167">
        <v>125.4</v>
      </c>
      <c r="Y167">
        <v>120.3</v>
      </c>
      <c r="Z167">
        <v>131.5</v>
      </c>
      <c r="AA167">
        <v>140.19999999999999</v>
      </c>
      <c r="AB167">
        <v>149</v>
      </c>
      <c r="AC167">
        <v>129.69999999999999</v>
      </c>
      <c r="AD167">
        <v>137.80000000000001</v>
      </c>
    </row>
    <row r="168" spans="1:30">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132.69999999999999</v>
      </c>
      <c r="R168">
        <v>124.3</v>
      </c>
      <c r="S168">
        <v>131.4</v>
      </c>
      <c r="T168">
        <v>139.25609756097555</v>
      </c>
      <c r="U168">
        <v>118.9</v>
      </c>
      <c r="V168">
        <v>127.7</v>
      </c>
      <c r="W168">
        <v>125.7</v>
      </c>
      <c r="X168">
        <v>123.3</v>
      </c>
      <c r="Y168">
        <v>114.6</v>
      </c>
      <c r="Z168">
        <v>124.1</v>
      </c>
      <c r="AA168">
        <v>135.69999999999999</v>
      </c>
      <c r="AB168">
        <v>152.1</v>
      </c>
      <c r="AC168">
        <v>123.8</v>
      </c>
      <c r="AD168">
        <v>132.69999999999999</v>
      </c>
    </row>
    <row r="169" spans="1:30">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140.30000000000001</v>
      </c>
      <c r="R169">
        <v>133</v>
      </c>
      <c r="S169">
        <v>139.30000000000001</v>
      </c>
      <c r="T169">
        <v>139.25609756097555</v>
      </c>
      <c r="U169">
        <v>129.80000000000001</v>
      </c>
      <c r="V169">
        <v>132.80000000000001</v>
      </c>
      <c r="W169">
        <v>130.19999999999999</v>
      </c>
      <c r="X169">
        <v>124.5</v>
      </c>
      <c r="Y169">
        <v>117.3</v>
      </c>
      <c r="Z169">
        <v>127.3</v>
      </c>
      <c r="AA169">
        <v>137.6</v>
      </c>
      <c r="AB169">
        <v>149.80000000000001</v>
      </c>
      <c r="AC169">
        <v>126.8</v>
      </c>
      <c r="AD169">
        <v>135.4</v>
      </c>
    </row>
    <row r="170" spans="1:30">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146.1</v>
      </c>
      <c r="R170">
        <v>139.69999999999999</v>
      </c>
      <c r="S170">
        <v>145.19999999999999</v>
      </c>
      <c r="T170">
        <v>139.25609756097555</v>
      </c>
      <c r="U170">
        <v>137.4</v>
      </c>
      <c r="V170">
        <v>137.9</v>
      </c>
      <c r="W170">
        <v>133.4</v>
      </c>
      <c r="X170">
        <v>126.7</v>
      </c>
      <c r="Y170">
        <v>121.2</v>
      </c>
      <c r="Z170">
        <v>132.30000000000001</v>
      </c>
      <c r="AA170">
        <v>139.6</v>
      </c>
      <c r="AB170">
        <v>149.80000000000001</v>
      </c>
      <c r="AC170">
        <v>130.30000000000001</v>
      </c>
      <c r="AD170">
        <v>137.6</v>
      </c>
    </row>
    <row r="171" spans="1:30">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133.30000000000001</v>
      </c>
      <c r="R171">
        <v>124.6</v>
      </c>
      <c r="S171">
        <v>132</v>
      </c>
      <c r="T171">
        <v>139.25609756097555</v>
      </c>
      <c r="U171">
        <v>120.6</v>
      </c>
      <c r="V171">
        <v>128.1</v>
      </c>
      <c r="W171">
        <v>126.1</v>
      </c>
      <c r="X171">
        <v>124.4</v>
      </c>
      <c r="Y171">
        <v>115.7</v>
      </c>
      <c r="Z171">
        <v>124.5</v>
      </c>
      <c r="AA171">
        <v>135.9</v>
      </c>
      <c r="AB171">
        <v>153.6</v>
      </c>
      <c r="AC171">
        <v>124.5</v>
      </c>
      <c r="AD171">
        <v>132.4</v>
      </c>
    </row>
    <row r="172" spans="1:30">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141.1</v>
      </c>
      <c r="R172">
        <v>133.4</v>
      </c>
      <c r="S172">
        <v>140</v>
      </c>
      <c r="T172">
        <v>139.25609756097555</v>
      </c>
      <c r="U172">
        <v>131</v>
      </c>
      <c r="V172">
        <v>133.30000000000001</v>
      </c>
      <c r="W172">
        <v>130.6</v>
      </c>
      <c r="X172">
        <v>125.7</v>
      </c>
      <c r="Y172">
        <v>118.3</v>
      </c>
      <c r="Z172">
        <v>127.9</v>
      </c>
      <c r="AA172">
        <v>137.4</v>
      </c>
      <c r="AB172">
        <v>150.80000000000001</v>
      </c>
      <c r="AC172">
        <v>127.5</v>
      </c>
      <c r="AD172">
        <v>135.19999999999999</v>
      </c>
    </row>
    <row r="173" spans="1:30">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147.19999999999999</v>
      </c>
      <c r="R173">
        <v>140.6</v>
      </c>
      <c r="S173">
        <v>146.19999999999999</v>
      </c>
      <c r="T173">
        <v>139.25609756097555</v>
      </c>
      <c r="U173">
        <v>138.1</v>
      </c>
      <c r="V173">
        <v>138.4</v>
      </c>
      <c r="W173">
        <v>134.19999999999999</v>
      </c>
      <c r="X173">
        <v>127.4</v>
      </c>
      <c r="Y173">
        <v>121</v>
      </c>
      <c r="Z173">
        <v>133</v>
      </c>
      <c r="AA173">
        <v>140.1</v>
      </c>
      <c r="AB173">
        <v>150.5</v>
      </c>
      <c r="AC173">
        <v>130.69999999999999</v>
      </c>
      <c r="AD173">
        <v>138.30000000000001</v>
      </c>
    </row>
    <row r="174" spans="1:30">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134</v>
      </c>
      <c r="R174">
        <v>124.9</v>
      </c>
      <c r="S174">
        <v>132.6</v>
      </c>
      <c r="T174">
        <v>139.25609756097555</v>
      </c>
      <c r="U174">
        <v>122.6</v>
      </c>
      <c r="V174">
        <v>128.30000000000001</v>
      </c>
      <c r="W174">
        <v>126.6</v>
      </c>
      <c r="X174">
        <v>124.6</v>
      </c>
      <c r="Y174">
        <v>115</v>
      </c>
      <c r="Z174">
        <v>124.8</v>
      </c>
      <c r="AA174">
        <v>136.30000000000001</v>
      </c>
      <c r="AB174">
        <v>154.6</v>
      </c>
      <c r="AC174">
        <v>124.5</v>
      </c>
      <c r="AD174">
        <v>133.5</v>
      </c>
    </row>
    <row r="175" spans="1:30">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142</v>
      </c>
      <c r="R175">
        <v>134.1</v>
      </c>
      <c r="S175">
        <v>140.80000000000001</v>
      </c>
      <c r="T175">
        <v>139.25609756097555</v>
      </c>
      <c r="U175">
        <v>132.19999999999999</v>
      </c>
      <c r="V175">
        <v>133.6</v>
      </c>
      <c r="W175">
        <v>131.30000000000001</v>
      </c>
      <c r="X175">
        <v>126.2</v>
      </c>
      <c r="Y175">
        <v>117.8</v>
      </c>
      <c r="Z175">
        <v>128.4</v>
      </c>
      <c r="AA175">
        <v>137.9</v>
      </c>
      <c r="AB175">
        <v>151.6</v>
      </c>
      <c r="AC175">
        <v>127.7</v>
      </c>
      <c r="AD175">
        <v>136.1</v>
      </c>
    </row>
    <row r="176" spans="1:30">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148.19999999999999</v>
      </c>
      <c r="R176">
        <v>141.5</v>
      </c>
      <c r="S176">
        <v>147.30000000000001</v>
      </c>
      <c r="T176">
        <v>139.25609756097555</v>
      </c>
      <c r="U176">
        <v>141.1</v>
      </c>
      <c r="V176">
        <v>139.4</v>
      </c>
      <c r="W176">
        <v>135.80000000000001</v>
      </c>
      <c r="X176">
        <v>128.1</v>
      </c>
      <c r="Y176">
        <v>121.6</v>
      </c>
      <c r="Z176">
        <v>133.69999999999999</v>
      </c>
      <c r="AA176">
        <v>141.5</v>
      </c>
      <c r="AB176">
        <v>152.1</v>
      </c>
      <c r="AC176">
        <v>131.69999999999999</v>
      </c>
      <c r="AD176">
        <v>140</v>
      </c>
    </row>
    <row r="177" spans="1:30">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135</v>
      </c>
      <c r="R177">
        <v>125.4</v>
      </c>
      <c r="S177">
        <v>133.5</v>
      </c>
      <c r="T177">
        <v>139.25609756097555</v>
      </c>
      <c r="U177">
        <v>125.7</v>
      </c>
      <c r="V177">
        <v>128.80000000000001</v>
      </c>
      <c r="W177">
        <v>127.4</v>
      </c>
      <c r="X177">
        <v>124.9</v>
      </c>
      <c r="Y177">
        <v>115.3</v>
      </c>
      <c r="Z177">
        <v>125.1</v>
      </c>
      <c r="AA177">
        <v>136.6</v>
      </c>
      <c r="AB177">
        <v>156.19999999999999</v>
      </c>
      <c r="AC177">
        <v>124.9</v>
      </c>
      <c r="AD177">
        <v>134.80000000000001</v>
      </c>
    </row>
    <row r="178" spans="1:30">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143</v>
      </c>
      <c r="R178">
        <v>134.80000000000001</v>
      </c>
      <c r="S178">
        <v>141.80000000000001</v>
      </c>
      <c r="T178">
        <v>139.25609756097555</v>
      </c>
      <c r="U178">
        <v>135.30000000000001</v>
      </c>
      <c r="V178">
        <v>134.4</v>
      </c>
      <c r="W178">
        <v>132.6</v>
      </c>
      <c r="X178">
        <v>126.8</v>
      </c>
      <c r="Y178">
        <v>118.3</v>
      </c>
      <c r="Z178">
        <v>128.9</v>
      </c>
      <c r="AA178">
        <v>138.6</v>
      </c>
      <c r="AB178">
        <v>153.19999999999999</v>
      </c>
      <c r="AC178">
        <v>128.4</v>
      </c>
      <c r="AD178">
        <v>137.6</v>
      </c>
    </row>
    <row r="179" spans="1:30">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148</v>
      </c>
      <c r="R179">
        <v>141.9</v>
      </c>
      <c r="S179">
        <v>147.19999999999999</v>
      </c>
      <c r="T179">
        <v>139.25609756097555</v>
      </c>
      <c r="U179">
        <v>142.6</v>
      </c>
      <c r="V179">
        <v>139.5</v>
      </c>
      <c r="W179">
        <v>136.1</v>
      </c>
      <c r="X179">
        <v>127.8</v>
      </c>
      <c r="Y179">
        <v>122</v>
      </c>
      <c r="Z179">
        <v>133.4</v>
      </c>
      <c r="AA179">
        <v>141.1</v>
      </c>
      <c r="AB179">
        <v>153.19999999999999</v>
      </c>
      <c r="AC179">
        <v>131.9</v>
      </c>
      <c r="AD179">
        <v>139.80000000000001</v>
      </c>
    </row>
    <row r="180" spans="1:30">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135.6</v>
      </c>
      <c r="R180">
        <v>125.6</v>
      </c>
      <c r="S180">
        <v>134</v>
      </c>
      <c r="T180">
        <v>139.25609756097555</v>
      </c>
      <c r="U180">
        <v>126.8</v>
      </c>
      <c r="V180">
        <v>129.30000000000001</v>
      </c>
      <c r="W180">
        <v>128.19999999999999</v>
      </c>
      <c r="X180">
        <v>124.6</v>
      </c>
      <c r="Y180">
        <v>115.3</v>
      </c>
      <c r="Z180">
        <v>125.6</v>
      </c>
      <c r="AA180">
        <v>136.69999999999999</v>
      </c>
      <c r="AB180">
        <v>157</v>
      </c>
      <c r="AC180">
        <v>125.1</v>
      </c>
      <c r="AD180">
        <v>134.1</v>
      </c>
    </row>
    <row r="181" spans="1:30">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143.1</v>
      </c>
      <c r="R181">
        <v>135.1</v>
      </c>
      <c r="S181">
        <v>142</v>
      </c>
      <c r="T181">
        <v>139.25609756097555</v>
      </c>
      <c r="U181">
        <v>136.6</v>
      </c>
      <c r="V181">
        <v>134.69999999999999</v>
      </c>
      <c r="W181">
        <v>133.1</v>
      </c>
      <c r="X181">
        <v>126.5</v>
      </c>
      <c r="Y181">
        <v>118.5</v>
      </c>
      <c r="Z181">
        <v>129</v>
      </c>
      <c r="AA181">
        <v>138.5</v>
      </c>
      <c r="AB181">
        <v>154.19999999999999</v>
      </c>
      <c r="AC181">
        <v>128.6</v>
      </c>
      <c r="AD181">
        <v>137.19999999999999</v>
      </c>
    </row>
    <row r="182" spans="1:30">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148.30000000000001</v>
      </c>
      <c r="R182">
        <v>142.30000000000001</v>
      </c>
      <c r="S182">
        <v>147.5</v>
      </c>
      <c r="T182">
        <v>139.25609756097555</v>
      </c>
      <c r="U182">
        <v>142.30000000000001</v>
      </c>
      <c r="V182">
        <v>139.80000000000001</v>
      </c>
      <c r="W182">
        <v>136</v>
      </c>
      <c r="X182">
        <v>128.6</v>
      </c>
      <c r="Y182">
        <v>122.7</v>
      </c>
      <c r="Z182">
        <v>134.30000000000001</v>
      </c>
      <c r="AA182">
        <v>141.6</v>
      </c>
      <c r="AB182">
        <v>153.6</v>
      </c>
      <c r="AC182">
        <v>132.30000000000001</v>
      </c>
      <c r="AD182">
        <v>139.30000000000001</v>
      </c>
    </row>
    <row r="183" spans="1:30">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136</v>
      </c>
      <c r="R183">
        <v>125.9</v>
      </c>
      <c r="S183">
        <v>134.4</v>
      </c>
      <c r="T183">
        <v>139.25609756097555</v>
      </c>
      <c r="U183">
        <v>127.3</v>
      </c>
      <c r="V183">
        <v>129.5</v>
      </c>
      <c r="W183">
        <v>129</v>
      </c>
      <c r="X183">
        <v>125.5</v>
      </c>
      <c r="Y183">
        <v>116.3</v>
      </c>
      <c r="Z183">
        <v>126.2</v>
      </c>
      <c r="AA183">
        <v>137.1</v>
      </c>
      <c r="AB183">
        <v>157.69999999999999</v>
      </c>
      <c r="AC183">
        <v>125.8</v>
      </c>
      <c r="AD183">
        <v>134.1</v>
      </c>
    </row>
    <row r="184" spans="1:30">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143.5</v>
      </c>
      <c r="R184">
        <v>135.5</v>
      </c>
      <c r="S184">
        <v>142.30000000000001</v>
      </c>
      <c r="T184">
        <v>139.25609756097555</v>
      </c>
      <c r="U184">
        <v>136.6</v>
      </c>
      <c r="V184">
        <v>134.9</v>
      </c>
      <c r="W184">
        <v>133.30000000000001</v>
      </c>
      <c r="X184">
        <v>127.3</v>
      </c>
      <c r="Y184">
        <v>119.3</v>
      </c>
      <c r="Z184">
        <v>129.69999999999999</v>
      </c>
      <c r="AA184">
        <v>139</v>
      </c>
      <c r="AB184">
        <v>154.69999999999999</v>
      </c>
      <c r="AC184">
        <v>129.1</v>
      </c>
      <c r="AD184">
        <v>136.9</v>
      </c>
    </row>
    <row r="185" spans="1:30">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148.69999999999999</v>
      </c>
      <c r="R185">
        <v>142.4</v>
      </c>
      <c r="S185">
        <v>147.80000000000001</v>
      </c>
      <c r="T185">
        <v>139.25609756097555</v>
      </c>
      <c r="U185">
        <v>142.4</v>
      </c>
      <c r="V185">
        <v>139.9</v>
      </c>
      <c r="W185">
        <v>136.19999999999999</v>
      </c>
      <c r="X185">
        <v>128.80000000000001</v>
      </c>
      <c r="Y185">
        <v>123.3</v>
      </c>
      <c r="Z185">
        <v>134.30000000000001</v>
      </c>
      <c r="AA185">
        <v>141.5</v>
      </c>
      <c r="AB185">
        <v>153.30000000000001</v>
      </c>
      <c r="AC185">
        <v>132.5</v>
      </c>
      <c r="AD185">
        <v>138.5</v>
      </c>
    </row>
    <row r="186" spans="1:30">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136.30000000000001</v>
      </c>
      <c r="R186">
        <v>126.1</v>
      </c>
      <c r="S186">
        <v>134.69999999999999</v>
      </c>
      <c r="T186">
        <v>139.25609756097555</v>
      </c>
      <c r="U186">
        <v>127.3</v>
      </c>
      <c r="V186">
        <v>129.9</v>
      </c>
      <c r="W186">
        <v>129.80000000000001</v>
      </c>
      <c r="X186">
        <v>126.2</v>
      </c>
      <c r="Y186">
        <v>117.4</v>
      </c>
      <c r="Z186">
        <v>126.5</v>
      </c>
      <c r="AA186">
        <v>137.19999999999999</v>
      </c>
      <c r="AB186">
        <v>159.30000000000001</v>
      </c>
      <c r="AC186">
        <v>126.5</v>
      </c>
      <c r="AD186">
        <v>134</v>
      </c>
    </row>
    <row r="187" spans="1:30">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143.80000000000001</v>
      </c>
      <c r="R187">
        <v>135.6</v>
      </c>
      <c r="S187">
        <v>142.6</v>
      </c>
      <c r="T187">
        <v>139.25609756097555</v>
      </c>
      <c r="U187">
        <v>136.69999999999999</v>
      </c>
      <c r="V187">
        <v>135.19999999999999</v>
      </c>
      <c r="W187">
        <v>133.80000000000001</v>
      </c>
      <c r="X187">
        <v>127.7</v>
      </c>
      <c r="Y187">
        <v>120.2</v>
      </c>
      <c r="Z187">
        <v>129.9</v>
      </c>
      <c r="AA187">
        <v>139</v>
      </c>
      <c r="AB187">
        <v>154.9</v>
      </c>
      <c r="AC187">
        <v>129.6</v>
      </c>
      <c r="AD187">
        <v>136.4</v>
      </c>
    </row>
    <row r="188" spans="1:30">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149.19999999999999</v>
      </c>
      <c r="R188">
        <v>143</v>
      </c>
      <c r="S188">
        <v>148.30000000000001</v>
      </c>
      <c r="T188">
        <v>139.25609756097555</v>
      </c>
      <c r="U188">
        <v>142.6</v>
      </c>
      <c r="V188">
        <v>139.9</v>
      </c>
      <c r="W188">
        <v>136.69999999999999</v>
      </c>
      <c r="X188">
        <v>129.30000000000001</v>
      </c>
      <c r="Y188">
        <v>124.6</v>
      </c>
      <c r="Z188">
        <v>135.1</v>
      </c>
      <c r="AA188">
        <v>142.69999999999999</v>
      </c>
      <c r="AB188">
        <v>155.1</v>
      </c>
      <c r="AC188">
        <v>133.30000000000001</v>
      </c>
      <c r="AD188">
        <v>138.69999999999999</v>
      </c>
    </row>
    <row r="189" spans="1:30">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136.69999999999999</v>
      </c>
      <c r="R189">
        <v>126.7</v>
      </c>
      <c r="S189">
        <v>135.19999999999999</v>
      </c>
      <c r="T189">
        <v>139.25609756097555</v>
      </c>
      <c r="U189">
        <v>126.4</v>
      </c>
      <c r="V189">
        <v>130.80000000000001</v>
      </c>
      <c r="W189">
        <v>130.5</v>
      </c>
      <c r="X189">
        <v>126.7</v>
      </c>
      <c r="Y189">
        <v>117.8</v>
      </c>
      <c r="Z189">
        <v>126.8</v>
      </c>
      <c r="AA189">
        <v>137.80000000000001</v>
      </c>
      <c r="AB189">
        <v>159.69999999999999</v>
      </c>
      <c r="AC189">
        <v>127.1</v>
      </c>
      <c r="AD189">
        <v>134</v>
      </c>
    </row>
    <row r="190" spans="1:30">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144.30000000000001</v>
      </c>
      <c r="R190">
        <v>136.19999999999999</v>
      </c>
      <c r="S190">
        <v>143.1</v>
      </c>
      <c r="T190">
        <v>139.25609756097555</v>
      </c>
      <c r="U190">
        <v>136.5</v>
      </c>
      <c r="V190">
        <v>135.6</v>
      </c>
      <c r="W190">
        <v>134.30000000000001</v>
      </c>
      <c r="X190">
        <v>128.19999999999999</v>
      </c>
      <c r="Y190">
        <v>121</v>
      </c>
      <c r="Z190">
        <v>130.4</v>
      </c>
      <c r="AA190">
        <v>139.80000000000001</v>
      </c>
      <c r="AB190">
        <v>156.30000000000001</v>
      </c>
      <c r="AC190">
        <v>130.30000000000001</v>
      </c>
      <c r="AD190">
        <v>136.5</v>
      </c>
    </row>
    <row r="191" spans="1:30">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150.1</v>
      </c>
      <c r="R191">
        <v>143.30000000000001</v>
      </c>
      <c r="S191">
        <v>149.1</v>
      </c>
      <c r="T191">
        <v>139.25609756097555</v>
      </c>
      <c r="U191">
        <v>143.80000000000001</v>
      </c>
      <c r="V191">
        <v>140.9</v>
      </c>
      <c r="W191">
        <v>137.6</v>
      </c>
      <c r="X191">
        <v>130.4</v>
      </c>
      <c r="Y191">
        <v>125.3</v>
      </c>
      <c r="Z191">
        <v>136</v>
      </c>
      <c r="AA191">
        <v>143.69999999999999</v>
      </c>
      <c r="AB191">
        <v>156.1</v>
      </c>
      <c r="AC191">
        <v>134.19999999999999</v>
      </c>
      <c r="AD191">
        <v>139.1</v>
      </c>
    </row>
    <row r="192" spans="1:30">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137.80000000000001</v>
      </c>
      <c r="R192">
        <v>127.4</v>
      </c>
      <c r="S192">
        <v>136.19999999999999</v>
      </c>
      <c r="T192">
        <v>139.25609756097555</v>
      </c>
      <c r="U192">
        <v>124.6</v>
      </c>
      <c r="V192">
        <v>131.80000000000001</v>
      </c>
      <c r="W192">
        <v>131.30000000000001</v>
      </c>
      <c r="X192">
        <v>127.6</v>
      </c>
      <c r="Y192">
        <v>118.9</v>
      </c>
      <c r="Z192">
        <v>127.6</v>
      </c>
      <c r="AA192">
        <v>139.69999999999999</v>
      </c>
      <c r="AB192">
        <v>159.19999999999999</v>
      </c>
      <c r="AC192">
        <v>128.19999999999999</v>
      </c>
      <c r="AD192">
        <v>134.80000000000001</v>
      </c>
    </row>
    <row r="193" spans="1:30">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145.30000000000001</v>
      </c>
      <c r="R193">
        <v>136.69999999999999</v>
      </c>
      <c r="S193">
        <v>144</v>
      </c>
      <c r="T193">
        <v>139.25609756097555</v>
      </c>
      <c r="U193">
        <v>136.5</v>
      </c>
      <c r="V193">
        <v>136.6</v>
      </c>
      <c r="W193">
        <v>135.19999999999999</v>
      </c>
      <c r="X193">
        <v>129.19999999999999</v>
      </c>
      <c r="Y193">
        <v>121.9</v>
      </c>
      <c r="Z193">
        <v>131.30000000000001</v>
      </c>
      <c r="AA193">
        <v>141.4</v>
      </c>
      <c r="AB193">
        <v>156.9</v>
      </c>
      <c r="AC193">
        <v>131.30000000000001</v>
      </c>
      <c r="AD193">
        <v>137.1</v>
      </c>
    </row>
    <row r="194" spans="1:30">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150.80000000000001</v>
      </c>
      <c r="R194">
        <v>144.1</v>
      </c>
      <c r="S194">
        <v>149.80000000000001</v>
      </c>
      <c r="T194">
        <v>139.25609756097555</v>
      </c>
      <c r="U194">
        <v>144.30000000000001</v>
      </c>
      <c r="V194">
        <v>141.80000000000001</v>
      </c>
      <c r="W194">
        <v>138.4</v>
      </c>
      <c r="X194">
        <v>131.19999999999999</v>
      </c>
      <c r="Y194">
        <v>126.4</v>
      </c>
      <c r="Z194">
        <v>136.80000000000001</v>
      </c>
      <c r="AA194">
        <v>144.4</v>
      </c>
      <c r="AB194">
        <v>157</v>
      </c>
      <c r="AC194">
        <v>135.1</v>
      </c>
      <c r="AD194">
        <v>139.80000000000001</v>
      </c>
    </row>
    <row r="195" spans="1:30">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138.6</v>
      </c>
      <c r="R195">
        <v>127.9</v>
      </c>
      <c r="S195">
        <v>137</v>
      </c>
      <c r="T195">
        <v>139.25609756097555</v>
      </c>
      <c r="U195">
        <v>124.7</v>
      </c>
      <c r="V195">
        <v>132.5</v>
      </c>
      <c r="W195">
        <v>132</v>
      </c>
      <c r="X195">
        <v>128.1</v>
      </c>
      <c r="Y195">
        <v>119.8</v>
      </c>
      <c r="Z195">
        <v>128</v>
      </c>
      <c r="AA195">
        <v>140.4</v>
      </c>
      <c r="AB195">
        <v>160.30000000000001</v>
      </c>
      <c r="AC195">
        <v>128.9</v>
      </c>
      <c r="AD195">
        <v>135.4</v>
      </c>
    </row>
    <row r="196" spans="1:30">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146</v>
      </c>
      <c r="R196">
        <v>137.4</v>
      </c>
      <c r="S196">
        <v>144.69999999999999</v>
      </c>
      <c r="T196">
        <v>139.25609756097555</v>
      </c>
      <c r="U196">
        <v>136.9</v>
      </c>
      <c r="V196">
        <v>137.4</v>
      </c>
      <c r="W196">
        <v>136</v>
      </c>
      <c r="X196">
        <v>129.9</v>
      </c>
      <c r="Y196">
        <v>122.9</v>
      </c>
      <c r="Z196">
        <v>131.80000000000001</v>
      </c>
      <c r="AA196">
        <v>142.1</v>
      </c>
      <c r="AB196">
        <v>157.9</v>
      </c>
      <c r="AC196">
        <v>132.1</v>
      </c>
      <c r="AD196">
        <v>137.80000000000001</v>
      </c>
    </row>
    <row r="197" spans="1:30">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151.30000000000001</v>
      </c>
      <c r="R197">
        <v>144.69999999999999</v>
      </c>
      <c r="S197">
        <v>150.30000000000001</v>
      </c>
      <c r="T197">
        <v>139.25609756097555</v>
      </c>
      <c r="U197">
        <v>145.1</v>
      </c>
      <c r="V197">
        <v>142.19999999999999</v>
      </c>
      <c r="W197">
        <v>138.4</v>
      </c>
      <c r="X197">
        <v>131.4</v>
      </c>
      <c r="Y197">
        <v>127.4</v>
      </c>
      <c r="Z197">
        <v>137.80000000000001</v>
      </c>
      <c r="AA197">
        <v>145.1</v>
      </c>
      <c r="AB197">
        <v>157.30000000000001</v>
      </c>
      <c r="AC197">
        <v>135.6</v>
      </c>
      <c r="AD197">
        <v>140.5</v>
      </c>
    </row>
    <row r="198" spans="1:30">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138.9</v>
      </c>
      <c r="R198">
        <v>128.69999999999999</v>
      </c>
      <c r="S198">
        <v>137.4</v>
      </c>
      <c r="T198">
        <v>139.25609756097555</v>
      </c>
      <c r="U198">
        <v>126.5</v>
      </c>
      <c r="V198">
        <v>133.1</v>
      </c>
      <c r="W198">
        <v>132.6</v>
      </c>
      <c r="X198">
        <v>128.19999999999999</v>
      </c>
      <c r="Y198">
        <v>120.4</v>
      </c>
      <c r="Z198">
        <v>128.5</v>
      </c>
      <c r="AA198">
        <v>141.19999999999999</v>
      </c>
      <c r="AB198">
        <v>161</v>
      </c>
      <c r="AC198">
        <v>129.5</v>
      </c>
      <c r="AD198">
        <v>136.19999999999999</v>
      </c>
    </row>
    <row r="199" spans="1:30">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146.4</v>
      </c>
      <c r="R199">
        <v>138.1</v>
      </c>
      <c r="S199">
        <v>145.19999999999999</v>
      </c>
      <c r="T199">
        <v>139.25609756097555</v>
      </c>
      <c r="U199">
        <v>138.1</v>
      </c>
      <c r="V199">
        <v>137.9</v>
      </c>
      <c r="W199">
        <v>136.19999999999999</v>
      </c>
      <c r="X199">
        <v>130.1</v>
      </c>
      <c r="Y199">
        <v>123.7</v>
      </c>
      <c r="Z199">
        <v>132.6</v>
      </c>
      <c r="AA199">
        <v>142.80000000000001</v>
      </c>
      <c r="AB199">
        <v>158.30000000000001</v>
      </c>
      <c r="AC199">
        <v>132.6</v>
      </c>
      <c r="AD199">
        <v>138.5</v>
      </c>
    </row>
    <row r="200" spans="1:30">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151.5</v>
      </c>
      <c r="R200">
        <v>145.1</v>
      </c>
      <c r="S200">
        <v>150.6</v>
      </c>
      <c r="T200">
        <v>139.25609756097555</v>
      </c>
      <c r="U200">
        <v>146.80000000000001</v>
      </c>
      <c r="V200">
        <v>143.1</v>
      </c>
      <c r="W200">
        <v>139</v>
      </c>
      <c r="X200">
        <v>131.4</v>
      </c>
      <c r="Y200">
        <v>127.5</v>
      </c>
      <c r="Z200">
        <v>138.4</v>
      </c>
      <c r="AA200">
        <v>145.80000000000001</v>
      </c>
      <c r="AB200">
        <v>156.1</v>
      </c>
      <c r="AC200">
        <v>136</v>
      </c>
      <c r="AD200">
        <v>141.80000000000001</v>
      </c>
    </row>
    <row r="201" spans="1:30">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139.6</v>
      </c>
      <c r="R201">
        <v>128.9</v>
      </c>
      <c r="S201">
        <v>137.9</v>
      </c>
      <c r="T201">
        <v>139.25609756097555</v>
      </c>
      <c r="U201">
        <v>128.1</v>
      </c>
      <c r="V201">
        <v>133.6</v>
      </c>
      <c r="W201">
        <v>133.6</v>
      </c>
      <c r="X201">
        <v>128.19999999999999</v>
      </c>
      <c r="Y201">
        <v>120.1</v>
      </c>
      <c r="Z201">
        <v>129</v>
      </c>
      <c r="AA201">
        <v>144</v>
      </c>
      <c r="AB201">
        <v>161.4</v>
      </c>
      <c r="AC201">
        <v>130.19999999999999</v>
      </c>
      <c r="AD201">
        <v>137.5</v>
      </c>
    </row>
    <row r="202" spans="1:30">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146.80000000000001</v>
      </c>
      <c r="R202">
        <v>138.4</v>
      </c>
      <c r="S202">
        <v>145.6</v>
      </c>
      <c r="T202">
        <v>139.25609756097555</v>
      </c>
      <c r="U202">
        <v>139.69999999999999</v>
      </c>
      <c r="V202">
        <v>138.6</v>
      </c>
      <c r="W202">
        <v>137</v>
      </c>
      <c r="X202">
        <v>130.1</v>
      </c>
      <c r="Y202">
        <v>123.6</v>
      </c>
      <c r="Z202">
        <v>133.1</v>
      </c>
      <c r="AA202">
        <v>144.69999999999999</v>
      </c>
      <c r="AB202">
        <v>157.5</v>
      </c>
      <c r="AC202">
        <v>133.19999999999999</v>
      </c>
      <c r="AD202">
        <v>139.80000000000001</v>
      </c>
    </row>
    <row r="203" spans="1:30">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152.1</v>
      </c>
      <c r="R203">
        <v>145.80000000000001</v>
      </c>
      <c r="S203">
        <v>151.30000000000001</v>
      </c>
      <c r="T203">
        <v>139.25609756097555</v>
      </c>
      <c r="U203">
        <v>147.69999999999999</v>
      </c>
      <c r="V203">
        <v>143.80000000000001</v>
      </c>
      <c r="W203">
        <v>139.4</v>
      </c>
      <c r="X203">
        <v>131.30000000000001</v>
      </c>
      <c r="Y203">
        <v>128.30000000000001</v>
      </c>
      <c r="Z203">
        <v>138.6</v>
      </c>
      <c r="AA203">
        <v>146.9</v>
      </c>
      <c r="AB203">
        <v>156.4</v>
      </c>
      <c r="AC203">
        <v>136.6</v>
      </c>
      <c r="AD203">
        <v>142.5</v>
      </c>
    </row>
    <row r="204" spans="1:30">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140</v>
      </c>
      <c r="R204">
        <v>129</v>
      </c>
      <c r="S204">
        <v>138.30000000000001</v>
      </c>
      <c r="T204">
        <v>139.25609756097555</v>
      </c>
      <c r="U204">
        <v>129.80000000000001</v>
      </c>
      <c r="V204">
        <v>134.4</v>
      </c>
      <c r="W204">
        <v>134.9</v>
      </c>
      <c r="X204">
        <v>128.30000000000001</v>
      </c>
      <c r="Y204">
        <v>120.7</v>
      </c>
      <c r="Z204">
        <v>129.80000000000001</v>
      </c>
      <c r="AA204">
        <v>145.30000000000001</v>
      </c>
      <c r="AB204">
        <v>162.1</v>
      </c>
      <c r="AC204">
        <v>131</v>
      </c>
      <c r="AD204">
        <v>138</v>
      </c>
    </row>
    <row r="205" spans="1:30">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147.30000000000001</v>
      </c>
      <c r="R205">
        <v>138.80000000000001</v>
      </c>
      <c r="S205">
        <v>146.1</v>
      </c>
      <c r="T205">
        <v>139.25609756097555</v>
      </c>
      <c r="U205">
        <v>140.9</v>
      </c>
      <c r="V205">
        <v>139.4</v>
      </c>
      <c r="W205">
        <v>137.69999999999999</v>
      </c>
      <c r="X205">
        <v>130.1</v>
      </c>
      <c r="Y205">
        <v>124.3</v>
      </c>
      <c r="Z205">
        <v>133.6</v>
      </c>
      <c r="AA205">
        <v>146</v>
      </c>
      <c r="AB205">
        <v>157.9</v>
      </c>
      <c r="AC205">
        <v>133.9</v>
      </c>
      <c r="AD205">
        <v>140.4</v>
      </c>
    </row>
    <row r="206" spans="1:30">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152.1</v>
      </c>
      <c r="R206">
        <v>146.1</v>
      </c>
      <c r="S206">
        <v>151.30000000000001</v>
      </c>
      <c r="T206">
        <v>139.25609756097555</v>
      </c>
      <c r="U206">
        <v>149</v>
      </c>
      <c r="V206">
        <v>144</v>
      </c>
      <c r="W206">
        <v>140</v>
      </c>
      <c r="X206">
        <v>132</v>
      </c>
      <c r="Y206">
        <v>129.9</v>
      </c>
      <c r="Z206">
        <v>140</v>
      </c>
      <c r="AA206">
        <v>147.6</v>
      </c>
      <c r="AB206">
        <v>157.69999999999999</v>
      </c>
      <c r="AC206">
        <v>137.4</v>
      </c>
      <c r="AD206">
        <v>142.1</v>
      </c>
    </row>
    <row r="207" spans="1:30">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140.80000000000001</v>
      </c>
      <c r="R207">
        <v>129.30000000000001</v>
      </c>
      <c r="S207">
        <v>139.1</v>
      </c>
      <c r="T207">
        <v>139.25609756097555</v>
      </c>
      <c r="U207">
        <v>131.19999999999999</v>
      </c>
      <c r="V207">
        <v>134.9</v>
      </c>
      <c r="W207">
        <v>135.69999999999999</v>
      </c>
      <c r="X207">
        <v>129.30000000000001</v>
      </c>
      <c r="Y207">
        <v>122.5</v>
      </c>
      <c r="Z207">
        <v>130.19999999999999</v>
      </c>
      <c r="AA207">
        <v>145.19999999999999</v>
      </c>
      <c r="AB207">
        <v>163.30000000000001</v>
      </c>
      <c r="AC207">
        <v>131.9</v>
      </c>
      <c r="AD207">
        <v>138.1</v>
      </c>
    </row>
    <row r="208" spans="1:30">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147.69999999999999</v>
      </c>
      <c r="R208">
        <v>139.1</v>
      </c>
      <c r="S208">
        <v>146.5</v>
      </c>
      <c r="T208">
        <v>139.25609756097555</v>
      </c>
      <c r="U208">
        <v>142.30000000000001</v>
      </c>
      <c r="V208">
        <v>139.69999999999999</v>
      </c>
      <c r="W208">
        <v>138.4</v>
      </c>
      <c r="X208">
        <v>130.9</v>
      </c>
      <c r="Y208">
        <v>126</v>
      </c>
      <c r="Z208">
        <v>134.5</v>
      </c>
      <c r="AA208">
        <v>146.19999999999999</v>
      </c>
      <c r="AB208">
        <v>159.19999999999999</v>
      </c>
      <c r="AC208">
        <v>134.69999999999999</v>
      </c>
      <c r="AD208">
        <v>140.19999999999999</v>
      </c>
    </row>
    <row r="209" spans="1:30">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150.69999999999999</v>
      </c>
      <c r="R209">
        <v>144.5</v>
      </c>
      <c r="S209">
        <v>149.80000000000001</v>
      </c>
      <c r="T209">
        <v>139.25609756097555</v>
      </c>
      <c r="U209">
        <v>149.69999999999999</v>
      </c>
      <c r="V209">
        <v>147.5</v>
      </c>
      <c r="W209">
        <v>144.80000000000001</v>
      </c>
      <c r="X209">
        <v>134.4</v>
      </c>
      <c r="Y209">
        <v>130.80000000000001</v>
      </c>
      <c r="Z209">
        <v>140.1</v>
      </c>
      <c r="AA209">
        <v>148</v>
      </c>
      <c r="AB209">
        <v>159.6</v>
      </c>
      <c r="AC209">
        <v>139.80000000000001</v>
      </c>
      <c r="AD209">
        <v>142.19999999999999</v>
      </c>
    </row>
    <row r="210" spans="1:30">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141.5</v>
      </c>
      <c r="R210">
        <v>129.80000000000001</v>
      </c>
      <c r="S210">
        <v>139.69999999999999</v>
      </c>
      <c r="T210">
        <v>139.25609756097555</v>
      </c>
      <c r="U210">
        <v>133.4</v>
      </c>
      <c r="V210">
        <v>135.1</v>
      </c>
      <c r="W210">
        <v>136.19999999999999</v>
      </c>
      <c r="X210">
        <v>130.4</v>
      </c>
      <c r="Y210">
        <v>123.3</v>
      </c>
      <c r="Z210">
        <v>130.69999999999999</v>
      </c>
      <c r="AA210">
        <v>145.5</v>
      </c>
      <c r="AB210">
        <v>164</v>
      </c>
      <c r="AC210">
        <v>132.5</v>
      </c>
      <c r="AD210">
        <v>138.9</v>
      </c>
    </row>
    <row r="211" spans="1:30">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148</v>
      </c>
      <c r="R211">
        <v>139.19999999999999</v>
      </c>
      <c r="S211">
        <v>146.80000000000001</v>
      </c>
      <c r="T211">
        <v>139.25609756097555</v>
      </c>
      <c r="U211">
        <v>145.30000000000001</v>
      </c>
      <c r="V211">
        <v>142.19999999999999</v>
      </c>
      <c r="W211">
        <v>142.1</v>
      </c>
      <c r="X211">
        <v>132</v>
      </c>
      <c r="Y211">
        <v>125.5</v>
      </c>
      <c r="Z211">
        <v>136.5</v>
      </c>
      <c r="AA211">
        <v>147.80000000000001</v>
      </c>
      <c r="AB211">
        <v>162.6</v>
      </c>
      <c r="AC211">
        <v>136.30000000000001</v>
      </c>
      <c r="AD211">
        <v>140.80000000000001</v>
      </c>
    </row>
    <row r="212" spans="1:30">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151.69999999999999</v>
      </c>
      <c r="R212">
        <v>145.5</v>
      </c>
      <c r="S212">
        <v>150.80000000000001</v>
      </c>
      <c r="T212">
        <v>139.25609756097555</v>
      </c>
      <c r="U212">
        <v>150.30000000000001</v>
      </c>
      <c r="V212">
        <v>148</v>
      </c>
      <c r="W212">
        <v>145.4</v>
      </c>
      <c r="X212">
        <v>133.1</v>
      </c>
      <c r="Y212">
        <v>130.30000000000001</v>
      </c>
      <c r="Z212">
        <v>143.1</v>
      </c>
      <c r="AA212">
        <v>150.19999999999999</v>
      </c>
      <c r="AB212">
        <v>161.9</v>
      </c>
      <c r="AC212">
        <v>140.1</v>
      </c>
      <c r="AD212">
        <v>142.4</v>
      </c>
    </row>
    <row r="213" spans="1:30">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142.4</v>
      </c>
      <c r="R213">
        <v>130.19999999999999</v>
      </c>
      <c r="S213">
        <v>140.5</v>
      </c>
      <c r="T213">
        <v>139.25609756097555</v>
      </c>
      <c r="U213">
        <v>136.69999999999999</v>
      </c>
      <c r="V213">
        <v>135.80000000000001</v>
      </c>
      <c r="W213">
        <v>136.80000000000001</v>
      </c>
      <c r="X213">
        <v>130.5</v>
      </c>
      <c r="Y213">
        <v>121.2</v>
      </c>
      <c r="Z213">
        <v>131.30000000000001</v>
      </c>
      <c r="AA213">
        <v>146.1</v>
      </c>
      <c r="AB213">
        <v>164.4</v>
      </c>
      <c r="AC213">
        <v>132.19999999999999</v>
      </c>
      <c r="AD213">
        <v>139</v>
      </c>
    </row>
    <row r="214" spans="1:30">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148</v>
      </c>
      <c r="R214">
        <v>139.1</v>
      </c>
      <c r="S214">
        <v>146.69999999999999</v>
      </c>
      <c r="T214">
        <v>139.25609756097555</v>
      </c>
      <c r="U214">
        <v>145.1</v>
      </c>
      <c r="V214">
        <v>142.19999999999999</v>
      </c>
      <c r="W214">
        <v>142.1</v>
      </c>
      <c r="X214">
        <v>132</v>
      </c>
      <c r="Y214">
        <v>125.5</v>
      </c>
      <c r="Z214">
        <v>136.5</v>
      </c>
      <c r="AA214">
        <v>147.80000000000001</v>
      </c>
      <c r="AB214">
        <v>162.6</v>
      </c>
      <c r="AC214">
        <v>136.30000000000001</v>
      </c>
      <c r="AD214">
        <v>140.80000000000001</v>
      </c>
    </row>
    <row r="215" spans="1:30">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151.6</v>
      </c>
      <c r="R215">
        <v>145.9</v>
      </c>
      <c r="S215">
        <v>150.80000000000001</v>
      </c>
      <c r="T215">
        <v>139.25609756097555</v>
      </c>
      <c r="U215">
        <v>149</v>
      </c>
      <c r="V215">
        <v>149.5</v>
      </c>
      <c r="W215">
        <v>149.6</v>
      </c>
      <c r="X215">
        <v>133.19999999999999</v>
      </c>
      <c r="Y215">
        <v>128.9</v>
      </c>
      <c r="Z215">
        <v>143.30000000000001</v>
      </c>
      <c r="AA215">
        <v>155.1</v>
      </c>
      <c r="AB215">
        <v>162.4</v>
      </c>
      <c r="AC215">
        <v>141.6</v>
      </c>
      <c r="AD215">
        <v>141.9</v>
      </c>
    </row>
    <row r="216" spans="1:30">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142.69999999999999</v>
      </c>
      <c r="R216">
        <v>130.30000000000001</v>
      </c>
      <c r="S216">
        <v>140.80000000000001</v>
      </c>
      <c r="T216">
        <v>139.25609756097555</v>
      </c>
      <c r="U216">
        <v>132.4</v>
      </c>
      <c r="V216">
        <v>136.19999999999999</v>
      </c>
      <c r="W216">
        <v>137.30000000000001</v>
      </c>
      <c r="X216">
        <v>130.80000000000001</v>
      </c>
      <c r="Y216">
        <v>118.8</v>
      </c>
      <c r="Z216">
        <v>131.69999999999999</v>
      </c>
      <c r="AA216">
        <v>146.5</v>
      </c>
      <c r="AB216">
        <v>164.6</v>
      </c>
      <c r="AC216">
        <v>131.69999999999999</v>
      </c>
      <c r="AD216">
        <v>138</v>
      </c>
    </row>
    <row r="217" spans="1:30">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148.1</v>
      </c>
      <c r="R217">
        <v>139.4</v>
      </c>
      <c r="S217">
        <v>146.80000000000001</v>
      </c>
      <c r="T217">
        <v>139.25609756097555</v>
      </c>
      <c r="U217">
        <v>142.69999999999999</v>
      </c>
      <c r="V217">
        <v>143.19999999999999</v>
      </c>
      <c r="W217">
        <v>144.9</v>
      </c>
      <c r="X217">
        <v>132.19999999999999</v>
      </c>
      <c r="Y217">
        <v>123.6</v>
      </c>
      <c r="Z217">
        <v>136.80000000000001</v>
      </c>
      <c r="AA217">
        <v>150.1</v>
      </c>
      <c r="AB217">
        <v>163</v>
      </c>
      <c r="AC217">
        <v>136.80000000000001</v>
      </c>
      <c r="AD217">
        <v>140.1</v>
      </c>
    </row>
    <row r="218" spans="1:30">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150.6</v>
      </c>
      <c r="R218">
        <v>145.1</v>
      </c>
      <c r="S218">
        <v>149.9</v>
      </c>
      <c r="T218">
        <v>139.25609756097555</v>
      </c>
      <c r="U218">
        <v>146.19999999999999</v>
      </c>
      <c r="V218">
        <v>150.1</v>
      </c>
      <c r="W218">
        <v>149.6</v>
      </c>
      <c r="X218">
        <v>133.5</v>
      </c>
      <c r="Y218">
        <v>128.6</v>
      </c>
      <c r="Z218">
        <v>142.9</v>
      </c>
      <c r="AA218">
        <v>155.19999999999999</v>
      </c>
      <c r="AB218">
        <v>162.69999999999999</v>
      </c>
      <c r="AC218">
        <v>141.69999999999999</v>
      </c>
      <c r="AD218">
        <v>141</v>
      </c>
    </row>
    <row r="219" spans="1:30">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143</v>
      </c>
      <c r="R219">
        <v>130.4</v>
      </c>
      <c r="S219">
        <v>141.1</v>
      </c>
      <c r="T219">
        <v>139.25609756097555</v>
      </c>
      <c r="U219">
        <v>128.6</v>
      </c>
      <c r="V219">
        <v>136.30000000000001</v>
      </c>
      <c r="W219">
        <v>137.80000000000001</v>
      </c>
      <c r="X219">
        <v>131.69999999999999</v>
      </c>
      <c r="Y219">
        <v>118.6</v>
      </c>
      <c r="Z219">
        <v>131.9</v>
      </c>
      <c r="AA219">
        <v>146.6</v>
      </c>
      <c r="AB219">
        <v>164.7</v>
      </c>
      <c r="AC219">
        <v>131.80000000000001</v>
      </c>
      <c r="AD219">
        <v>138</v>
      </c>
    </row>
    <row r="220" spans="1:30">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147.6</v>
      </c>
      <c r="R220">
        <v>139</v>
      </c>
      <c r="S220">
        <v>146.4</v>
      </c>
      <c r="T220">
        <v>139.25609756097555</v>
      </c>
      <c r="U220">
        <v>139.5</v>
      </c>
      <c r="V220">
        <v>143.6</v>
      </c>
      <c r="W220">
        <v>145.1</v>
      </c>
      <c r="X220">
        <v>132.80000000000001</v>
      </c>
      <c r="Y220">
        <v>123.3</v>
      </c>
      <c r="Z220">
        <v>136.69999999999999</v>
      </c>
      <c r="AA220">
        <v>150.19999999999999</v>
      </c>
      <c r="AB220">
        <v>163.19999999999999</v>
      </c>
      <c r="AC220">
        <v>136.9</v>
      </c>
      <c r="AD220">
        <v>139.6</v>
      </c>
    </row>
    <row r="221" spans="1:30">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150.5</v>
      </c>
      <c r="R221">
        <v>146.1</v>
      </c>
      <c r="S221">
        <v>149.9</v>
      </c>
      <c r="T221">
        <v>139.25609756097555</v>
      </c>
      <c r="U221">
        <v>145.30000000000001</v>
      </c>
      <c r="V221">
        <v>150.1</v>
      </c>
      <c r="W221">
        <v>149.9</v>
      </c>
      <c r="X221">
        <v>134.9</v>
      </c>
      <c r="Y221">
        <v>129.19999999999999</v>
      </c>
      <c r="Z221">
        <v>143.4</v>
      </c>
      <c r="AA221">
        <v>155.5</v>
      </c>
      <c r="AB221">
        <v>162.80000000000001</v>
      </c>
      <c r="AC221">
        <v>142.19999999999999</v>
      </c>
      <c r="AD221">
        <v>141</v>
      </c>
    </row>
    <row r="222" spans="1:30">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143.30000000000001</v>
      </c>
      <c r="R222">
        <v>130.80000000000001</v>
      </c>
      <c r="S222">
        <v>141.4</v>
      </c>
      <c r="T222">
        <v>139.25609756097555</v>
      </c>
      <c r="U222">
        <v>127.1</v>
      </c>
      <c r="V222">
        <v>136.6</v>
      </c>
      <c r="W222">
        <v>138.5</v>
      </c>
      <c r="X222">
        <v>133</v>
      </c>
      <c r="Y222">
        <v>119.2</v>
      </c>
      <c r="Z222">
        <v>132.19999999999999</v>
      </c>
      <c r="AA222">
        <v>146.6</v>
      </c>
      <c r="AB222">
        <v>164.9</v>
      </c>
      <c r="AC222">
        <v>132.4</v>
      </c>
      <c r="AD222">
        <v>138.6</v>
      </c>
    </row>
    <row r="223" spans="1:30">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147.69999999999999</v>
      </c>
      <c r="R223">
        <v>139.69999999999999</v>
      </c>
      <c r="S223">
        <v>146.5</v>
      </c>
      <c r="T223">
        <v>139.25609756097555</v>
      </c>
      <c r="U223">
        <v>138.4</v>
      </c>
      <c r="V223">
        <v>143.69999999999999</v>
      </c>
      <c r="W223">
        <v>145.6</v>
      </c>
      <c r="X223">
        <v>134.1</v>
      </c>
      <c r="Y223">
        <v>123.9</v>
      </c>
      <c r="Z223">
        <v>137.1</v>
      </c>
      <c r="AA223">
        <v>150.30000000000001</v>
      </c>
      <c r="AB223">
        <v>163.4</v>
      </c>
      <c r="AC223">
        <v>137.4</v>
      </c>
      <c r="AD223">
        <v>139.9</v>
      </c>
    </row>
    <row r="224" spans="1:30">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150.80000000000001</v>
      </c>
      <c r="R224">
        <v>146.1</v>
      </c>
      <c r="S224">
        <v>150.1</v>
      </c>
      <c r="T224">
        <v>139.25609756097555</v>
      </c>
      <c r="U224">
        <v>146.4</v>
      </c>
      <c r="V224">
        <v>150</v>
      </c>
      <c r="W224">
        <v>150.4</v>
      </c>
      <c r="X224">
        <v>134</v>
      </c>
      <c r="Y224">
        <v>129.9</v>
      </c>
      <c r="Z224">
        <v>143.80000000000001</v>
      </c>
      <c r="AA224">
        <v>155.5</v>
      </c>
      <c r="AB224">
        <v>162.9</v>
      </c>
      <c r="AC224">
        <v>142.4</v>
      </c>
      <c r="AD224">
        <v>141.19999999999999</v>
      </c>
    </row>
    <row r="225" spans="1:30">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143.5</v>
      </c>
      <c r="R225">
        <v>131.19999999999999</v>
      </c>
      <c r="S225">
        <v>141.6</v>
      </c>
      <c r="T225">
        <v>139.25609756097555</v>
      </c>
      <c r="U225">
        <v>128.80000000000001</v>
      </c>
      <c r="V225">
        <v>136.80000000000001</v>
      </c>
      <c r="W225">
        <v>139.19999999999999</v>
      </c>
      <c r="X225">
        <v>132.5</v>
      </c>
      <c r="Y225">
        <v>119.9</v>
      </c>
      <c r="Z225">
        <v>133</v>
      </c>
      <c r="AA225">
        <v>146.69999999999999</v>
      </c>
      <c r="AB225">
        <v>165.3</v>
      </c>
      <c r="AC225">
        <v>132.80000000000001</v>
      </c>
      <c r="AD225">
        <v>139.5</v>
      </c>
    </row>
    <row r="226" spans="1:30">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147.9</v>
      </c>
      <c r="R226">
        <v>139.9</v>
      </c>
      <c r="S226">
        <v>146.69999999999999</v>
      </c>
      <c r="T226">
        <v>139.25609756097555</v>
      </c>
      <c r="U226">
        <v>139.69999999999999</v>
      </c>
      <c r="V226">
        <v>143.80000000000001</v>
      </c>
      <c r="W226">
        <v>146.19999999999999</v>
      </c>
      <c r="X226">
        <v>133.4</v>
      </c>
      <c r="Y226">
        <v>124.6</v>
      </c>
      <c r="Z226">
        <v>137.69999999999999</v>
      </c>
      <c r="AA226">
        <v>150.30000000000001</v>
      </c>
      <c r="AB226">
        <v>163.5</v>
      </c>
      <c r="AC226">
        <v>137.69999999999999</v>
      </c>
      <c r="AD226">
        <v>140.4</v>
      </c>
    </row>
    <row r="227" spans="1:30">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151.30000000000001</v>
      </c>
      <c r="R227">
        <v>146.6</v>
      </c>
      <c r="S227">
        <v>150.69999999999999</v>
      </c>
      <c r="T227">
        <v>139.25609756097555</v>
      </c>
      <c r="U227">
        <v>146.9</v>
      </c>
      <c r="V227">
        <v>149.5</v>
      </c>
      <c r="W227">
        <v>151.30000000000001</v>
      </c>
      <c r="X227">
        <v>133.9</v>
      </c>
      <c r="Y227">
        <v>130.19999999999999</v>
      </c>
      <c r="Z227">
        <v>145.9</v>
      </c>
      <c r="AA227">
        <v>156.69999999999999</v>
      </c>
      <c r="AB227">
        <v>163.30000000000001</v>
      </c>
      <c r="AC227">
        <v>142.9</v>
      </c>
      <c r="AD227">
        <v>142.4</v>
      </c>
    </row>
    <row r="228" spans="1:30">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144</v>
      </c>
      <c r="R228">
        <v>131.69999999999999</v>
      </c>
      <c r="S228">
        <v>142.19999999999999</v>
      </c>
      <c r="T228">
        <v>139.25609756097555</v>
      </c>
      <c r="U228">
        <v>129.4</v>
      </c>
      <c r="V228">
        <v>137.19999999999999</v>
      </c>
      <c r="W228">
        <v>139.80000000000001</v>
      </c>
      <c r="X228">
        <v>132.6</v>
      </c>
      <c r="Y228">
        <v>120.1</v>
      </c>
      <c r="Z228">
        <v>134</v>
      </c>
      <c r="AA228">
        <v>148</v>
      </c>
      <c r="AB228">
        <v>166.2</v>
      </c>
      <c r="AC228">
        <v>133.30000000000001</v>
      </c>
      <c r="AD228">
        <v>141.5</v>
      </c>
    </row>
    <row r="229" spans="1:30">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148.4</v>
      </c>
      <c r="R229">
        <v>140.4</v>
      </c>
      <c r="S229">
        <v>147.30000000000001</v>
      </c>
      <c r="T229">
        <v>139.25609756097555</v>
      </c>
      <c r="U229">
        <v>140.30000000000001</v>
      </c>
      <c r="V229">
        <v>143.69999999999999</v>
      </c>
      <c r="W229">
        <v>146.9</v>
      </c>
      <c r="X229">
        <v>133.4</v>
      </c>
      <c r="Y229">
        <v>124.9</v>
      </c>
      <c r="Z229">
        <v>139.19999999999999</v>
      </c>
      <c r="AA229">
        <v>151.6</v>
      </c>
      <c r="AB229">
        <v>164.1</v>
      </c>
      <c r="AC229">
        <v>138.19999999999999</v>
      </c>
      <c r="AD229">
        <v>142</v>
      </c>
    </row>
    <row r="230" spans="1:30">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151.4</v>
      </c>
      <c r="R230">
        <v>146.5</v>
      </c>
      <c r="S230">
        <v>150.69999999999999</v>
      </c>
      <c r="T230">
        <v>139.25609756097555</v>
      </c>
      <c r="U230">
        <v>147.80000000000001</v>
      </c>
      <c r="V230">
        <v>149.6</v>
      </c>
      <c r="W230">
        <v>151.69999999999999</v>
      </c>
      <c r="X230">
        <v>134.80000000000001</v>
      </c>
      <c r="Y230">
        <v>130.19999999999999</v>
      </c>
      <c r="Z230">
        <v>146.4</v>
      </c>
      <c r="AA230">
        <v>157.69999999999999</v>
      </c>
      <c r="AB230">
        <v>164.2</v>
      </c>
      <c r="AC230">
        <v>143.30000000000001</v>
      </c>
      <c r="AD230">
        <v>143.6</v>
      </c>
    </row>
    <row r="231" spans="1:30">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144.30000000000001</v>
      </c>
      <c r="R231">
        <v>131.69999999999999</v>
      </c>
      <c r="S231">
        <v>142.4</v>
      </c>
      <c r="T231">
        <v>139.25609756097555</v>
      </c>
      <c r="U231">
        <v>130.5</v>
      </c>
      <c r="V231">
        <v>137.4</v>
      </c>
      <c r="W231">
        <v>140.30000000000001</v>
      </c>
      <c r="X231">
        <v>133.69999999999999</v>
      </c>
      <c r="Y231">
        <v>119.6</v>
      </c>
      <c r="Z231">
        <v>134.30000000000001</v>
      </c>
      <c r="AA231">
        <v>148.9</v>
      </c>
      <c r="AB231">
        <v>166.7</v>
      </c>
      <c r="AC231">
        <v>133.6</v>
      </c>
      <c r="AD231">
        <v>142.1</v>
      </c>
    </row>
    <row r="232" spans="1:30">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148.6</v>
      </c>
      <c r="R232">
        <v>140.4</v>
      </c>
      <c r="S232">
        <v>147.4</v>
      </c>
      <c r="T232">
        <v>139.25609756097555</v>
      </c>
      <c r="U232">
        <v>141.19999999999999</v>
      </c>
      <c r="V232">
        <v>143.80000000000001</v>
      </c>
      <c r="W232">
        <v>147.4</v>
      </c>
      <c r="X232">
        <v>134.30000000000001</v>
      </c>
      <c r="Y232">
        <v>124.6</v>
      </c>
      <c r="Z232">
        <v>139.6</v>
      </c>
      <c r="AA232">
        <v>152.5</v>
      </c>
      <c r="AB232">
        <v>164.9</v>
      </c>
      <c r="AC232">
        <v>138.6</v>
      </c>
      <c r="AD232">
        <v>142.9</v>
      </c>
    </row>
    <row r="233" spans="1:30">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151.6</v>
      </c>
      <c r="R233">
        <v>146.6</v>
      </c>
      <c r="S233">
        <v>150.9</v>
      </c>
      <c r="T233">
        <v>139.25609756097555</v>
      </c>
      <c r="U233">
        <v>146.80000000000001</v>
      </c>
      <c r="V233">
        <v>150</v>
      </c>
      <c r="W233">
        <v>152.19999999999999</v>
      </c>
      <c r="X233">
        <v>136.1</v>
      </c>
      <c r="Y233">
        <v>131.19999999999999</v>
      </c>
      <c r="Z233">
        <v>147.5</v>
      </c>
      <c r="AA233">
        <v>159.1</v>
      </c>
      <c r="AB233">
        <v>164.5</v>
      </c>
      <c r="AC233">
        <v>144.19999999999999</v>
      </c>
      <c r="AD233">
        <v>144.9</v>
      </c>
    </row>
    <row r="234" spans="1:30">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144.69999999999999</v>
      </c>
      <c r="R234">
        <v>131.9</v>
      </c>
      <c r="S234">
        <v>142.69999999999999</v>
      </c>
      <c r="T234">
        <v>139.25609756097555</v>
      </c>
      <c r="U234">
        <v>127</v>
      </c>
      <c r="V234">
        <v>137.69999999999999</v>
      </c>
      <c r="W234">
        <v>140.80000000000001</v>
      </c>
      <c r="X234">
        <v>135.1</v>
      </c>
      <c r="Y234">
        <v>120.6</v>
      </c>
      <c r="Z234">
        <v>135</v>
      </c>
      <c r="AA234">
        <v>150.4</v>
      </c>
      <c r="AB234">
        <v>167.2</v>
      </c>
      <c r="AC234">
        <v>134.5</v>
      </c>
      <c r="AD234">
        <v>143.30000000000001</v>
      </c>
    </row>
    <row r="235" spans="1:30">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148.9</v>
      </c>
      <c r="R235">
        <v>140.5</v>
      </c>
      <c r="S235">
        <v>147.6</v>
      </c>
      <c r="T235">
        <v>139.25609756097555</v>
      </c>
      <c r="U235">
        <v>139.30000000000001</v>
      </c>
      <c r="V235">
        <v>144.19999999999999</v>
      </c>
      <c r="W235">
        <v>147.9</v>
      </c>
      <c r="X235">
        <v>135.69999999999999</v>
      </c>
      <c r="Y235">
        <v>125.6</v>
      </c>
      <c r="Z235">
        <v>140.5</v>
      </c>
      <c r="AA235">
        <v>154</v>
      </c>
      <c r="AB235">
        <v>165.2</v>
      </c>
      <c r="AC235">
        <v>139.5</v>
      </c>
      <c r="AD235">
        <v>144.19999999999999</v>
      </c>
    </row>
    <row r="236" spans="1:30">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151.80000000000001</v>
      </c>
      <c r="R236">
        <v>146.6</v>
      </c>
      <c r="S236">
        <v>151.1</v>
      </c>
      <c r="T236">
        <v>139.25609756097555</v>
      </c>
      <c r="U236">
        <v>146.4</v>
      </c>
      <c r="V236">
        <v>150.19999999999999</v>
      </c>
      <c r="W236">
        <v>152.69999999999999</v>
      </c>
      <c r="X236">
        <v>138.80000000000001</v>
      </c>
      <c r="Y236">
        <v>131.4</v>
      </c>
      <c r="Z236">
        <v>148</v>
      </c>
      <c r="AA236">
        <v>159.69999999999999</v>
      </c>
      <c r="AB236">
        <v>165.1</v>
      </c>
      <c r="AC236">
        <v>144.9</v>
      </c>
      <c r="AD236">
        <v>145.69999999999999</v>
      </c>
    </row>
    <row r="237" spans="1:30">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145</v>
      </c>
      <c r="R237">
        <v>132.19999999999999</v>
      </c>
      <c r="S237">
        <v>143</v>
      </c>
      <c r="T237">
        <v>139.25609756097555</v>
      </c>
      <c r="U237">
        <v>125.5</v>
      </c>
      <c r="V237">
        <v>138.1</v>
      </c>
      <c r="W237">
        <v>141.5</v>
      </c>
      <c r="X237">
        <v>137.80000000000001</v>
      </c>
      <c r="Y237">
        <v>120.8</v>
      </c>
      <c r="Z237">
        <v>135.4</v>
      </c>
      <c r="AA237">
        <v>151.5</v>
      </c>
      <c r="AB237">
        <v>167.9</v>
      </c>
      <c r="AC237">
        <v>135.30000000000001</v>
      </c>
      <c r="AD237">
        <v>144.19999999999999</v>
      </c>
    </row>
    <row r="238" spans="1:30">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149.1</v>
      </c>
      <c r="R238">
        <v>140.6</v>
      </c>
      <c r="S238">
        <v>147.9</v>
      </c>
      <c r="T238">
        <v>139.25609756097555</v>
      </c>
      <c r="U238">
        <v>138.5</v>
      </c>
      <c r="V238">
        <v>144.5</v>
      </c>
      <c r="W238">
        <v>148.5</v>
      </c>
      <c r="X238">
        <v>138.4</v>
      </c>
      <c r="Y238">
        <v>125.8</v>
      </c>
      <c r="Z238">
        <v>140.9</v>
      </c>
      <c r="AA238">
        <v>154.9</v>
      </c>
      <c r="AB238">
        <v>165.8</v>
      </c>
      <c r="AC238">
        <v>140.19999999999999</v>
      </c>
      <c r="AD238">
        <v>145</v>
      </c>
    </row>
    <row r="239" spans="1:30">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151.69999999999999</v>
      </c>
      <c r="R239">
        <v>146.6</v>
      </c>
      <c r="S239">
        <v>151</v>
      </c>
      <c r="T239">
        <v>139.25609756097555</v>
      </c>
      <c r="U239">
        <v>146.9</v>
      </c>
      <c r="V239">
        <v>150.30000000000001</v>
      </c>
      <c r="W239">
        <v>153.4</v>
      </c>
      <c r="X239">
        <v>140.19999999999999</v>
      </c>
      <c r="Y239">
        <v>131.6</v>
      </c>
      <c r="Z239">
        <v>148.30000000000001</v>
      </c>
      <c r="AA239">
        <v>160.19999999999999</v>
      </c>
      <c r="AB239">
        <v>165.7</v>
      </c>
      <c r="AC239">
        <v>145.4</v>
      </c>
      <c r="AD239">
        <v>146.69999999999999</v>
      </c>
    </row>
    <row r="240" spans="1:30">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145.30000000000001</v>
      </c>
      <c r="R240">
        <v>132.19999999999999</v>
      </c>
      <c r="S240">
        <v>143.30000000000001</v>
      </c>
      <c r="T240">
        <v>139.25609756097555</v>
      </c>
      <c r="U240">
        <v>126.6</v>
      </c>
      <c r="V240">
        <v>138.30000000000001</v>
      </c>
      <c r="W240">
        <v>141.9</v>
      </c>
      <c r="X240">
        <v>139</v>
      </c>
      <c r="Y240">
        <v>121.2</v>
      </c>
      <c r="Z240">
        <v>135.9</v>
      </c>
      <c r="AA240">
        <v>151.6</v>
      </c>
      <c r="AB240">
        <v>168.6</v>
      </c>
      <c r="AC240">
        <v>135.69999999999999</v>
      </c>
      <c r="AD240">
        <v>144.69999999999999</v>
      </c>
    </row>
    <row r="241" spans="1:30">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149.19999999999999</v>
      </c>
      <c r="R241">
        <v>140.6</v>
      </c>
      <c r="S241">
        <v>147.9</v>
      </c>
      <c r="T241">
        <v>139.25609756097555</v>
      </c>
      <c r="U241">
        <v>139.19999999999999</v>
      </c>
      <c r="V241">
        <v>144.6</v>
      </c>
      <c r="W241">
        <v>149</v>
      </c>
      <c r="X241">
        <v>139.69999999999999</v>
      </c>
      <c r="Y241">
        <v>126.1</v>
      </c>
      <c r="Z241">
        <v>141.30000000000001</v>
      </c>
      <c r="AA241">
        <v>155.19999999999999</v>
      </c>
      <c r="AB241">
        <v>166.5</v>
      </c>
      <c r="AC241">
        <v>140.69999999999999</v>
      </c>
      <c r="AD241">
        <v>145.80000000000001</v>
      </c>
    </row>
    <row r="242" spans="1:30">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151.69999999999999</v>
      </c>
      <c r="R242">
        <v>146.69999999999999</v>
      </c>
      <c r="S242">
        <v>151</v>
      </c>
      <c r="T242">
        <v>139.25609756097555</v>
      </c>
      <c r="U242">
        <v>147.69999999999999</v>
      </c>
      <c r="V242">
        <v>150.6</v>
      </c>
      <c r="W242">
        <v>153.69999999999999</v>
      </c>
      <c r="X242">
        <v>140.30000000000001</v>
      </c>
      <c r="Y242">
        <v>131.69999999999999</v>
      </c>
      <c r="Z242">
        <v>148.69999999999999</v>
      </c>
      <c r="AA242">
        <v>160.69999999999999</v>
      </c>
      <c r="AB242">
        <v>166.3</v>
      </c>
      <c r="AC242">
        <v>145.69999999999999</v>
      </c>
      <c r="AD242">
        <v>148.30000000000001</v>
      </c>
    </row>
    <row r="243" spans="1:30">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145.9</v>
      </c>
      <c r="R243">
        <v>132.4</v>
      </c>
      <c r="S243">
        <v>143.9</v>
      </c>
      <c r="T243">
        <v>139.25609756097555</v>
      </c>
      <c r="U243">
        <v>128.9</v>
      </c>
      <c r="V243">
        <v>138.69999999999999</v>
      </c>
      <c r="W243">
        <v>142.4</v>
      </c>
      <c r="X243">
        <v>139.5</v>
      </c>
      <c r="Y243">
        <v>121.5</v>
      </c>
      <c r="Z243">
        <v>136.19999999999999</v>
      </c>
      <c r="AA243">
        <v>151.69999999999999</v>
      </c>
      <c r="AB243">
        <v>169.3</v>
      </c>
      <c r="AC243">
        <v>136</v>
      </c>
      <c r="AD243">
        <v>146</v>
      </c>
    </row>
    <row r="244" spans="1:30">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149.4</v>
      </c>
      <c r="R244">
        <v>140.80000000000001</v>
      </c>
      <c r="S244">
        <v>148.19999999999999</v>
      </c>
      <c r="T244">
        <v>139.25609756097555</v>
      </c>
      <c r="U244">
        <v>140.6</v>
      </c>
      <c r="V244">
        <v>145</v>
      </c>
      <c r="W244">
        <v>149.4</v>
      </c>
      <c r="X244">
        <v>140</v>
      </c>
      <c r="Y244">
        <v>126.3</v>
      </c>
      <c r="Z244">
        <v>141.69999999999999</v>
      </c>
      <c r="AA244">
        <v>155.4</v>
      </c>
      <c r="AB244">
        <v>167.1</v>
      </c>
      <c r="AC244">
        <v>141</v>
      </c>
      <c r="AD244">
        <v>147.19999999999999</v>
      </c>
    </row>
    <row r="245" spans="1:30">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152.30000000000001</v>
      </c>
      <c r="R245">
        <v>147</v>
      </c>
      <c r="S245">
        <v>151.5</v>
      </c>
      <c r="T245">
        <v>139.25609756097555</v>
      </c>
      <c r="U245">
        <v>148.4</v>
      </c>
      <c r="V245">
        <v>150.9</v>
      </c>
      <c r="W245">
        <v>154.30000000000001</v>
      </c>
      <c r="X245">
        <v>140.6</v>
      </c>
      <c r="Y245">
        <v>132.1</v>
      </c>
      <c r="Z245">
        <v>149.1</v>
      </c>
      <c r="AA245">
        <v>160.80000000000001</v>
      </c>
      <c r="AB245">
        <v>167.2</v>
      </c>
      <c r="AC245">
        <v>146.1</v>
      </c>
      <c r="AD245">
        <v>149.9</v>
      </c>
    </row>
    <row r="246" spans="1:30">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146.30000000000001</v>
      </c>
      <c r="R246">
        <v>132.6</v>
      </c>
      <c r="S246">
        <v>144.19999999999999</v>
      </c>
      <c r="T246">
        <v>139.25609756097555</v>
      </c>
      <c r="U246">
        <v>132.19999999999999</v>
      </c>
      <c r="V246">
        <v>139.1</v>
      </c>
      <c r="W246">
        <v>142.80000000000001</v>
      </c>
      <c r="X246">
        <v>139.80000000000001</v>
      </c>
      <c r="Y246">
        <v>121.7</v>
      </c>
      <c r="Z246">
        <v>136.69999999999999</v>
      </c>
      <c r="AA246">
        <v>151.80000000000001</v>
      </c>
      <c r="AB246">
        <v>169.9</v>
      </c>
      <c r="AC246">
        <v>136.30000000000001</v>
      </c>
      <c r="AD246">
        <v>147</v>
      </c>
    </row>
    <row r="247" spans="1:30">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149.9</v>
      </c>
      <c r="R247">
        <v>141</v>
      </c>
      <c r="S247">
        <v>148.6</v>
      </c>
      <c r="T247">
        <v>139.25609756097555</v>
      </c>
      <c r="U247">
        <v>142.30000000000001</v>
      </c>
      <c r="V247">
        <v>145.30000000000001</v>
      </c>
      <c r="W247">
        <v>149.9</v>
      </c>
      <c r="X247">
        <v>140.30000000000001</v>
      </c>
      <c r="Y247">
        <v>126.6</v>
      </c>
      <c r="Z247">
        <v>142.1</v>
      </c>
      <c r="AA247">
        <v>155.5</v>
      </c>
      <c r="AB247">
        <v>167.9</v>
      </c>
      <c r="AC247">
        <v>141.30000000000001</v>
      </c>
      <c r="AD247">
        <v>148.6</v>
      </c>
    </row>
    <row r="248" spans="1:30">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152.6</v>
      </c>
      <c r="R248">
        <v>147.30000000000001</v>
      </c>
      <c r="S248">
        <v>151.9</v>
      </c>
      <c r="T248">
        <v>139.25609756097555</v>
      </c>
      <c r="U248">
        <v>149.9</v>
      </c>
      <c r="V248">
        <v>151.19999999999999</v>
      </c>
      <c r="W248">
        <v>154.80000000000001</v>
      </c>
      <c r="X248">
        <v>140.6</v>
      </c>
      <c r="Y248">
        <v>135</v>
      </c>
      <c r="Z248">
        <v>149.5</v>
      </c>
      <c r="AA248">
        <v>161.1</v>
      </c>
      <c r="AB248">
        <v>167.8</v>
      </c>
      <c r="AC248">
        <v>147.1</v>
      </c>
      <c r="AD248">
        <v>152.30000000000001</v>
      </c>
    </row>
    <row r="249" spans="1:30">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146.80000000000001</v>
      </c>
      <c r="R249">
        <v>132.80000000000001</v>
      </c>
      <c r="S249">
        <v>144.6</v>
      </c>
      <c r="T249">
        <v>139.25609756097555</v>
      </c>
      <c r="U249">
        <v>133.6</v>
      </c>
      <c r="V249">
        <v>139.80000000000001</v>
      </c>
      <c r="W249">
        <v>143.19999999999999</v>
      </c>
      <c r="X249">
        <v>140.19999999999999</v>
      </c>
      <c r="Y249">
        <v>125.2</v>
      </c>
      <c r="Z249">
        <v>136.80000000000001</v>
      </c>
      <c r="AA249">
        <v>151.9</v>
      </c>
      <c r="AB249">
        <v>170.4</v>
      </c>
      <c r="AC249">
        <v>137.69999999999999</v>
      </c>
      <c r="AD249">
        <v>148.30000000000001</v>
      </c>
    </row>
    <row r="250" spans="1:30">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150.30000000000001</v>
      </c>
      <c r="R250">
        <v>141.30000000000001</v>
      </c>
      <c r="S250">
        <v>149</v>
      </c>
      <c r="T250">
        <v>139.25609756097555</v>
      </c>
      <c r="U250">
        <v>143.69999999999999</v>
      </c>
      <c r="V250">
        <v>145.80000000000001</v>
      </c>
      <c r="W250">
        <v>150.4</v>
      </c>
      <c r="X250">
        <v>140.4</v>
      </c>
      <c r="Y250">
        <v>129.80000000000001</v>
      </c>
      <c r="Z250">
        <v>142.30000000000001</v>
      </c>
      <c r="AA250">
        <v>155.69999999999999</v>
      </c>
      <c r="AB250">
        <v>168.5</v>
      </c>
      <c r="AC250">
        <v>142.5</v>
      </c>
      <c r="AD250">
        <v>150.4</v>
      </c>
    </row>
    <row r="251" spans="1:30">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152.80000000000001</v>
      </c>
      <c r="R251">
        <v>147.4</v>
      </c>
      <c r="S251">
        <v>152.1</v>
      </c>
      <c r="T251">
        <v>139.25609756097555</v>
      </c>
      <c r="U251">
        <v>150.4</v>
      </c>
      <c r="V251">
        <v>151.69999999999999</v>
      </c>
      <c r="W251">
        <v>155.69999999999999</v>
      </c>
      <c r="X251">
        <v>142.5</v>
      </c>
      <c r="Y251">
        <v>136.30000000000001</v>
      </c>
      <c r="Z251">
        <v>150.1</v>
      </c>
      <c r="AA251">
        <v>161.69999999999999</v>
      </c>
      <c r="AB251">
        <v>168.6</v>
      </c>
      <c r="AC251">
        <v>148.1</v>
      </c>
      <c r="AD251">
        <v>151.9</v>
      </c>
    </row>
    <row r="252" spans="1:30">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147</v>
      </c>
      <c r="R252">
        <v>133.19999999999999</v>
      </c>
      <c r="S252">
        <v>144.9</v>
      </c>
      <c r="T252">
        <v>139.25609756097555</v>
      </c>
      <c r="U252">
        <v>135.1</v>
      </c>
      <c r="V252">
        <v>140.1</v>
      </c>
      <c r="W252">
        <v>143.80000000000001</v>
      </c>
      <c r="X252">
        <v>142.1</v>
      </c>
      <c r="Y252">
        <v>126.1</v>
      </c>
      <c r="Z252">
        <v>137.19999999999999</v>
      </c>
      <c r="AA252">
        <v>152.1</v>
      </c>
      <c r="AB252">
        <v>170.8</v>
      </c>
      <c r="AC252">
        <v>138.4</v>
      </c>
      <c r="AD252">
        <v>148.19999999999999</v>
      </c>
    </row>
    <row r="253" spans="1:30">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150.5</v>
      </c>
      <c r="R253">
        <v>141.5</v>
      </c>
      <c r="S253">
        <v>149.19999999999999</v>
      </c>
      <c r="T253">
        <v>139.25609756097555</v>
      </c>
      <c r="U253">
        <v>144.6</v>
      </c>
      <c r="V253">
        <v>146.19999999999999</v>
      </c>
      <c r="W253">
        <v>151.19999999999999</v>
      </c>
      <c r="X253">
        <v>142.30000000000001</v>
      </c>
      <c r="Y253">
        <v>130.9</v>
      </c>
      <c r="Z253">
        <v>142.80000000000001</v>
      </c>
      <c r="AA253">
        <v>156.1</v>
      </c>
      <c r="AB253">
        <v>169.2</v>
      </c>
      <c r="AC253">
        <v>143.4</v>
      </c>
      <c r="AD253">
        <v>150.19999999999999</v>
      </c>
    </row>
    <row r="254" spans="1:30">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153</v>
      </c>
      <c r="R254">
        <v>147.5</v>
      </c>
      <c r="S254">
        <v>152.30000000000001</v>
      </c>
      <c r="T254">
        <v>139.25609756097555</v>
      </c>
      <c r="U254">
        <v>152.30000000000001</v>
      </c>
      <c r="V254">
        <v>151.80000000000001</v>
      </c>
      <c r="W254">
        <v>156.19999999999999</v>
      </c>
      <c r="X254">
        <v>143.4</v>
      </c>
      <c r="Y254">
        <v>136</v>
      </c>
      <c r="Z254">
        <v>150.4</v>
      </c>
      <c r="AA254">
        <v>161.9</v>
      </c>
      <c r="AB254">
        <v>169.4</v>
      </c>
      <c r="AC254">
        <v>148.4</v>
      </c>
      <c r="AD254">
        <v>150.4</v>
      </c>
    </row>
    <row r="255" spans="1:30">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147.30000000000001</v>
      </c>
      <c r="R255">
        <v>133.5</v>
      </c>
      <c r="S255">
        <v>145.19999999999999</v>
      </c>
      <c r="T255">
        <v>139.25609756097555</v>
      </c>
      <c r="U255">
        <v>138.9</v>
      </c>
      <c r="V255">
        <v>140.4</v>
      </c>
      <c r="W255">
        <v>144.4</v>
      </c>
      <c r="X255">
        <v>143.5</v>
      </c>
      <c r="Y255">
        <v>125.2</v>
      </c>
      <c r="Z255">
        <v>137.69999999999999</v>
      </c>
      <c r="AA255">
        <v>152.19999999999999</v>
      </c>
      <c r="AB255">
        <v>172</v>
      </c>
      <c r="AC255">
        <v>138.4</v>
      </c>
      <c r="AD255">
        <v>147.69999999999999</v>
      </c>
    </row>
    <row r="256" spans="1:30">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150.80000000000001</v>
      </c>
      <c r="R256">
        <v>141.69999999999999</v>
      </c>
      <c r="S256">
        <v>149.5</v>
      </c>
      <c r="T256">
        <v>139.25609756097555</v>
      </c>
      <c r="U256">
        <v>147.19999999999999</v>
      </c>
      <c r="V256">
        <v>146.4</v>
      </c>
      <c r="W256">
        <v>151.69999999999999</v>
      </c>
      <c r="X256">
        <v>143.4</v>
      </c>
      <c r="Y256">
        <v>130.30000000000001</v>
      </c>
      <c r="Z256">
        <v>143.19999999999999</v>
      </c>
      <c r="AA256">
        <v>156.19999999999999</v>
      </c>
      <c r="AB256">
        <v>170.1</v>
      </c>
      <c r="AC256">
        <v>143.6</v>
      </c>
      <c r="AD256">
        <v>149.1</v>
      </c>
    </row>
    <row r="257" spans="1:30">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153.4</v>
      </c>
      <c r="R257">
        <v>147.6</v>
      </c>
      <c r="S257">
        <v>152.5</v>
      </c>
      <c r="T257">
        <v>139.25609756097555</v>
      </c>
      <c r="U257">
        <v>153.4</v>
      </c>
      <c r="V257">
        <v>151.5</v>
      </c>
      <c r="W257">
        <v>156.69999999999999</v>
      </c>
      <c r="X257">
        <v>145.1</v>
      </c>
      <c r="Y257">
        <v>135.80000000000001</v>
      </c>
      <c r="Z257">
        <v>151.19999999999999</v>
      </c>
      <c r="AA257">
        <v>161.19999999999999</v>
      </c>
      <c r="AB257">
        <v>170.5</v>
      </c>
      <c r="AC257">
        <v>148.6</v>
      </c>
      <c r="AD257">
        <v>149.80000000000001</v>
      </c>
    </row>
    <row r="258" spans="1:30">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147.69999999999999</v>
      </c>
      <c r="R258">
        <v>133.80000000000001</v>
      </c>
      <c r="S258">
        <v>145.6</v>
      </c>
      <c r="T258">
        <v>139.25609756097555</v>
      </c>
      <c r="U258">
        <v>141.4</v>
      </c>
      <c r="V258">
        <v>140.80000000000001</v>
      </c>
      <c r="W258">
        <v>145</v>
      </c>
      <c r="X258">
        <v>145.30000000000001</v>
      </c>
      <c r="Y258">
        <v>124.6</v>
      </c>
      <c r="Z258">
        <v>137.9</v>
      </c>
      <c r="AA258">
        <v>152.5</v>
      </c>
      <c r="AB258">
        <v>173.3</v>
      </c>
      <c r="AC258">
        <v>138.69999999999999</v>
      </c>
      <c r="AD258">
        <v>147.30000000000001</v>
      </c>
    </row>
    <row r="259" spans="1:30">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151.19999999999999</v>
      </c>
      <c r="R259">
        <v>141.9</v>
      </c>
      <c r="S259">
        <v>149.80000000000001</v>
      </c>
      <c r="T259">
        <v>139.25609756097555</v>
      </c>
      <c r="U259">
        <v>148.9</v>
      </c>
      <c r="V259">
        <v>146.4</v>
      </c>
      <c r="W259">
        <v>152.30000000000001</v>
      </c>
      <c r="X259">
        <v>145.19999999999999</v>
      </c>
      <c r="Y259">
        <v>129.9</v>
      </c>
      <c r="Z259">
        <v>143.69999999999999</v>
      </c>
      <c r="AA259">
        <v>156.1</v>
      </c>
      <c r="AB259">
        <v>171.2</v>
      </c>
      <c r="AC259">
        <v>143.80000000000001</v>
      </c>
      <c r="AD259">
        <v>148.6</v>
      </c>
    </row>
    <row r="260" spans="1:30">
      <c r="A260" t="s">
        <v>30</v>
      </c>
      <c r="B260">
        <v>2020</v>
      </c>
      <c r="C260" t="s">
        <v>37</v>
      </c>
      <c r="D260">
        <v>147.19999999999999</v>
      </c>
      <c r="E260">
        <v>156.26475409836061</v>
      </c>
      <c r="F260">
        <v>146.9</v>
      </c>
      <c r="G260">
        <v>155.6</v>
      </c>
      <c r="H260">
        <v>137.1</v>
      </c>
      <c r="I260">
        <v>147.30000000000001</v>
      </c>
      <c r="J260">
        <v>162.69999999999999</v>
      </c>
      <c r="K260">
        <v>150.19999999999999</v>
      </c>
      <c r="L260">
        <v>119.8</v>
      </c>
      <c r="M260">
        <v>158.69999999999999</v>
      </c>
      <c r="N260">
        <v>139.19999999999999</v>
      </c>
      <c r="O260">
        <v>149.08715846994548</v>
      </c>
      <c r="P260">
        <v>150.1</v>
      </c>
      <c r="Q260">
        <v>142.66366120218601</v>
      </c>
      <c r="R260">
        <v>133.1</v>
      </c>
      <c r="S260">
        <v>141.67431693989073</v>
      </c>
      <c r="T260">
        <v>139.25609756097555</v>
      </c>
      <c r="U260">
        <v>148.4</v>
      </c>
      <c r="V260">
        <v>136.68688524590166</v>
      </c>
      <c r="W260">
        <v>154.30000000000001</v>
      </c>
      <c r="X260">
        <v>127.65</v>
      </c>
      <c r="Y260">
        <v>119.7</v>
      </c>
      <c r="Z260">
        <v>129.85000000000002</v>
      </c>
      <c r="AA260">
        <v>141.13114754098362</v>
      </c>
      <c r="AB260">
        <v>155.38579234972681</v>
      </c>
      <c r="AC260">
        <v>129.64999999999998</v>
      </c>
      <c r="AD260" t="s">
        <v>32</v>
      </c>
    </row>
    <row r="261" spans="1:30">
      <c r="A261" t="s">
        <v>33</v>
      </c>
      <c r="B261">
        <v>2020</v>
      </c>
      <c r="C261" t="s">
        <v>37</v>
      </c>
      <c r="D261">
        <v>151.80000000000001</v>
      </c>
      <c r="E261">
        <v>156.26475409836061</v>
      </c>
      <c r="F261">
        <v>151.9</v>
      </c>
      <c r="G261">
        <v>155.5</v>
      </c>
      <c r="H261">
        <v>131.6</v>
      </c>
      <c r="I261">
        <v>152.9</v>
      </c>
      <c r="J261">
        <v>180</v>
      </c>
      <c r="K261">
        <v>150.80000000000001</v>
      </c>
      <c r="L261">
        <v>121.2</v>
      </c>
      <c r="M261">
        <v>154</v>
      </c>
      <c r="N261">
        <v>133.5</v>
      </c>
      <c r="O261">
        <v>149.08715846994548</v>
      </c>
      <c r="P261">
        <v>153.5</v>
      </c>
      <c r="Q261">
        <v>142.66366120218601</v>
      </c>
      <c r="R261">
        <v>133.1</v>
      </c>
      <c r="S261">
        <v>141.67431693989073</v>
      </c>
      <c r="T261">
        <v>139.25609756097555</v>
      </c>
      <c r="U261">
        <v>137.1</v>
      </c>
      <c r="V261">
        <v>136.68688524590166</v>
      </c>
      <c r="W261">
        <v>144.80000000000001</v>
      </c>
      <c r="X261">
        <v>127.65</v>
      </c>
      <c r="Y261">
        <v>119.69999999999999</v>
      </c>
      <c r="Z261">
        <v>129.85000000000002</v>
      </c>
      <c r="AA261">
        <v>141.13114754098362</v>
      </c>
      <c r="AB261">
        <v>155.38579234972681</v>
      </c>
      <c r="AC261">
        <v>129.64999999999998</v>
      </c>
      <c r="AD261" t="s">
        <v>32</v>
      </c>
    </row>
    <row r="262" spans="1:30">
      <c r="A262" t="s">
        <v>34</v>
      </c>
      <c r="B262">
        <v>2020</v>
      </c>
      <c r="C262" t="s">
        <v>37</v>
      </c>
      <c r="D262">
        <v>148.69999999999999</v>
      </c>
      <c r="E262">
        <v>156.26475409836061</v>
      </c>
      <c r="F262">
        <v>148.80000000000001</v>
      </c>
      <c r="G262">
        <v>155.6</v>
      </c>
      <c r="H262">
        <v>135.1</v>
      </c>
      <c r="I262">
        <v>149.9</v>
      </c>
      <c r="J262">
        <v>168.6</v>
      </c>
      <c r="K262">
        <v>150.4</v>
      </c>
      <c r="L262">
        <v>120.3</v>
      </c>
      <c r="M262">
        <v>157.1</v>
      </c>
      <c r="N262">
        <v>136.80000000000001</v>
      </c>
      <c r="O262">
        <v>149.08715846994548</v>
      </c>
      <c r="P262">
        <v>151.4</v>
      </c>
      <c r="Q262">
        <v>142.66366120218601</v>
      </c>
      <c r="R262">
        <v>133.1</v>
      </c>
      <c r="S262">
        <v>141.67431693989073</v>
      </c>
      <c r="T262">
        <v>139.25609756097555</v>
      </c>
      <c r="U262">
        <v>144.1</v>
      </c>
      <c r="V262">
        <v>136.68688524590166</v>
      </c>
      <c r="W262">
        <v>150.69999999999999</v>
      </c>
      <c r="X262">
        <v>127.65</v>
      </c>
      <c r="Y262">
        <v>119.69999999999999</v>
      </c>
      <c r="Z262">
        <v>129.85000000000002</v>
      </c>
      <c r="AA262">
        <v>141.13114754098362</v>
      </c>
      <c r="AB262">
        <v>155.38579234972681</v>
      </c>
      <c r="AC262">
        <v>129.64999999999998</v>
      </c>
      <c r="AD262" t="s">
        <v>32</v>
      </c>
    </row>
    <row r="263" spans="1:30">
      <c r="A263" t="s">
        <v>30</v>
      </c>
      <c r="B263">
        <v>2020</v>
      </c>
      <c r="C263" t="s">
        <v>38</v>
      </c>
      <c r="D263">
        <v>136.68590785907853</v>
      </c>
      <c r="E263">
        <v>156.26475409836061</v>
      </c>
      <c r="F263">
        <v>135.5</v>
      </c>
      <c r="G263" t="s">
        <v>32</v>
      </c>
      <c r="H263">
        <v>120.5</v>
      </c>
      <c r="I263">
        <v>140.84092140921399</v>
      </c>
      <c r="J263">
        <v>155.75203252032517</v>
      </c>
      <c r="K263">
        <v>141.43089430894312</v>
      </c>
      <c r="L263">
        <v>110.9249322493224</v>
      </c>
      <c r="M263">
        <v>139.5</v>
      </c>
      <c r="N263">
        <v>129</v>
      </c>
      <c r="O263">
        <v>149.08715846994548</v>
      </c>
      <c r="P263">
        <v>138.6</v>
      </c>
      <c r="Q263">
        <v>142.66366120218601</v>
      </c>
      <c r="R263">
        <v>133.1</v>
      </c>
      <c r="S263">
        <v>141.67431693989073</v>
      </c>
      <c r="T263">
        <v>139.25609756097555</v>
      </c>
      <c r="U263">
        <v>132.19999999999999</v>
      </c>
      <c r="V263">
        <v>136.68688524590166</v>
      </c>
      <c r="W263">
        <v>133.6</v>
      </c>
      <c r="X263">
        <v>127.65</v>
      </c>
      <c r="Y263">
        <v>119.69999999999999</v>
      </c>
      <c r="Z263">
        <v>129.85000000000002</v>
      </c>
      <c r="AA263">
        <v>141.13114754098362</v>
      </c>
      <c r="AB263">
        <v>155.38579234972681</v>
      </c>
      <c r="AC263">
        <v>129.64999999999998</v>
      </c>
      <c r="AD263" t="s">
        <v>32</v>
      </c>
    </row>
    <row r="264" spans="1:30">
      <c r="A264" t="s">
        <v>33</v>
      </c>
      <c r="B264">
        <v>2020</v>
      </c>
      <c r="C264" t="s">
        <v>38</v>
      </c>
      <c r="D264">
        <v>136.68590785907853</v>
      </c>
      <c r="E264">
        <v>156.26475409836061</v>
      </c>
      <c r="F264">
        <v>135.5</v>
      </c>
      <c r="G264" t="s">
        <v>32</v>
      </c>
      <c r="H264">
        <v>120.5</v>
      </c>
      <c r="I264">
        <v>140.84092140921399</v>
      </c>
      <c r="J264">
        <v>155.75203252032517</v>
      </c>
      <c r="K264">
        <v>141.43089430894312</v>
      </c>
      <c r="L264">
        <v>110.9249322493224</v>
      </c>
      <c r="M264">
        <v>139.5</v>
      </c>
      <c r="N264">
        <v>129</v>
      </c>
      <c r="O264">
        <v>149.08715846994548</v>
      </c>
      <c r="P264">
        <v>138.6</v>
      </c>
      <c r="Q264">
        <v>142.66366120218601</v>
      </c>
      <c r="R264">
        <v>133.1</v>
      </c>
      <c r="S264">
        <v>141.67431693989073</v>
      </c>
      <c r="T264">
        <v>139.25609756097555</v>
      </c>
      <c r="U264">
        <v>132.19999999999999</v>
      </c>
      <c r="V264">
        <v>136.68688524590166</v>
      </c>
      <c r="W264">
        <v>133.6</v>
      </c>
      <c r="X264">
        <v>127.65</v>
      </c>
      <c r="Y264">
        <v>119.69999999999999</v>
      </c>
      <c r="Z264">
        <v>129.85000000000002</v>
      </c>
      <c r="AA264">
        <v>141.13114754098362</v>
      </c>
      <c r="AB264">
        <v>155.38579234972681</v>
      </c>
      <c r="AC264">
        <v>129.64999999999998</v>
      </c>
      <c r="AD264" t="s">
        <v>32</v>
      </c>
    </row>
    <row r="265" spans="1:30">
      <c r="A265" t="s">
        <v>34</v>
      </c>
      <c r="B265">
        <v>2020</v>
      </c>
      <c r="C265" t="s">
        <v>38</v>
      </c>
      <c r="D265">
        <v>136.68590785907853</v>
      </c>
      <c r="E265">
        <v>156.26475409836061</v>
      </c>
      <c r="F265">
        <v>135.5</v>
      </c>
      <c r="G265" t="s">
        <v>32</v>
      </c>
      <c r="H265">
        <v>120.5</v>
      </c>
      <c r="I265">
        <v>140.84092140921399</v>
      </c>
      <c r="J265">
        <v>155.75203252032517</v>
      </c>
      <c r="K265">
        <v>141.43089430894312</v>
      </c>
      <c r="L265">
        <v>110.9249322493224</v>
      </c>
      <c r="M265">
        <v>139.5</v>
      </c>
      <c r="N265">
        <v>129</v>
      </c>
      <c r="O265">
        <v>149.08715846994548</v>
      </c>
      <c r="P265">
        <v>138.6</v>
      </c>
      <c r="Q265">
        <v>142.66366120218601</v>
      </c>
      <c r="R265">
        <v>133.1</v>
      </c>
      <c r="S265">
        <v>141.67431693989073</v>
      </c>
      <c r="T265">
        <v>139.25609756097555</v>
      </c>
      <c r="U265">
        <v>132.19999999999999</v>
      </c>
      <c r="V265">
        <v>136.68688524590166</v>
      </c>
      <c r="W265">
        <v>133.6</v>
      </c>
      <c r="X265">
        <v>127.65</v>
      </c>
      <c r="Y265">
        <v>119.69999999999999</v>
      </c>
      <c r="Z265">
        <v>129.85000000000002</v>
      </c>
      <c r="AA265">
        <v>141.13114754098362</v>
      </c>
      <c r="AB265">
        <v>155.38579234972681</v>
      </c>
      <c r="AC265">
        <v>129.64999999999998</v>
      </c>
      <c r="AD265" t="s">
        <v>32</v>
      </c>
    </row>
    <row r="266" spans="1:30">
      <c r="A266" t="s">
        <v>30</v>
      </c>
      <c r="B266">
        <v>2020</v>
      </c>
      <c r="C266" t="s">
        <v>39</v>
      </c>
      <c r="D266">
        <v>136.68590785907853</v>
      </c>
      <c r="E266">
        <v>156.26475409836061</v>
      </c>
      <c r="F266">
        <v>135.5</v>
      </c>
      <c r="G266">
        <v>153.30000000000001</v>
      </c>
      <c r="H266">
        <v>120.5</v>
      </c>
      <c r="I266">
        <v>140.84092140921399</v>
      </c>
      <c r="J266">
        <v>155.75203252032517</v>
      </c>
      <c r="K266">
        <v>141.43089430894312</v>
      </c>
      <c r="L266">
        <v>110.9249322493224</v>
      </c>
      <c r="M266">
        <v>139.5</v>
      </c>
      <c r="N266">
        <v>129</v>
      </c>
      <c r="O266">
        <v>149.08715846994548</v>
      </c>
      <c r="P266">
        <v>138.6</v>
      </c>
      <c r="Q266">
        <v>154.69999999999999</v>
      </c>
      <c r="R266">
        <v>133.1</v>
      </c>
      <c r="S266">
        <v>141.67431693989073</v>
      </c>
      <c r="T266">
        <v>139.25609756097555</v>
      </c>
      <c r="U266">
        <v>132.19999999999999</v>
      </c>
      <c r="V266">
        <v>136.68688524590166</v>
      </c>
      <c r="W266">
        <v>133.6</v>
      </c>
      <c r="X266">
        <v>127.65</v>
      </c>
      <c r="Y266">
        <v>119.69999999999999</v>
      </c>
      <c r="Z266">
        <v>129.85000000000002</v>
      </c>
      <c r="AA266">
        <v>141.13114754098362</v>
      </c>
      <c r="AB266">
        <v>155.38579234972681</v>
      </c>
      <c r="AC266">
        <v>129.64999999999998</v>
      </c>
      <c r="AD266">
        <v>152.69999999999999</v>
      </c>
    </row>
    <row r="267" spans="1:30">
      <c r="A267" t="s">
        <v>33</v>
      </c>
      <c r="B267">
        <v>2020</v>
      </c>
      <c r="C267" t="s">
        <v>39</v>
      </c>
      <c r="D267">
        <v>136.68590785907853</v>
      </c>
      <c r="E267">
        <v>156.26475409836061</v>
      </c>
      <c r="F267">
        <v>135.5</v>
      </c>
      <c r="G267">
        <v>153.4</v>
      </c>
      <c r="H267">
        <v>120.5</v>
      </c>
      <c r="I267">
        <v>140.84092140921399</v>
      </c>
      <c r="J267">
        <v>155.75203252032517</v>
      </c>
      <c r="K267">
        <v>141.43089430894312</v>
      </c>
      <c r="L267">
        <v>110.9249322493224</v>
      </c>
      <c r="M267">
        <v>139.5</v>
      </c>
      <c r="N267">
        <v>129</v>
      </c>
      <c r="O267">
        <v>149.08715846994548</v>
      </c>
      <c r="P267">
        <v>138.6</v>
      </c>
      <c r="Q267">
        <v>149.1</v>
      </c>
      <c r="R267">
        <v>133.1</v>
      </c>
      <c r="S267">
        <v>141.67431693989073</v>
      </c>
      <c r="T267">
        <v>139.25609756097555</v>
      </c>
      <c r="U267">
        <v>132.19999999999999</v>
      </c>
      <c r="V267">
        <v>136.68688524590166</v>
      </c>
      <c r="W267">
        <v>133.6</v>
      </c>
      <c r="X267">
        <v>127.65</v>
      </c>
      <c r="Y267">
        <v>119.69999999999999</v>
      </c>
      <c r="Z267">
        <v>129.85000000000002</v>
      </c>
      <c r="AA267">
        <v>141.13114754098362</v>
      </c>
      <c r="AB267">
        <v>155.38579234972681</v>
      </c>
      <c r="AC267">
        <v>129.64999999999998</v>
      </c>
      <c r="AD267">
        <v>150.80000000000001</v>
      </c>
    </row>
    <row r="268" spans="1:30">
      <c r="A268" t="s">
        <v>34</v>
      </c>
      <c r="B268">
        <v>2020</v>
      </c>
      <c r="C268" t="s">
        <v>39</v>
      </c>
      <c r="D268">
        <v>136.68590785907853</v>
      </c>
      <c r="E268">
        <v>156.26475409836061</v>
      </c>
      <c r="F268">
        <v>135.5</v>
      </c>
      <c r="G268">
        <v>153.30000000000001</v>
      </c>
      <c r="H268">
        <v>120.5</v>
      </c>
      <c r="I268">
        <v>140.84092140921399</v>
      </c>
      <c r="J268">
        <v>155.75203252032517</v>
      </c>
      <c r="K268">
        <v>141.43089430894312</v>
      </c>
      <c r="L268">
        <v>110.9249322493224</v>
      </c>
      <c r="M268">
        <v>139.5</v>
      </c>
      <c r="N268">
        <v>129</v>
      </c>
      <c r="O268">
        <v>149.08715846994548</v>
      </c>
      <c r="P268">
        <v>138.6</v>
      </c>
      <c r="Q268">
        <v>152.5</v>
      </c>
      <c r="R268">
        <v>133.1</v>
      </c>
      <c r="S268">
        <v>141.67431693989073</v>
      </c>
      <c r="T268">
        <v>139.25609756097555</v>
      </c>
      <c r="U268">
        <v>132.19999999999999</v>
      </c>
      <c r="V268">
        <v>136.68688524590166</v>
      </c>
      <c r="W268">
        <v>133.6</v>
      </c>
      <c r="X268">
        <v>127.65</v>
      </c>
      <c r="Y268">
        <v>119.69999999999999</v>
      </c>
      <c r="Z268">
        <v>129.85000000000002</v>
      </c>
      <c r="AA268">
        <v>141.13114754098362</v>
      </c>
      <c r="AB268">
        <v>155.38579234972681</v>
      </c>
      <c r="AC268">
        <v>129.64999999999998</v>
      </c>
      <c r="AD268">
        <v>151.80000000000001</v>
      </c>
    </row>
    <row r="269" spans="1:30">
      <c r="A269" t="s">
        <v>30</v>
      </c>
      <c r="B269">
        <v>2020</v>
      </c>
      <c r="C269" t="s">
        <v>40</v>
      </c>
      <c r="D269">
        <v>136.68590785907853</v>
      </c>
      <c r="E269">
        <v>156.26475409836061</v>
      </c>
      <c r="F269">
        <v>135.5</v>
      </c>
      <c r="G269">
        <v>153.30000000000001</v>
      </c>
      <c r="H269">
        <v>120.5</v>
      </c>
      <c r="I269">
        <v>140.84092140921399</v>
      </c>
      <c r="J269">
        <v>155.75203252032517</v>
      </c>
      <c r="K269">
        <v>141.43089430894312</v>
      </c>
      <c r="L269">
        <v>110.9249322493224</v>
      </c>
      <c r="M269">
        <v>139.5</v>
      </c>
      <c r="N269">
        <v>129</v>
      </c>
      <c r="O269">
        <v>149.08715846994548</v>
      </c>
      <c r="P269">
        <v>138.6</v>
      </c>
      <c r="Q269">
        <v>154.69999999999999</v>
      </c>
      <c r="R269">
        <v>133.1</v>
      </c>
      <c r="S269">
        <v>141.67431693989073</v>
      </c>
      <c r="T269">
        <v>139.25609756097555</v>
      </c>
      <c r="U269">
        <v>132.19999999999999</v>
      </c>
      <c r="V269">
        <v>136.68688524590166</v>
      </c>
      <c r="W269">
        <v>133.6</v>
      </c>
      <c r="X269">
        <v>127.65</v>
      </c>
      <c r="Y269">
        <v>119.69999999999999</v>
      </c>
      <c r="Z269">
        <v>129.85000000000002</v>
      </c>
      <c r="AA269">
        <v>141.13114754098362</v>
      </c>
      <c r="AB269">
        <v>155.38579234972681</v>
      </c>
      <c r="AC269">
        <v>129.64999999999998</v>
      </c>
      <c r="AD269">
        <v>152.69999999999999</v>
      </c>
    </row>
    <row r="270" spans="1:30">
      <c r="A270" t="s">
        <v>33</v>
      </c>
      <c r="B270">
        <v>2020</v>
      </c>
      <c r="C270" t="s">
        <v>40</v>
      </c>
      <c r="D270">
        <v>136.68590785907853</v>
      </c>
      <c r="E270">
        <v>156.26475409836061</v>
      </c>
      <c r="F270">
        <v>135.5</v>
      </c>
      <c r="G270">
        <v>153.4</v>
      </c>
      <c r="H270">
        <v>120.5</v>
      </c>
      <c r="I270">
        <v>140.84092140921399</v>
      </c>
      <c r="J270">
        <v>155.75203252032517</v>
      </c>
      <c r="K270">
        <v>141.43089430894312</v>
      </c>
      <c r="L270">
        <v>110.9249322493224</v>
      </c>
      <c r="M270">
        <v>139.5</v>
      </c>
      <c r="N270">
        <v>129</v>
      </c>
      <c r="O270">
        <v>149.08715846994548</v>
      </c>
      <c r="P270">
        <v>138.6</v>
      </c>
      <c r="Q270">
        <v>149.1</v>
      </c>
      <c r="R270">
        <v>133.1</v>
      </c>
      <c r="S270">
        <v>141.67431693989073</v>
      </c>
      <c r="T270">
        <v>139.25609756097555</v>
      </c>
      <c r="U270">
        <v>132.19999999999999</v>
      </c>
      <c r="V270">
        <v>136.68688524590166</v>
      </c>
      <c r="W270">
        <v>133.6</v>
      </c>
      <c r="X270">
        <v>127.65</v>
      </c>
      <c r="Y270">
        <v>119.69999999999999</v>
      </c>
      <c r="Z270">
        <v>129.85000000000002</v>
      </c>
      <c r="AA270">
        <v>141.13114754098362</v>
      </c>
      <c r="AB270">
        <v>155.38579234972681</v>
      </c>
      <c r="AC270">
        <v>129.64999999999998</v>
      </c>
      <c r="AD270">
        <v>150.80000000000001</v>
      </c>
    </row>
    <row r="271" spans="1:30">
      <c r="A271" t="s">
        <v>34</v>
      </c>
      <c r="B271">
        <v>2020</v>
      </c>
      <c r="C271" t="s">
        <v>40</v>
      </c>
      <c r="D271">
        <v>136.68590785907853</v>
      </c>
      <c r="E271">
        <v>156.26475409836061</v>
      </c>
      <c r="F271">
        <v>135.5</v>
      </c>
      <c r="G271">
        <v>153.30000000000001</v>
      </c>
      <c r="H271">
        <v>120.5</v>
      </c>
      <c r="I271">
        <v>140.84092140921399</v>
      </c>
      <c r="J271">
        <v>155.75203252032517</v>
      </c>
      <c r="K271">
        <v>141.43089430894312</v>
      </c>
      <c r="L271">
        <v>110.9249322493224</v>
      </c>
      <c r="M271">
        <v>139.5</v>
      </c>
      <c r="N271">
        <v>129</v>
      </c>
      <c r="O271">
        <v>149.08715846994548</v>
      </c>
      <c r="P271">
        <v>138.6</v>
      </c>
      <c r="Q271">
        <v>152.5</v>
      </c>
      <c r="R271">
        <v>133.1</v>
      </c>
      <c r="S271">
        <v>141.67431693989073</v>
      </c>
      <c r="T271">
        <v>139.25609756097555</v>
      </c>
      <c r="U271">
        <v>132.19999999999999</v>
      </c>
      <c r="V271">
        <v>136.68688524590166</v>
      </c>
      <c r="W271">
        <v>133.6</v>
      </c>
      <c r="X271">
        <v>127.65</v>
      </c>
      <c r="Y271">
        <v>119.69999999999999</v>
      </c>
      <c r="Z271">
        <v>129.85000000000002</v>
      </c>
      <c r="AA271">
        <v>141.13114754098362</v>
      </c>
      <c r="AB271">
        <v>155.38579234972681</v>
      </c>
      <c r="AC271">
        <v>129.64999999999998</v>
      </c>
      <c r="AD271">
        <v>151.80000000000001</v>
      </c>
    </row>
    <row r="272" spans="1:30">
      <c r="A272" t="s">
        <v>30</v>
      </c>
      <c r="B272">
        <v>2020</v>
      </c>
      <c r="C272" t="s">
        <v>41</v>
      </c>
      <c r="D272">
        <v>136.68590785907853</v>
      </c>
      <c r="E272">
        <v>156.26475409836061</v>
      </c>
      <c r="F272">
        <v>135.5</v>
      </c>
      <c r="G272">
        <v>153.30000000000001</v>
      </c>
      <c r="H272">
        <v>120.5</v>
      </c>
      <c r="I272">
        <v>140.84092140921399</v>
      </c>
      <c r="J272">
        <v>155.75203252032517</v>
      </c>
      <c r="K272">
        <v>141.43089430894312</v>
      </c>
      <c r="L272">
        <v>110.9249322493224</v>
      </c>
      <c r="M272">
        <v>139.5</v>
      </c>
      <c r="N272">
        <v>129</v>
      </c>
      <c r="O272">
        <v>149.08715846994548</v>
      </c>
      <c r="P272">
        <v>138.6</v>
      </c>
      <c r="Q272">
        <v>155.1</v>
      </c>
      <c r="R272">
        <v>133.1</v>
      </c>
      <c r="S272">
        <v>141.67431693989073</v>
      </c>
      <c r="T272">
        <v>139.25609756097555</v>
      </c>
      <c r="U272">
        <v>132.19999999999999</v>
      </c>
      <c r="V272">
        <v>136.68688524590166</v>
      </c>
      <c r="W272">
        <v>133.6</v>
      </c>
      <c r="X272">
        <v>127.65</v>
      </c>
      <c r="Y272">
        <v>119.69999999999999</v>
      </c>
      <c r="Z272">
        <v>129.85000000000002</v>
      </c>
      <c r="AA272">
        <v>141.13114754098362</v>
      </c>
      <c r="AB272">
        <v>155.38579234972681</v>
      </c>
      <c r="AC272">
        <v>129.64999999999998</v>
      </c>
      <c r="AD272">
        <v>154.69999999999999</v>
      </c>
    </row>
    <row r="273" spans="1:30">
      <c r="A273" t="s">
        <v>33</v>
      </c>
      <c r="B273">
        <v>2020</v>
      </c>
      <c r="C273" t="s">
        <v>41</v>
      </c>
      <c r="D273">
        <v>136.68590785907853</v>
      </c>
      <c r="E273">
        <v>156.26475409836061</v>
      </c>
      <c r="F273">
        <v>135.5</v>
      </c>
      <c r="G273">
        <v>153.4</v>
      </c>
      <c r="H273">
        <v>120.5</v>
      </c>
      <c r="I273">
        <v>140.84092140921399</v>
      </c>
      <c r="J273">
        <v>155.75203252032517</v>
      </c>
      <c r="K273">
        <v>141.43089430894312</v>
      </c>
      <c r="L273">
        <v>110.9249322493224</v>
      </c>
      <c r="M273">
        <v>139.5</v>
      </c>
      <c r="N273">
        <v>129</v>
      </c>
      <c r="O273">
        <v>149.08715846994548</v>
      </c>
      <c r="P273">
        <v>138.6</v>
      </c>
      <c r="Q273">
        <v>150</v>
      </c>
      <c r="R273">
        <v>133.1</v>
      </c>
      <c r="S273">
        <v>141.67431693989073</v>
      </c>
      <c r="T273">
        <v>139.25609756097555</v>
      </c>
      <c r="U273">
        <v>132.19999999999999</v>
      </c>
      <c r="V273">
        <v>136.68688524590166</v>
      </c>
      <c r="W273">
        <v>133.6</v>
      </c>
      <c r="X273">
        <v>127.65</v>
      </c>
      <c r="Y273">
        <v>119.69999999999999</v>
      </c>
      <c r="Z273">
        <v>129.85000000000002</v>
      </c>
      <c r="AA273">
        <v>141.13114754098362</v>
      </c>
      <c r="AB273">
        <v>155.38579234972681</v>
      </c>
      <c r="AC273">
        <v>129.64999999999998</v>
      </c>
      <c r="AD273">
        <v>152.9</v>
      </c>
    </row>
    <row r="274" spans="1:30">
      <c r="A274" t="s">
        <v>34</v>
      </c>
      <c r="B274">
        <v>2020</v>
      </c>
      <c r="C274" t="s">
        <v>41</v>
      </c>
      <c r="D274">
        <v>136.68590785907853</v>
      </c>
      <c r="E274">
        <v>156.26475409836061</v>
      </c>
      <c r="F274">
        <v>135.5</v>
      </c>
      <c r="G274">
        <v>153.30000000000001</v>
      </c>
      <c r="H274">
        <v>120.5</v>
      </c>
      <c r="I274">
        <v>140.84092140921399</v>
      </c>
      <c r="J274">
        <v>155.75203252032517</v>
      </c>
      <c r="K274">
        <v>141.43089430894312</v>
      </c>
      <c r="L274">
        <v>110.9249322493224</v>
      </c>
      <c r="M274">
        <v>139.5</v>
      </c>
      <c r="N274">
        <v>129</v>
      </c>
      <c r="O274">
        <v>149.08715846994548</v>
      </c>
      <c r="P274">
        <v>138.6</v>
      </c>
      <c r="Q274">
        <v>153.1</v>
      </c>
      <c r="R274">
        <v>133.1</v>
      </c>
      <c r="S274">
        <v>141.67431693989073</v>
      </c>
      <c r="T274">
        <v>139.25609756097555</v>
      </c>
      <c r="U274">
        <v>132.19999999999999</v>
      </c>
      <c r="V274">
        <v>136.68688524590166</v>
      </c>
      <c r="W274">
        <v>133.6</v>
      </c>
      <c r="X274">
        <v>127.65</v>
      </c>
      <c r="Y274">
        <v>119.69999999999999</v>
      </c>
      <c r="Z274">
        <v>129.85000000000002</v>
      </c>
      <c r="AA274">
        <v>141.13114754098362</v>
      </c>
      <c r="AB274">
        <v>155.38579234972681</v>
      </c>
      <c r="AC274">
        <v>129.64999999999998</v>
      </c>
      <c r="AD274">
        <v>153.9</v>
      </c>
    </row>
    <row r="275" spans="1:30">
      <c r="A275" t="s">
        <v>30</v>
      </c>
      <c r="B275">
        <v>2020</v>
      </c>
      <c r="C275" t="s">
        <v>42</v>
      </c>
      <c r="D275">
        <v>136.68590785907853</v>
      </c>
      <c r="E275">
        <v>156.26475409836061</v>
      </c>
      <c r="F275">
        <v>135.5</v>
      </c>
      <c r="G275">
        <v>153.4</v>
      </c>
      <c r="H275">
        <v>120.5</v>
      </c>
      <c r="I275">
        <v>140.84092140921399</v>
      </c>
      <c r="J275">
        <v>155.75203252032517</v>
      </c>
      <c r="K275">
        <v>141.43089430894312</v>
      </c>
      <c r="L275">
        <v>110.9249322493224</v>
      </c>
      <c r="M275">
        <v>139.5</v>
      </c>
      <c r="N275">
        <v>129</v>
      </c>
      <c r="O275">
        <v>149.08715846994548</v>
      </c>
      <c r="P275">
        <v>138.6</v>
      </c>
      <c r="Q275">
        <v>155.4</v>
      </c>
      <c r="R275">
        <v>133.1</v>
      </c>
      <c r="S275">
        <v>141.67431693989073</v>
      </c>
      <c r="T275">
        <v>139.25609756097555</v>
      </c>
      <c r="U275">
        <v>132.19999999999999</v>
      </c>
      <c r="V275">
        <v>136.68688524590166</v>
      </c>
      <c r="W275">
        <v>133.6</v>
      </c>
      <c r="X275">
        <v>127.65</v>
      </c>
      <c r="Y275">
        <v>119.69999999999999</v>
      </c>
      <c r="Z275">
        <v>129.85000000000002</v>
      </c>
      <c r="AA275">
        <v>141.13114754098362</v>
      </c>
      <c r="AB275">
        <v>155.38579234972681</v>
      </c>
      <c r="AC275">
        <v>129.64999999999998</v>
      </c>
      <c r="AD275">
        <v>155.4</v>
      </c>
    </row>
    <row r="276" spans="1:30">
      <c r="A276" t="s">
        <v>33</v>
      </c>
      <c r="B276">
        <v>2020</v>
      </c>
      <c r="C276" t="s">
        <v>42</v>
      </c>
      <c r="D276">
        <v>136.68590785907853</v>
      </c>
      <c r="E276">
        <v>156.26475409836061</v>
      </c>
      <c r="F276">
        <v>135.5</v>
      </c>
      <c r="G276">
        <v>153.9</v>
      </c>
      <c r="H276">
        <v>120.5</v>
      </c>
      <c r="I276">
        <v>140.84092140921399</v>
      </c>
      <c r="J276">
        <v>155.75203252032517</v>
      </c>
      <c r="K276">
        <v>141.43089430894312</v>
      </c>
      <c r="L276">
        <v>110.9249322493224</v>
      </c>
      <c r="M276">
        <v>139.5</v>
      </c>
      <c r="N276">
        <v>129</v>
      </c>
      <c r="O276">
        <v>149.08715846994548</v>
      </c>
      <c r="P276">
        <v>138.6</v>
      </c>
      <c r="Q276">
        <v>150.19999999999999</v>
      </c>
      <c r="R276">
        <v>133.1</v>
      </c>
      <c r="S276">
        <v>141.67431693989073</v>
      </c>
      <c r="T276">
        <v>139.25609756097555</v>
      </c>
      <c r="U276">
        <v>132.19999999999999</v>
      </c>
      <c r="V276">
        <v>136.68688524590166</v>
      </c>
      <c r="W276">
        <v>133.6</v>
      </c>
      <c r="X276">
        <v>127.65</v>
      </c>
      <c r="Y276">
        <v>119.69999999999999</v>
      </c>
      <c r="Z276">
        <v>129.85000000000002</v>
      </c>
      <c r="AA276">
        <v>141.13114754098362</v>
      </c>
      <c r="AB276">
        <v>155.38579234972681</v>
      </c>
      <c r="AC276">
        <v>129.64999999999998</v>
      </c>
      <c r="AD276">
        <v>154</v>
      </c>
    </row>
    <row r="277" spans="1:30">
      <c r="A277" t="s">
        <v>34</v>
      </c>
      <c r="B277">
        <v>2020</v>
      </c>
      <c r="C277" t="s">
        <v>42</v>
      </c>
      <c r="D277">
        <v>136.68590785907853</v>
      </c>
      <c r="E277">
        <v>156.26475409836061</v>
      </c>
      <c r="F277">
        <v>135.5</v>
      </c>
      <c r="G277">
        <v>153.6</v>
      </c>
      <c r="H277">
        <v>120.5</v>
      </c>
      <c r="I277">
        <v>140.84092140921399</v>
      </c>
      <c r="J277">
        <v>155.75203252032517</v>
      </c>
      <c r="K277">
        <v>141.43089430894312</v>
      </c>
      <c r="L277">
        <v>110.9249322493224</v>
      </c>
      <c r="M277">
        <v>139.5</v>
      </c>
      <c r="N277">
        <v>129</v>
      </c>
      <c r="O277">
        <v>149.08715846994548</v>
      </c>
      <c r="P277">
        <v>138.6</v>
      </c>
      <c r="Q277">
        <v>153.4</v>
      </c>
      <c r="R277">
        <v>133.1</v>
      </c>
      <c r="S277">
        <v>141.67431693989073</v>
      </c>
      <c r="T277">
        <v>139.25609756097555</v>
      </c>
      <c r="U277">
        <v>132.19999999999999</v>
      </c>
      <c r="V277">
        <v>136.68688524590166</v>
      </c>
      <c r="W277">
        <v>133.6</v>
      </c>
      <c r="X277">
        <v>127.65</v>
      </c>
      <c r="Y277">
        <v>119.69999999999999</v>
      </c>
      <c r="Z277">
        <v>129.85000000000002</v>
      </c>
      <c r="AA277">
        <v>141.13114754098362</v>
      </c>
      <c r="AB277">
        <v>155.38579234972681</v>
      </c>
      <c r="AC277">
        <v>129.64999999999998</v>
      </c>
      <c r="AD277">
        <v>154.69999999999999</v>
      </c>
    </row>
    <row r="278" spans="1:30">
      <c r="A278" t="s">
        <v>30</v>
      </c>
      <c r="B278">
        <v>2020</v>
      </c>
      <c r="C278" t="s">
        <v>43</v>
      </c>
      <c r="D278">
        <v>136.68590785907853</v>
      </c>
      <c r="E278">
        <v>156.26475409836061</v>
      </c>
      <c r="F278">
        <v>135.5</v>
      </c>
      <c r="G278">
        <v>153.6</v>
      </c>
      <c r="H278">
        <v>120.5</v>
      </c>
      <c r="I278">
        <v>140.84092140921399</v>
      </c>
      <c r="J278">
        <v>155.75203252032517</v>
      </c>
      <c r="K278">
        <v>141.43089430894312</v>
      </c>
      <c r="L278">
        <v>110.9249322493224</v>
      </c>
      <c r="M278">
        <v>139.5</v>
      </c>
      <c r="N278">
        <v>129</v>
      </c>
      <c r="O278">
        <v>149.08715846994548</v>
      </c>
      <c r="P278">
        <v>138.6</v>
      </c>
      <c r="Q278">
        <v>155.69999999999999</v>
      </c>
      <c r="R278">
        <v>133.1</v>
      </c>
      <c r="S278">
        <v>141.67431693989073</v>
      </c>
      <c r="T278">
        <v>139.25609756097555</v>
      </c>
      <c r="U278">
        <v>132.19999999999999</v>
      </c>
      <c r="V278">
        <v>136.68688524590166</v>
      </c>
      <c r="W278">
        <v>133.6</v>
      </c>
      <c r="X278">
        <v>127.65</v>
      </c>
      <c r="Y278">
        <v>119.69999999999999</v>
      </c>
      <c r="Z278">
        <v>129.85000000000002</v>
      </c>
      <c r="AA278">
        <v>141.13114754098362</v>
      </c>
      <c r="AB278">
        <v>155.38579234972681</v>
      </c>
      <c r="AC278">
        <v>129.64999999999998</v>
      </c>
      <c r="AD278">
        <v>157.5</v>
      </c>
    </row>
    <row r="279" spans="1:30">
      <c r="A279" t="s">
        <v>33</v>
      </c>
      <c r="B279">
        <v>2020</v>
      </c>
      <c r="C279" t="s">
        <v>43</v>
      </c>
      <c r="D279">
        <v>136.68590785907853</v>
      </c>
      <c r="E279">
        <v>156.26475409836061</v>
      </c>
      <c r="F279">
        <v>135.5</v>
      </c>
      <c r="G279">
        <v>153.69999999999999</v>
      </c>
      <c r="H279">
        <v>120.5</v>
      </c>
      <c r="I279">
        <v>140.84092140921399</v>
      </c>
      <c r="J279">
        <v>155.75203252032517</v>
      </c>
      <c r="K279">
        <v>141.43089430894312</v>
      </c>
      <c r="L279">
        <v>110.9249322493224</v>
      </c>
      <c r="M279">
        <v>139.5</v>
      </c>
      <c r="N279">
        <v>129</v>
      </c>
      <c r="O279">
        <v>149.08715846994548</v>
      </c>
      <c r="P279">
        <v>138.6</v>
      </c>
      <c r="Q279">
        <v>150.5</v>
      </c>
      <c r="R279">
        <v>133.1</v>
      </c>
      <c r="S279">
        <v>141.67431693989073</v>
      </c>
      <c r="T279">
        <v>139.25609756097555</v>
      </c>
      <c r="U279">
        <v>132.19999999999999</v>
      </c>
      <c r="V279">
        <v>136.68688524590166</v>
      </c>
      <c r="W279">
        <v>133.6</v>
      </c>
      <c r="X279">
        <v>127.65</v>
      </c>
      <c r="Y279">
        <v>119.69999999999999</v>
      </c>
      <c r="Z279">
        <v>129.85000000000002</v>
      </c>
      <c r="AA279">
        <v>141.13114754098362</v>
      </c>
      <c r="AB279">
        <v>155.38579234972681</v>
      </c>
      <c r="AC279">
        <v>129.64999999999998</v>
      </c>
      <c r="AD279">
        <v>155.19999999999999</v>
      </c>
    </row>
    <row r="280" spans="1:30">
      <c r="A280" t="s">
        <v>34</v>
      </c>
      <c r="B280">
        <v>2020</v>
      </c>
      <c r="C280" t="s">
        <v>43</v>
      </c>
      <c r="D280">
        <v>136.68590785907853</v>
      </c>
      <c r="E280">
        <v>156.26475409836061</v>
      </c>
      <c r="F280">
        <v>135.5</v>
      </c>
      <c r="G280">
        <v>153.6</v>
      </c>
      <c r="H280">
        <v>120.5</v>
      </c>
      <c r="I280">
        <v>140.84092140921399</v>
      </c>
      <c r="J280">
        <v>155.75203252032517</v>
      </c>
      <c r="K280">
        <v>141.43089430894312</v>
      </c>
      <c r="L280">
        <v>110.9249322493224</v>
      </c>
      <c r="M280">
        <v>139.5</v>
      </c>
      <c r="N280">
        <v>129</v>
      </c>
      <c r="O280">
        <v>149.08715846994548</v>
      </c>
      <c r="P280">
        <v>138.6</v>
      </c>
      <c r="Q280">
        <v>153.69999999999999</v>
      </c>
      <c r="R280">
        <v>133.1</v>
      </c>
      <c r="S280">
        <v>141.67431693989073</v>
      </c>
      <c r="T280">
        <v>139.25609756097555</v>
      </c>
      <c r="U280">
        <v>132.19999999999999</v>
      </c>
      <c r="V280">
        <v>136.68688524590166</v>
      </c>
      <c r="W280">
        <v>133.6</v>
      </c>
      <c r="X280">
        <v>127.65</v>
      </c>
      <c r="Y280">
        <v>119.69999999999999</v>
      </c>
      <c r="Z280">
        <v>129.85000000000002</v>
      </c>
      <c r="AA280">
        <v>141.13114754098362</v>
      </c>
      <c r="AB280">
        <v>155.38579234972681</v>
      </c>
      <c r="AC280">
        <v>129.64999999999998</v>
      </c>
      <c r="AD280">
        <v>156.4</v>
      </c>
    </row>
    <row r="281" spans="1:30">
      <c r="A281" t="s">
        <v>30</v>
      </c>
      <c r="B281">
        <v>2020</v>
      </c>
      <c r="C281" t="s">
        <v>45</v>
      </c>
      <c r="D281">
        <v>136.68590785907853</v>
      </c>
      <c r="E281">
        <v>156.26475409836061</v>
      </c>
      <c r="F281">
        <v>135.5</v>
      </c>
      <c r="G281">
        <v>153.80000000000001</v>
      </c>
      <c r="H281">
        <v>120.5</v>
      </c>
      <c r="I281">
        <v>140.84092140921399</v>
      </c>
      <c r="J281">
        <v>155.75203252032517</v>
      </c>
      <c r="K281">
        <v>141.43089430894312</v>
      </c>
      <c r="L281">
        <v>110.9249322493224</v>
      </c>
      <c r="M281">
        <v>139.5</v>
      </c>
      <c r="N281">
        <v>129</v>
      </c>
      <c r="O281">
        <v>149.08715846994548</v>
      </c>
      <c r="P281">
        <v>138.6</v>
      </c>
      <c r="Q281">
        <v>156.30000000000001</v>
      </c>
      <c r="R281">
        <v>133.1</v>
      </c>
      <c r="S281">
        <v>141.67431693989073</v>
      </c>
      <c r="T281">
        <v>139.25609756097555</v>
      </c>
      <c r="U281">
        <v>132.19999999999999</v>
      </c>
      <c r="V281">
        <v>136.68688524590166</v>
      </c>
      <c r="W281">
        <v>133.6</v>
      </c>
      <c r="X281">
        <v>127.65</v>
      </c>
      <c r="Y281">
        <v>119.69999999999999</v>
      </c>
      <c r="Z281">
        <v>129.85000000000002</v>
      </c>
      <c r="AA281">
        <v>141.13114754098362</v>
      </c>
      <c r="AB281">
        <v>155.38579234972681</v>
      </c>
      <c r="AC281">
        <v>129.64999999999998</v>
      </c>
      <c r="AD281">
        <v>159.80000000000001</v>
      </c>
    </row>
    <row r="282" spans="1:30">
      <c r="A282" t="s">
        <v>33</v>
      </c>
      <c r="B282">
        <v>2020</v>
      </c>
      <c r="C282" t="s">
        <v>45</v>
      </c>
      <c r="D282">
        <v>136.68590785907853</v>
      </c>
      <c r="E282">
        <v>156.26475409836061</v>
      </c>
      <c r="F282">
        <v>135.5</v>
      </c>
      <c r="G282">
        <v>153.9</v>
      </c>
      <c r="H282">
        <v>120.5</v>
      </c>
      <c r="I282">
        <v>140.84092140921399</v>
      </c>
      <c r="J282">
        <v>155.75203252032517</v>
      </c>
      <c r="K282">
        <v>141.43089430894312</v>
      </c>
      <c r="L282">
        <v>110.9249322493224</v>
      </c>
      <c r="M282">
        <v>139.5</v>
      </c>
      <c r="N282">
        <v>129</v>
      </c>
      <c r="O282">
        <v>149.08715846994548</v>
      </c>
      <c r="P282">
        <v>138.6</v>
      </c>
      <c r="Q282">
        <v>151.1</v>
      </c>
      <c r="R282">
        <v>133.1</v>
      </c>
      <c r="S282">
        <v>141.67431693989073</v>
      </c>
      <c r="T282">
        <v>139.25609756097555</v>
      </c>
      <c r="U282">
        <v>132.19999999999999</v>
      </c>
      <c r="V282">
        <v>136.68688524590166</v>
      </c>
      <c r="W282">
        <v>133.6</v>
      </c>
      <c r="X282">
        <v>127.65</v>
      </c>
      <c r="Y282">
        <v>119.69999999999999</v>
      </c>
      <c r="Z282">
        <v>129.85000000000002</v>
      </c>
      <c r="AA282">
        <v>141.13114754098362</v>
      </c>
      <c r="AB282">
        <v>155.38579234972681</v>
      </c>
      <c r="AC282">
        <v>129.64999999999998</v>
      </c>
      <c r="AD282">
        <v>156.69999999999999</v>
      </c>
    </row>
    <row r="283" spans="1:30">
      <c r="A283" t="s">
        <v>34</v>
      </c>
      <c r="B283">
        <v>2020</v>
      </c>
      <c r="C283" t="s">
        <v>45</v>
      </c>
      <c r="D283">
        <v>136.68590785907853</v>
      </c>
      <c r="E283">
        <v>156.26475409836061</v>
      </c>
      <c r="F283">
        <v>135.5</v>
      </c>
      <c r="G283">
        <v>153.80000000000001</v>
      </c>
      <c r="H283">
        <v>120.5</v>
      </c>
      <c r="I283">
        <v>140.84092140921399</v>
      </c>
      <c r="J283">
        <v>155.75203252032517</v>
      </c>
      <c r="K283">
        <v>141.43089430894312</v>
      </c>
      <c r="L283">
        <v>110.9249322493224</v>
      </c>
      <c r="M283">
        <v>139.5</v>
      </c>
      <c r="N283">
        <v>129</v>
      </c>
      <c r="O283">
        <v>149.08715846994548</v>
      </c>
      <c r="P283">
        <v>138.6</v>
      </c>
      <c r="Q283">
        <v>154.30000000000001</v>
      </c>
      <c r="R283">
        <v>133.1</v>
      </c>
      <c r="S283">
        <v>141.67431693989073</v>
      </c>
      <c r="T283">
        <v>139.25609756097555</v>
      </c>
      <c r="U283">
        <v>132.19999999999999</v>
      </c>
      <c r="V283">
        <v>136.68688524590166</v>
      </c>
      <c r="W283">
        <v>133.6</v>
      </c>
      <c r="X283">
        <v>127.65</v>
      </c>
      <c r="Y283">
        <v>119.69999999999999</v>
      </c>
      <c r="Z283">
        <v>129.85000000000002</v>
      </c>
      <c r="AA283">
        <v>141.13114754098362</v>
      </c>
      <c r="AB283">
        <v>155.38579234972681</v>
      </c>
      <c r="AC283">
        <v>129.64999999999998</v>
      </c>
      <c r="AD283">
        <v>158.4</v>
      </c>
    </row>
    <row r="284" spans="1:30">
      <c r="A284" t="s">
        <v>30</v>
      </c>
      <c r="B284">
        <v>2020</v>
      </c>
      <c r="C284" t="s">
        <v>46</v>
      </c>
      <c r="D284">
        <v>136.68590785907853</v>
      </c>
      <c r="E284">
        <v>156.26475409836061</v>
      </c>
      <c r="F284">
        <v>135.5</v>
      </c>
      <c r="G284">
        <v>154</v>
      </c>
      <c r="H284">
        <v>120.5</v>
      </c>
      <c r="I284">
        <v>140.84092140921399</v>
      </c>
      <c r="J284">
        <v>155.75203252032517</v>
      </c>
      <c r="K284">
        <v>141.43089430894312</v>
      </c>
      <c r="L284">
        <v>110.9249322493224</v>
      </c>
      <c r="M284">
        <v>139.5</v>
      </c>
      <c r="N284">
        <v>129</v>
      </c>
      <c r="O284">
        <v>149.08715846994548</v>
      </c>
      <c r="P284">
        <v>138.6</v>
      </c>
      <c r="Q284">
        <v>157</v>
      </c>
      <c r="R284">
        <v>133.1</v>
      </c>
      <c r="S284">
        <v>141.67431693989073</v>
      </c>
      <c r="T284">
        <v>139.25609756097555</v>
      </c>
      <c r="U284">
        <v>132.19999999999999</v>
      </c>
      <c r="V284">
        <v>136.68688524590166</v>
      </c>
      <c r="W284">
        <v>133.6</v>
      </c>
      <c r="X284">
        <v>127.65</v>
      </c>
      <c r="Y284">
        <v>119.69999999999999</v>
      </c>
      <c r="Z284">
        <v>129.85000000000002</v>
      </c>
      <c r="AA284">
        <v>141.13114754098362</v>
      </c>
      <c r="AB284">
        <v>155.38579234972681</v>
      </c>
      <c r="AC284">
        <v>129.64999999999998</v>
      </c>
      <c r="AD284">
        <v>160.69999999999999</v>
      </c>
    </row>
    <row r="285" spans="1:30">
      <c r="A285" t="s">
        <v>33</v>
      </c>
      <c r="B285">
        <v>2020</v>
      </c>
      <c r="C285" t="s">
        <v>46</v>
      </c>
      <c r="D285">
        <v>136.68590785907853</v>
      </c>
      <c r="E285">
        <v>156.26475409836061</v>
      </c>
      <c r="F285">
        <v>135.5</v>
      </c>
      <c r="G285">
        <v>154.19999999999999</v>
      </c>
      <c r="H285">
        <v>120.5</v>
      </c>
      <c r="I285">
        <v>140.84092140921399</v>
      </c>
      <c r="J285">
        <v>155.75203252032517</v>
      </c>
      <c r="K285">
        <v>141.43089430894312</v>
      </c>
      <c r="L285">
        <v>110.9249322493224</v>
      </c>
      <c r="M285">
        <v>139.5</v>
      </c>
      <c r="N285">
        <v>129</v>
      </c>
      <c r="O285">
        <v>149.08715846994548</v>
      </c>
      <c r="P285">
        <v>138.6</v>
      </c>
      <c r="Q285">
        <v>151.9</v>
      </c>
      <c r="R285">
        <v>133.1</v>
      </c>
      <c r="S285">
        <v>141.67431693989073</v>
      </c>
      <c r="T285">
        <v>139.25609756097555</v>
      </c>
      <c r="U285">
        <v>132.19999999999999</v>
      </c>
      <c r="V285">
        <v>136.68688524590166</v>
      </c>
      <c r="W285">
        <v>133.6</v>
      </c>
      <c r="X285">
        <v>127.65</v>
      </c>
      <c r="Y285">
        <v>119.69999999999999</v>
      </c>
      <c r="Z285">
        <v>129.85000000000002</v>
      </c>
      <c r="AA285">
        <v>141.13114754098362</v>
      </c>
      <c r="AB285">
        <v>155.38579234972681</v>
      </c>
      <c r="AC285">
        <v>129.64999999999998</v>
      </c>
      <c r="AD285">
        <v>156.9</v>
      </c>
    </row>
    <row r="286" spans="1:30">
      <c r="A286" t="s">
        <v>34</v>
      </c>
      <c r="B286">
        <v>2020</v>
      </c>
      <c r="C286" t="s">
        <v>46</v>
      </c>
      <c r="D286">
        <v>136.68590785907853</v>
      </c>
      <c r="E286">
        <v>156.26475409836061</v>
      </c>
      <c r="F286">
        <v>135.5</v>
      </c>
      <c r="G286">
        <v>154.1</v>
      </c>
      <c r="H286">
        <v>120.5</v>
      </c>
      <c r="I286">
        <v>140.84092140921399</v>
      </c>
      <c r="J286">
        <v>155.75203252032517</v>
      </c>
      <c r="K286">
        <v>141.43089430894312</v>
      </c>
      <c r="L286">
        <v>110.9249322493224</v>
      </c>
      <c r="M286">
        <v>139.5</v>
      </c>
      <c r="N286">
        <v>129</v>
      </c>
      <c r="O286">
        <v>149.08715846994548</v>
      </c>
      <c r="P286">
        <v>138.6</v>
      </c>
      <c r="Q286">
        <v>155</v>
      </c>
      <c r="R286">
        <v>133.1</v>
      </c>
      <c r="S286">
        <v>141.67431693989073</v>
      </c>
      <c r="T286">
        <v>139.25609756097555</v>
      </c>
      <c r="U286">
        <v>132.19999999999999</v>
      </c>
      <c r="V286">
        <v>136.68688524590166</v>
      </c>
      <c r="W286">
        <v>133.6</v>
      </c>
      <c r="X286">
        <v>127.65</v>
      </c>
      <c r="Y286">
        <v>119.69999999999999</v>
      </c>
      <c r="Z286">
        <v>129.85000000000002</v>
      </c>
      <c r="AA286">
        <v>141.13114754098362</v>
      </c>
      <c r="AB286">
        <v>155.38579234972681</v>
      </c>
      <c r="AC286">
        <v>129.64999999999998</v>
      </c>
      <c r="AD286">
        <v>158.9</v>
      </c>
    </row>
    <row r="287" spans="1:30">
      <c r="A287" t="s">
        <v>30</v>
      </c>
      <c r="B287">
        <v>2021</v>
      </c>
      <c r="C287" t="s">
        <v>31</v>
      </c>
      <c r="D287">
        <v>136.68590785907853</v>
      </c>
      <c r="E287">
        <v>156.26475409836061</v>
      </c>
      <c r="F287">
        <v>135.5</v>
      </c>
      <c r="G287">
        <v>154</v>
      </c>
      <c r="H287">
        <v>120.5</v>
      </c>
      <c r="I287">
        <v>140.84092140921399</v>
      </c>
      <c r="J287">
        <v>155.75203252032517</v>
      </c>
      <c r="K287">
        <v>141.43089430894312</v>
      </c>
      <c r="L287">
        <v>110.9249322493224</v>
      </c>
      <c r="M287">
        <v>139.5</v>
      </c>
      <c r="N287">
        <v>129</v>
      </c>
      <c r="O287">
        <v>149.08715846994548</v>
      </c>
      <c r="P287">
        <v>138.6</v>
      </c>
      <c r="Q287">
        <v>157.5</v>
      </c>
      <c r="R287">
        <v>133.1</v>
      </c>
      <c r="S287">
        <v>141.67431693989073</v>
      </c>
      <c r="T287">
        <v>139.25609756097555</v>
      </c>
      <c r="U287">
        <v>132.19999999999999</v>
      </c>
      <c r="V287">
        <v>136.68688524590166</v>
      </c>
      <c r="W287">
        <v>133.6</v>
      </c>
      <c r="X287">
        <v>127.65</v>
      </c>
      <c r="Y287">
        <v>119.69999999999999</v>
      </c>
      <c r="Z287">
        <v>129.85000000000002</v>
      </c>
      <c r="AA287">
        <v>141.13114754098362</v>
      </c>
      <c r="AB287">
        <v>155.38579234972681</v>
      </c>
      <c r="AC287">
        <v>129.64999999999998</v>
      </c>
      <c r="AD287">
        <v>158.5</v>
      </c>
    </row>
    <row r="288" spans="1:30">
      <c r="A288" t="s">
        <v>33</v>
      </c>
      <c r="B288">
        <v>2021</v>
      </c>
      <c r="C288" t="s">
        <v>31</v>
      </c>
      <c r="D288">
        <v>136.68590785907853</v>
      </c>
      <c r="E288">
        <v>156.26475409836061</v>
      </c>
      <c r="F288">
        <v>135.5</v>
      </c>
      <c r="G288">
        <v>154.4</v>
      </c>
      <c r="H288">
        <v>120.5</v>
      </c>
      <c r="I288">
        <v>140.84092140921399</v>
      </c>
      <c r="J288">
        <v>155.75203252032517</v>
      </c>
      <c r="K288">
        <v>141.43089430894312</v>
      </c>
      <c r="L288">
        <v>110.9249322493224</v>
      </c>
      <c r="M288">
        <v>139.5</v>
      </c>
      <c r="N288">
        <v>129</v>
      </c>
      <c r="O288">
        <v>149.08715846994548</v>
      </c>
      <c r="P288">
        <v>138.6</v>
      </c>
      <c r="Q288">
        <v>152.5</v>
      </c>
      <c r="R288">
        <v>133.1</v>
      </c>
      <c r="S288">
        <v>141.67431693989073</v>
      </c>
      <c r="T288">
        <v>139.25609756097555</v>
      </c>
      <c r="U288">
        <v>132.19999999999999</v>
      </c>
      <c r="V288">
        <v>136.68688524590166</v>
      </c>
      <c r="W288">
        <v>133.6</v>
      </c>
      <c r="X288">
        <v>127.65</v>
      </c>
      <c r="Y288">
        <v>119.69999999999999</v>
      </c>
      <c r="Z288">
        <v>129.85000000000002</v>
      </c>
      <c r="AA288">
        <v>141.13114754098362</v>
      </c>
      <c r="AB288">
        <v>155.38579234972681</v>
      </c>
      <c r="AC288">
        <v>129.64999999999998</v>
      </c>
      <c r="AD288">
        <v>156</v>
      </c>
    </row>
    <row r="289" spans="1:30">
      <c r="A289" t="s">
        <v>34</v>
      </c>
      <c r="B289">
        <v>2021</v>
      </c>
      <c r="C289" t="s">
        <v>31</v>
      </c>
      <c r="D289">
        <v>136.68590785907853</v>
      </c>
      <c r="E289">
        <v>156.26475409836061</v>
      </c>
      <c r="F289">
        <v>135.5</v>
      </c>
      <c r="G289">
        <v>154.1</v>
      </c>
      <c r="H289">
        <v>120.5</v>
      </c>
      <c r="I289">
        <v>140.84092140921399</v>
      </c>
      <c r="J289">
        <v>155.75203252032517</v>
      </c>
      <c r="K289">
        <v>141.43089430894312</v>
      </c>
      <c r="L289">
        <v>110.9249322493224</v>
      </c>
      <c r="M289">
        <v>139.5</v>
      </c>
      <c r="N289">
        <v>129</v>
      </c>
      <c r="O289">
        <v>149.08715846994548</v>
      </c>
      <c r="P289">
        <v>138.6</v>
      </c>
      <c r="Q289">
        <v>155.5</v>
      </c>
      <c r="R289">
        <v>133.1</v>
      </c>
      <c r="S289">
        <v>141.67431693989073</v>
      </c>
      <c r="T289">
        <v>139.25609756097555</v>
      </c>
      <c r="U289">
        <v>132.19999999999999</v>
      </c>
      <c r="V289">
        <v>136.68688524590166</v>
      </c>
      <c r="W289">
        <v>133.6</v>
      </c>
      <c r="X289">
        <v>127.65</v>
      </c>
      <c r="Y289">
        <v>119.69999999999999</v>
      </c>
      <c r="Z289">
        <v>129.85000000000002</v>
      </c>
      <c r="AA289">
        <v>141.13114754098362</v>
      </c>
      <c r="AB289">
        <v>155.38579234972681</v>
      </c>
      <c r="AC289">
        <v>129.64999999999998</v>
      </c>
      <c r="AD289">
        <v>157.30000000000001</v>
      </c>
    </row>
    <row r="290" spans="1:30">
      <c r="A290" t="s">
        <v>30</v>
      </c>
      <c r="B290">
        <v>2021</v>
      </c>
      <c r="C290" t="s">
        <v>35</v>
      </c>
      <c r="D290">
        <v>136.68590785907853</v>
      </c>
      <c r="E290">
        <v>156.26475409836061</v>
      </c>
      <c r="F290">
        <v>135.5</v>
      </c>
      <c r="G290">
        <v>154.4</v>
      </c>
      <c r="H290">
        <v>120.5</v>
      </c>
      <c r="I290">
        <v>140.84092140921399</v>
      </c>
      <c r="J290">
        <v>155.75203252032517</v>
      </c>
      <c r="K290">
        <v>141.43089430894312</v>
      </c>
      <c r="L290">
        <v>110.9249322493224</v>
      </c>
      <c r="M290">
        <v>139.5</v>
      </c>
      <c r="N290">
        <v>129</v>
      </c>
      <c r="O290">
        <v>149.08715846994548</v>
      </c>
      <c r="P290">
        <v>138.6</v>
      </c>
      <c r="Q290">
        <v>159.1</v>
      </c>
      <c r="R290">
        <v>133.1</v>
      </c>
      <c r="S290">
        <v>141.67431693989073</v>
      </c>
      <c r="T290">
        <v>139.25609756097555</v>
      </c>
      <c r="U290">
        <v>132.19999999999999</v>
      </c>
      <c r="V290">
        <v>136.68688524590166</v>
      </c>
      <c r="W290">
        <v>133.6</v>
      </c>
      <c r="X290">
        <v>127.65</v>
      </c>
      <c r="Y290">
        <v>119.69999999999999</v>
      </c>
      <c r="Z290">
        <v>129.85000000000002</v>
      </c>
      <c r="AA290">
        <v>141.13114754098362</v>
      </c>
      <c r="AB290">
        <v>155.38579234972681</v>
      </c>
      <c r="AC290">
        <v>129.64999999999998</v>
      </c>
      <c r="AD290">
        <v>156.69999999999999</v>
      </c>
    </row>
    <row r="291" spans="1:30">
      <c r="A291" t="s">
        <v>33</v>
      </c>
      <c r="B291">
        <v>2021</v>
      </c>
      <c r="C291" t="s">
        <v>35</v>
      </c>
      <c r="D291">
        <v>136.68590785907853</v>
      </c>
      <c r="E291">
        <v>156.26475409836061</v>
      </c>
      <c r="F291">
        <v>135.5</v>
      </c>
      <c r="G291">
        <v>155.1</v>
      </c>
      <c r="H291">
        <v>120.5</v>
      </c>
      <c r="I291">
        <v>140.84092140921399</v>
      </c>
      <c r="J291">
        <v>155.75203252032517</v>
      </c>
      <c r="K291">
        <v>141.43089430894312</v>
      </c>
      <c r="L291">
        <v>110.9249322493224</v>
      </c>
      <c r="M291">
        <v>139.5</v>
      </c>
      <c r="N291">
        <v>129</v>
      </c>
      <c r="O291">
        <v>149.08715846994548</v>
      </c>
      <c r="P291">
        <v>138.6</v>
      </c>
      <c r="Q291">
        <v>154.19999999999999</v>
      </c>
      <c r="R291">
        <v>133.1</v>
      </c>
      <c r="S291">
        <v>141.67431693989073</v>
      </c>
      <c r="T291">
        <v>139.25609756097555</v>
      </c>
      <c r="U291">
        <v>132.19999999999999</v>
      </c>
      <c r="V291">
        <v>136.68688524590166</v>
      </c>
      <c r="W291">
        <v>133.6</v>
      </c>
      <c r="X291">
        <v>127.65</v>
      </c>
      <c r="Y291">
        <v>119.69999999999999</v>
      </c>
      <c r="Z291">
        <v>129.85000000000002</v>
      </c>
      <c r="AA291">
        <v>141.13114754098362</v>
      </c>
      <c r="AB291">
        <v>155.38579234972681</v>
      </c>
      <c r="AC291">
        <v>129.64999999999998</v>
      </c>
      <c r="AD291">
        <v>156.5</v>
      </c>
    </row>
    <row r="292" spans="1:30">
      <c r="A292" t="s">
        <v>34</v>
      </c>
      <c r="B292">
        <v>2021</v>
      </c>
      <c r="C292" t="s">
        <v>35</v>
      </c>
      <c r="D292">
        <v>136.68590785907853</v>
      </c>
      <c r="E292">
        <v>156.26475409836061</v>
      </c>
      <c r="F292">
        <v>135.5</v>
      </c>
      <c r="G292">
        <v>154.69999999999999</v>
      </c>
      <c r="H292">
        <v>120.5</v>
      </c>
      <c r="I292">
        <v>140.84092140921399</v>
      </c>
      <c r="J292">
        <v>155.75203252032517</v>
      </c>
      <c r="K292">
        <v>141.43089430894312</v>
      </c>
      <c r="L292">
        <v>110.9249322493224</v>
      </c>
      <c r="M292">
        <v>139.5</v>
      </c>
      <c r="N292">
        <v>129</v>
      </c>
      <c r="O292">
        <v>149.08715846994548</v>
      </c>
      <c r="P292">
        <v>138.6</v>
      </c>
      <c r="Q292">
        <v>157.19999999999999</v>
      </c>
      <c r="R292">
        <v>133.1</v>
      </c>
      <c r="S292">
        <v>141.67431693989073</v>
      </c>
      <c r="T292">
        <v>139.25609756097555</v>
      </c>
      <c r="U292">
        <v>132.19999999999999</v>
      </c>
      <c r="V292">
        <v>136.68688524590166</v>
      </c>
      <c r="W292">
        <v>133.6</v>
      </c>
      <c r="X292">
        <v>127.65</v>
      </c>
      <c r="Y292">
        <v>119.69999999999999</v>
      </c>
      <c r="Z292">
        <v>129.85000000000002</v>
      </c>
      <c r="AA292">
        <v>141.13114754098362</v>
      </c>
      <c r="AB292">
        <v>155.38579234972681</v>
      </c>
      <c r="AC292">
        <v>129.64999999999998</v>
      </c>
      <c r="AD292">
        <v>156.6</v>
      </c>
    </row>
    <row r="293" spans="1:30">
      <c r="A293" t="s">
        <v>30</v>
      </c>
      <c r="B293">
        <v>2021</v>
      </c>
      <c r="C293" t="s">
        <v>36</v>
      </c>
      <c r="D293">
        <v>136.68590785907853</v>
      </c>
      <c r="E293">
        <v>156.26475409836061</v>
      </c>
      <c r="F293">
        <v>135.5</v>
      </c>
      <c r="G293">
        <v>154.5</v>
      </c>
      <c r="H293">
        <v>120.5</v>
      </c>
      <c r="I293">
        <v>140.84092140921399</v>
      </c>
      <c r="J293">
        <v>155.75203252032517</v>
      </c>
      <c r="K293">
        <v>141.43089430894312</v>
      </c>
      <c r="L293">
        <v>110.9249322493224</v>
      </c>
      <c r="M293">
        <v>139.5</v>
      </c>
      <c r="N293">
        <v>129</v>
      </c>
      <c r="O293">
        <v>149.08715846994548</v>
      </c>
      <c r="P293">
        <v>138.6</v>
      </c>
      <c r="Q293">
        <v>159.6</v>
      </c>
      <c r="R293">
        <v>133.1</v>
      </c>
      <c r="S293">
        <v>141.67431693989073</v>
      </c>
      <c r="T293">
        <v>139.25609756097555</v>
      </c>
      <c r="U293">
        <v>132.19999999999999</v>
      </c>
      <c r="V293">
        <v>136.68688524590166</v>
      </c>
      <c r="W293">
        <v>133.6</v>
      </c>
      <c r="X293">
        <v>127.65</v>
      </c>
      <c r="Y293">
        <v>119.69999999999999</v>
      </c>
      <c r="Z293">
        <v>129.85000000000002</v>
      </c>
      <c r="AA293">
        <v>141.13114754098362</v>
      </c>
      <c r="AB293">
        <v>155.38579234972681</v>
      </c>
      <c r="AC293">
        <v>129.64999999999998</v>
      </c>
      <c r="AD293">
        <v>156.69999999999999</v>
      </c>
    </row>
    <row r="294" spans="1:30">
      <c r="A294" t="s">
        <v>33</v>
      </c>
      <c r="B294">
        <v>2021</v>
      </c>
      <c r="C294" t="s">
        <v>36</v>
      </c>
      <c r="D294">
        <v>136.68590785907853</v>
      </c>
      <c r="E294">
        <v>156.26475409836061</v>
      </c>
      <c r="F294">
        <v>135.5</v>
      </c>
      <c r="G294">
        <v>155.6</v>
      </c>
      <c r="H294">
        <v>120.5</v>
      </c>
      <c r="I294">
        <v>140.84092140921399</v>
      </c>
      <c r="J294">
        <v>155.75203252032517</v>
      </c>
      <c r="K294">
        <v>141.43089430894312</v>
      </c>
      <c r="L294">
        <v>110.9249322493224</v>
      </c>
      <c r="M294">
        <v>139.5</v>
      </c>
      <c r="N294">
        <v>129</v>
      </c>
      <c r="O294">
        <v>149.08715846994548</v>
      </c>
      <c r="P294">
        <v>138.6</v>
      </c>
      <c r="Q294">
        <v>155.1</v>
      </c>
      <c r="R294">
        <v>133.1</v>
      </c>
      <c r="S294">
        <v>141.67431693989073</v>
      </c>
      <c r="T294">
        <v>139.25609756097555</v>
      </c>
      <c r="U294">
        <v>132.19999999999999</v>
      </c>
      <c r="V294">
        <v>136.68688524590166</v>
      </c>
      <c r="W294">
        <v>133.6</v>
      </c>
      <c r="X294">
        <v>127.65</v>
      </c>
      <c r="Y294">
        <v>119.69999999999999</v>
      </c>
      <c r="Z294">
        <v>129.85000000000002</v>
      </c>
      <c r="AA294">
        <v>141.13114754098362</v>
      </c>
      <c r="AB294">
        <v>155.38579234972681</v>
      </c>
      <c r="AC294">
        <v>129.64999999999998</v>
      </c>
      <c r="AD294">
        <v>156.9</v>
      </c>
    </row>
    <row r="295" spans="1:30">
      <c r="A295" t="s">
        <v>34</v>
      </c>
      <c r="B295">
        <v>2021</v>
      </c>
      <c r="C295" t="s">
        <v>36</v>
      </c>
      <c r="D295">
        <v>136.68590785907853</v>
      </c>
      <c r="E295">
        <v>156.26475409836061</v>
      </c>
      <c r="F295">
        <v>135.5</v>
      </c>
      <c r="G295">
        <v>154.9</v>
      </c>
      <c r="H295">
        <v>120.5</v>
      </c>
      <c r="I295">
        <v>140.84092140921399</v>
      </c>
      <c r="J295">
        <v>155.75203252032517</v>
      </c>
      <c r="K295">
        <v>141.43089430894312</v>
      </c>
      <c r="L295">
        <v>110.9249322493224</v>
      </c>
      <c r="M295">
        <v>139.5</v>
      </c>
      <c r="N295">
        <v>129</v>
      </c>
      <c r="O295">
        <v>149.08715846994548</v>
      </c>
      <c r="P295">
        <v>138.6</v>
      </c>
      <c r="Q295">
        <v>157.80000000000001</v>
      </c>
      <c r="R295">
        <v>133.1</v>
      </c>
      <c r="S295">
        <v>141.67431693989073</v>
      </c>
      <c r="T295">
        <v>139.25609756097555</v>
      </c>
      <c r="U295">
        <v>132.19999999999999</v>
      </c>
      <c r="V295">
        <v>136.68688524590166</v>
      </c>
      <c r="W295">
        <v>133.6</v>
      </c>
      <c r="X295">
        <v>127.65</v>
      </c>
      <c r="Y295">
        <v>119.69999999999999</v>
      </c>
      <c r="Z295">
        <v>129.85000000000002</v>
      </c>
      <c r="AA295">
        <v>141.13114754098362</v>
      </c>
      <c r="AB295">
        <v>155.38579234972681</v>
      </c>
      <c r="AC295">
        <v>129.64999999999998</v>
      </c>
      <c r="AD295">
        <v>156.80000000000001</v>
      </c>
    </row>
    <row r="296" spans="1:30">
      <c r="A296" t="s">
        <v>30</v>
      </c>
      <c r="B296">
        <v>2021</v>
      </c>
      <c r="C296" t="s">
        <v>37</v>
      </c>
      <c r="D296">
        <v>136.68590785907853</v>
      </c>
      <c r="E296">
        <v>156.26475409836061</v>
      </c>
      <c r="F296">
        <v>135.5</v>
      </c>
      <c r="G296">
        <v>155</v>
      </c>
      <c r="H296">
        <v>120.5</v>
      </c>
      <c r="I296">
        <v>140.84092140921399</v>
      </c>
      <c r="J296">
        <v>155.75203252032517</v>
      </c>
      <c r="K296">
        <v>141.43089430894312</v>
      </c>
      <c r="L296">
        <v>110.9249322493224</v>
      </c>
      <c r="M296">
        <v>139.5</v>
      </c>
      <c r="N296">
        <v>129</v>
      </c>
      <c r="O296">
        <v>149.08715846994548</v>
      </c>
      <c r="P296">
        <v>138.6</v>
      </c>
      <c r="Q296">
        <v>160.69999999999999</v>
      </c>
      <c r="R296">
        <v>133.1</v>
      </c>
      <c r="S296">
        <v>141.67431693989073</v>
      </c>
      <c r="T296">
        <v>139.25609756097555</v>
      </c>
      <c r="U296">
        <v>132.19999999999999</v>
      </c>
      <c r="V296">
        <v>136.68688524590166</v>
      </c>
      <c r="W296">
        <v>133.6</v>
      </c>
      <c r="X296">
        <v>127.65</v>
      </c>
      <c r="Y296">
        <v>119.69999999999999</v>
      </c>
      <c r="Z296">
        <v>129.85000000000002</v>
      </c>
      <c r="AA296">
        <v>141.13114754098362</v>
      </c>
      <c r="AB296">
        <v>155.38579234972681</v>
      </c>
      <c r="AC296">
        <v>129.64999999999998</v>
      </c>
      <c r="AD296">
        <v>157.6</v>
      </c>
    </row>
    <row r="297" spans="1:30">
      <c r="A297" t="s">
        <v>33</v>
      </c>
      <c r="B297">
        <v>2021</v>
      </c>
      <c r="C297" t="s">
        <v>37</v>
      </c>
      <c r="D297">
        <v>136.68590785907853</v>
      </c>
      <c r="E297">
        <v>156.26475409836061</v>
      </c>
      <c r="F297">
        <v>135.5</v>
      </c>
      <c r="G297">
        <v>156</v>
      </c>
      <c r="H297">
        <v>120.5</v>
      </c>
      <c r="I297">
        <v>140.84092140921399</v>
      </c>
      <c r="J297">
        <v>155.75203252032517</v>
      </c>
      <c r="K297">
        <v>141.43089430894312</v>
      </c>
      <c r="L297">
        <v>110.9249322493224</v>
      </c>
      <c r="M297">
        <v>139.5</v>
      </c>
      <c r="N297">
        <v>129</v>
      </c>
      <c r="O297">
        <v>149.08715846994548</v>
      </c>
      <c r="P297">
        <v>138.6</v>
      </c>
      <c r="Q297">
        <v>155.9</v>
      </c>
      <c r="R297">
        <v>133.1</v>
      </c>
      <c r="S297">
        <v>141.67431693989073</v>
      </c>
      <c r="T297">
        <v>139.25609756097555</v>
      </c>
      <c r="U297">
        <v>132.19999999999999</v>
      </c>
      <c r="V297">
        <v>136.68688524590166</v>
      </c>
      <c r="W297">
        <v>133.6</v>
      </c>
      <c r="X297">
        <v>127.65</v>
      </c>
      <c r="Y297">
        <v>119.69999999999999</v>
      </c>
      <c r="Z297">
        <v>129.85000000000002</v>
      </c>
      <c r="AA297">
        <v>141.13114754098362</v>
      </c>
      <c r="AB297">
        <v>155.38579234972681</v>
      </c>
      <c r="AC297">
        <v>129.64999999999998</v>
      </c>
      <c r="AD297">
        <v>158</v>
      </c>
    </row>
    <row r="298" spans="1:30">
      <c r="A298" t="s">
        <v>34</v>
      </c>
      <c r="B298">
        <v>2021</v>
      </c>
      <c r="C298" t="s">
        <v>37</v>
      </c>
      <c r="D298">
        <v>136.68590785907853</v>
      </c>
      <c r="E298">
        <v>156.26475409836061</v>
      </c>
      <c r="F298">
        <v>135.5</v>
      </c>
      <c r="G298">
        <v>155.4</v>
      </c>
      <c r="H298">
        <v>120.5</v>
      </c>
      <c r="I298">
        <v>140.84092140921399</v>
      </c>
      <c r="J298">
        <v>155.75203252032517</v>
      </c>
      <c r="K298">
        <v>141.43089430894312</v>
      </c>
      <c r="L298">
        <v>110.9249322493224</v>
      </c>
      <c r="M298">
        <v>139.5</v>
      </c>
      <c r="N298">
        <v>129</v>
      </c>
      <c r="O298">
        <v>149.08715846994548</v>
      </c>
      <c r="P298">
        <v>138.6</v>
      </c>
      <c r="Q298">
        <v>158.80000000000001</v>
      </c>
      <c r="R298">
        <v>133.1</v>
      </c>
      <c r="S298">
        <v>141.67431693989073</v>
      </c>
      <c r="T298">
        <v>139.25609756097555</v>
      </c>
      <c r="U298">
        <v>132.19999999999999</v>
      </c>
      <c r="V298">
        <v>136.68688524590166</v>
      </c>
      <c r="W298">
        <v>133.6</v>
      </c>
      <c r="X298">
        <v>127.65</v>
      </c>
      <c r="Y298">
        <v>119.69999999999999</v>
      </c>
      <c r="Z298">
        <v>129.85000000000002</v>
      </c>
      <c r="AA298">
        <v>141.13114754098362</v>
      </c>
      <c r="AB298">
        <v>155.38579234972681</v>
      </c>
      <c r="AC298">
        <v>129.64999999999998</v>
      </c>
      <c r="AD298">
        <v>157.80000000000001</v>
      </c>
    </row>
    <row r="299" spans="1:30">
      <c r="A299" t="s">
        <v>30</v>
      </c>
      <c r="B299">
        <v>2021</v>
      </c>
      <c r="C299" t="s">
        <v>38</v>
      </c>
      <c r="D299">
        <v>136.68590785907853</v>
      </c>
      <c r="E299">
        <v>156.26475409836061</v>
      </c>
      <c r="F299">
        <v>135.5</v>
      </c>
      <c r="G299">
        <v>155.80000000000001</v>
      </c>
      <c r="H299">
        <v>120.5</v>
      </c>
      <c r="I299">
        <v>140.84092140921399</v>
      </c>
      <c r="J299">
        <v>155.75203252032517</v>
      </c>
      <c r="K299">
        <v>141.43089430894312</v>
      </c>
      <c r="L299">
        <v>110.9249322493224</v>
      </c>
      <c r="M299">
        <v>139.5</v>
      </c>
      <c r="N299">
        <v>129</v>
      </c>
      <c r="O299">
        <v>149.08715846994548</v>
      </c>
      <c r="P299">
        <v>138.6</v>
      </c>
      <c r="Q299">
        <v>165.3</v>
      </c>
      <c r="R299">
        <v>133.1</v>
      </c>
      <c r="S299">
        <v>141.67431693989073</v>
      </c>
      <c r="T299">
        <v>139.25609756097555</v>
      </c>
      <c r="U299">
        <v>132.19999999999999</v>
      </c>
      <c r="V299">
        <v>136.68688524590166</v>
      </c>
      <c r="W299">
        <v>133.6</v>
      </c>
      <c r="X299">
        <v>127.65</v>
      </c>
      <c r="Y299">
        <v>119.69999999999999</v>
      </c>
      <c r="Z299">
        <v>129.85000000000002</v>
      </c>
      <c r="AA299">
        <v>141.13114754098362</v>
      </c>
      <c r="AB299">
        <v>155.38579234972681</v>
      </c>
      <c r="AC299">
        <v>129.64999999999998</v>
      </c>
      <c r="AD299">
        <v>161.1</v>
      </c>
    </row>
    <row r="300" spans="1:30">
      <c r="A300" t="s">
        <v>33</v>
      </c>
      <c r="B300">
        <v>2021</v>
      </c>
      <c r="C300" t="s">
        <v>38</v>
      </c>
      <c r="D300">
        <v>136.68590785907853</v>
      </c>
      <c r="E300">
        <v>156.26475409836061</v>
      </c>
      <c r="F300">
        <v>135.5</v>
      </c>
      <c r="G300">
        <v>156.5</v>
      </c>
      <c r="H300">
        <v>120.5</v>
      </c>
      <c r="I300">
        <v>140.84092140921399</v>
      </c>
      <c r="J300">
        <v>155.75203252032517</v>
      </c>
      <c r="K300">
        <v>141.43089430894312</v>
      </c>
      <c r="L300">
        <v>110.9249322493224</v>
      </c>
      <c r="M300">
        <v>139.5</v>
      </c>
      <c r="N300">
        <v>129</v>
      </c>
      <c r="O300">
        <v>149.08715846994548</v>
      </c>
      <c r="P300">
        <v>138.6</v>
      </c>
      <c r="Q300">
        <v>156.5</v>
      </c>
      <c r="R300">
        <v>133.1</v>
      </c>
      <c r="S300">
        <v>141.67431693989073</v>
      </c>
      <c r="T300">
        <v>139.25609756097555</v>
      </c>
      <c r="U300">
        <v>132.19999999999999</v>
      </c>
      <c r="V300">
        <v>136.68688524590166</v>
      </c>
      <c r="W300">
        <v>133.6</v>
      </c>
      <c r="X300">
        <v>127.65</v>
      </c>
      <c r="Y300">
        <v>119.69999999999999</v>
      </c>
      <c r="Z300">
        <v>129.85000000000002</v>
      </c>
      <c r="AA300">
        <v>141.13114754098362</v>
      </c>
      <c r="AB300">
        <v>155.38579234972681</v>
      </c>
      <c r="AC300">
        <v>129.64999999999998</v>
      </c>
      <c r="AD300">
        <v>159.5</v>
      </c>
    </row>
    <row r="301" spans="1:30">
      <c r="A301" t="s">
        <v>34</v>
      </c>
      <c r="B301">
        <v>2021</v>
      </c>
      <c r="C301" t="s">
        <v>38</v>
      </c>
      <c r="D301">
        <v>136.68590785907853</v>
      </c>
      <c r="E301">
        <v>156.26475409836061</v>
      </c>
      <c r="F301">
        <v>135.5</v>
      </c>
      <c r="G301">
        <v>156.1</v>
      </c>
      <c r="H301">
        <v>120.5</v>
      </c>
      <c r="I301">
        <v>140.84092140921399</v>
      </c>
      <c r="J301">
        <v>155.75203252032517</v>
      </c>
      <c r="K301">
        <v>141.43089430894312</v>
      </c>
      <c r="L301">
        <v>110.9249322493224</v>
      </c>
      <c r="M301">
        <v>139.5</v>
      </c>
      <c r="N301">
        <v>129</v>
      </c>
      <c r="O301">
        <v>149.08715846994548</v>
      </c>
      <c r="P301">
        <v>138.6</v>
      </c>
      <c r="Q301">
        <v>161.80000000000001</v>
      </c>
      <c r="R301">
        <v>133.1</v>
      </c>
      <c r="S301">
        <v>141.67431693989073</v>
      </c>
      <c r="T301">
        <v>139.25609756097555</v>
      </c>
      <c r="U301">
        <v>132.19999999999999</v>
      </c>
      <c r="V301">
        <v>136.68688524590166</v>
      </c>
      <c r="W301">
        <v>133.6</v>
      </c>
      <c r="X301">
        <v>127.65</v>
      </c>
      <c r="Y301">
        <v>119.69999999999999</v>
      </c>
      <c r="Z301">
        <v>129.85000000000002</v>
      </c>
      <c r="AA301">
        <v>141.13114754098362</v>
      </c>
      <c r="AB301">
        <v>155.38579234972681</v>
      </c>
      <c r="AC301">
        <v>129.64999999999998</v>
      </c>
      <c r="AD301">
        <v>160.4</v>
      </c>
    </row>
    <row r="302" spans="1:30">
      <c r="A302" t="s">
        <v>30</v>
      </c>
      <c r="B302">
        <v>2021</v>
      </c>
      <c r="C302" t="s">
        <v>39</v>
      </c>
      <c r="D302">
        <v>136.68590785907853</v>
      </c>
      <c r="E302">
        <v>156.26475409836061</v>
      </c>
      <c r="F302">
        <v>135.5</v>
      </c>
      <c r="G302">
        <v>156.1</v>
      </c>
      <c r="H302">
        <v>120.5</v>
      </c>
      <c r="I302">
        <v>140.84092140921399</v>
      </c>
      <c r="J302">
        <v>155.75203252032517</v>
      </c>
      <c r="K302">
        <v>141.43089430894312</v>
      </c>
      <c r="L302">
        <v>110.9249322493224</v>
      </c>
      <c r="M302">
        <v>139.5</v>
      </c>
      <c r="N302">
        <v>129</v>
      </c>
      <c r="O302">
        <v>149.08715846994548</v>
      </c>
      <c r="P302">
        <v>138.6</v>
      </c>
      <c r="Q302">
        <v>165.3</v>
      </c>
      <c r="R302">
        <v>133.1</v>
      </c>
      <c r="S302">
        <v>141.67431693989073</v>
      </c>
      <c r="T302">
        <v>139.25609756097555</v>
      </c>
      <c r="U302">
        <v>132.19999999999999</v>
      </c>
      <c r="V302">
        <v>136.68688524590166</v>
      </c>
      <c r="W302">
        <v>133.6</v>
      </c>
      <c r="X302">
        <v>127.65</v>
      </c>
      <c r="Y302">
        <v>119.69999999999999</v>
      </c>
      <c r="Z302">
        <v>129.85000000000002</v>
      </c>
      <c r="AA302">
        <v>141.13114754098362</v>
      </c>
      <c r="AB302">
        <v>155.38579234972681</v>
      </c>
      <c r="AC302">
        <v>129.64999999999998</v>
      </c>
      <c r="AD302">
        <v>162.1</v>
      </c>
    </row>
    <row r="303" spans="1:30">
      <c r="A303" t="s">
        <v>33</v>
      </c>
      <c r="B303">
        <v>2021</v>
      </c>
      <c r="C303" t="s">
        <v>39</v>
      </c>
      <c r="D303">
        <v>136.68590785907853</v>
      </c>
      <c r="E303">
        <v>156.26475409836061</v>
      </c>
      <c r="F303">
        <v>135.5</v>
      </c>
      <c r="G303">
        <v>156.5</v>
      </c>
      <c r="H303">
        <v>120.5</v>
      </c>
      <c r="I303">
        <v>140.84092140921399</v>
      </c>
      <c r="J303">
        <v>155.75203252032517</v>
      </c>
      <c r="K303">
        <v>141.43089430894312</v>
      </c>
      <c r="L303">
        <v>110.9249322493224</v>
      </c>
      <c r="M303">
        <v>139.5</v>
      </c>
      <c r="N303">
        <v>129</v>
      </c>
      <c r="O303">
        <v>149.08715846994548</v>
      </c>
      <c r="P303">
        <v>138.6</v>
      </c>
      <c r="Q303">
        <v>157.30000000000001</v>
      </c>
      <c r="R303">
        <v>133.1</v>
      </c>
      <c r="S303">
        <v>141.67431693989073</v>
      </c>
      <c r="T303">
        <v>139.25609756097555</v>
      </c>
      <c r="U303">
        <v>132.19999999999999</v>
      </c>
      <c r="V303">
        <v>136.68688524590166</v>
      </c>
      <c r="W303">
        <v>133.6</v>
      </c>
      <c r="X303">
        <v>127.65</v>
      </c>
      <c r="Y303">
        <v>119.69999999999999</v>
      </c>
      <c r="Z303">
        <v>129.85000000000002</v>
      </c>
      <c r="AA303">
        <v>141.13114754098362</v>
      </c>
      <c r="AB303">
        <v>155.38579234972681</v>
      </c>
      <c r="AC303">
        <v>129.64999999999998</v>
      </c>
      <c r="AD303">
        <v>160.4</v>
      </c>
    </row>
    <row r="304" spans="1:30">
      <c r="A304" t="s">
        <v>34</v>
      </c>
      <c r="B304">
        <v>2021</v>
      </c>
      <c r="C304" t="s">
        <v>39</v>
      </c>
      <c r="D304">
        <v>136.68590785907853</v>
      </c>
      <c r="E304">
        <v>156.26475409836061</v>
      </c>
      <c r="F304">
        <v>135.5</v>
      </c>
      <c r="G304">
        <v>156.19999999999999</v>
      </c>
      <c r="H304">
        <v>120.5</v>
      </c>
      <c r="I304">
        <v>140.84092140921399</v>
      </c>
      <c r="J304">
        <v>155.75203252032517</v>
      </c>
      <c r="K304">
        <v>141.43089430894312</v>
      </c>
      <c r="L304">
        <v>110.9249322493224</v>
      </c>
      <c r="M304">
        <v>139.5</v>
      </c>
      <c r="N304">
        <v>129</v>
      </c>
      <c r="O304">
        <v>149.08715846994548</v>
      </c>
      <c r="P304">
        <v>138.6</v>
      </c>
      <c r="Q304">
        <v>162.19999999999999</v>
      </c>
      <c r="R304">
        <v>133.1</v>
      </c>
      <c r="S304">
        <v>141.67431693989073</v>
      </c>
      <c r="T304">
        <v>139.25609756097555</v>
      </c>
      <c r="U304">
        <v>132.19999999999999</v>
      </c>
      <c r="V304">
        <v>136.68688524590166</v>
      </c>
      <c r="W304">
        <v>133.6</v>
      </c>
      <c r="X304">
        <v>127.65</v>
      </c>
      <c r="Y304">
        <v>119.69999999999999</v>
      </c>
      <c r="Z304">
        <v>129.85000000000002</v>
      </c>
      <c r="AA304">
        <v>141.13114754098362</v>
      </c>
      <c r="AB304">
        <v>155.38579234972681</v>
      </c>
      <c r="AC304">
        <v>129.64999999999998</v>
      </c>
      <c r="AD304">
        <v>161.30000000000001</v>
      </c>
    </row>
    <row r="305" spans="1:30">
      <c r="A305" t="s">
        <v>30</v>
      </c>
      <c r="B305">
        <v>2021</v>
      </c>
      <c r="C305" t="s">
        <v>40</v>
      </c>
      <c r="D305">
        <v>136.68590785907853</v>
      </c>
      <c r="E305">
        <v>156.26475409836061</v>
      </c>
      <c r="F305">
        <v>135.5</v>
      </c>
      <c r="G305">
        <v>157.1</v>
      </c>
      <c r="H305">
        <v>120.5</v>
      </c>
      <c r="I305">
        <v>140.84092140921399</v>
      </c>
      <c r="J305">
        <v>155.75203252032517</v>
      </c>
      <c r="K305">
        <v>141.43089430894312</v>
      </c>
      <c r="L305">
        <v>110.9249322493224</v>
      </c>
      <c r="M305">
        <v>139.5</v>
      </c>
      <c r="N305">
        <v>129</v>
      </c>
      <c r="O305">
        <v>149.08715846994548</v>
      </c>
      <c r="P305">
        <v>138.6</v>
      </c>
      <c r="Q305">
        <v>166</v>
      </c>
      <c r="R305">
        <v>133.1</v>
      </c>
      <c r="S305">
        <v>141.67431693989073</v>
      </c>
      <c r="T305">
        <v>139.25609756097555</v>
      </c>
      <c r="U305">
        <v>132.19999999999999</v>
      </c>
      <c r="V305">
        <v>136.68688524590166</v>
      </c>
      <c r="W305">
        <v>133.6</v>
      </c>
      <c r="X305">
        <v>127.65</v>
      </c>
      <c r="Y305">
        <v>119.69999999999999</v>
      </c>
      <c r="Z305">
        <v>129.85000000000002</v>
      </c>
      <c r="AA305">
        <v>141.13114754098362</v>
      </c>
      <c r="AB305">
        <v>155.38579234972681</v>
      </c>
      <c r="AC305">
        <v>129.64999999999998</v>
      </c>
      <c r="AD305">
        <v>163.19999999999999</v>
      </c>
    </row>
    <row r="306" spans="1:30">
      <c r="A306" t="s">
        <v>33</v>
      </c>
      <c r="B306">
        <v>2021</v>
      </c>
      <c r="C306" t="s">
        <v>40</v>
      </c>
      <c r="D306">
        <v>136.68590785907853</v>
      </c>
      <c r="E306">
        <v>156.26475409836061</v>
      </c>
      <c r="F306">
        <v>135.5</v>
      </c>
      <c r="G306">
        <v>158.19999999999999</v>
      </c>
      <c r="H306">
        <v>120.5</v>
      </c>
      <c r="I306">
        <v>140.84092140921399</v>
      </c>
      <c r="J306">
        <v>155.75203252032517</v>
      </c>
      <c r="K306">
        <v>141.43089430894312</v>
      </c>
      <c r="L306">
        <v>110.9249322493224</v>
      </c>
      <c r="M306">
        <v>139.5</v>
      </c>
      <c r="N306">
        <v>129</v>
      </c>
      <c r="O306">
        <v>149.08715846994548</v>
      </c>
      <c r="P306">
        <v>138.6</v>
      </c>
      <c r="Q306">
        <v>157.9</v>
      </c>
      <c r="R306">
        <v>133.1</v>
      </c>
      <c r="S306">
        <v>141.67431693989073</v>
      </c>
      <c r="T306">
        <v>139.25609756097555</v>
      </c>
      <c r="U306">
        <v>132.19999999999999</v>
      </c>
      <c r="V306">
        <v>136.68688524590166</v>
      </c>
      <c r="W306">
        <v>133.6</v>
      </c>
      <c r="X306">
        <v>127.65</v>
      </c>
      <c r="Y306">
        <v>119.69999999999999</v>
      </c>
      <c r="Z306">
        <v>129.85000000000002</v>
      </c>
      <c r="AA306">
        <v>141.13114754098362</v>
      </c>
      <c r="AB306">
        <v>155.38579234972681</v>
      </c>
      <c r="AC306">
        <v>129.64999999999998</v>
      </c>
      <c r="AD306">
        <v>161.80000000000001</v>
      </c>
    </row>
    <row r="307" spans="1:30">
      <c r="A307" t="s">
        <v>34</v>
      </c>
      <c r="B307">
        <v>2021</v>
      </c>
      <c r="C307" t="s">
        <v>40</v>
      </c>
      <c r="D307">
        <v>136.68590785907853</v>
      </c>
      <c r="E307">
        <v>156.26475409836061</v>
      </c>
      <c r="F307">
        <v>135.5</v>
      </c>
      <c r="G307">
        <v>157.5</v>
      </c>
      <c r="H307">
        <v>120.5</v>
      </c>
      <c r="I307">
        <v>140.84092140921399</v>
      </c>
      <c r="J307">
        <v>155.75203252032517</v>
      </c>
      <c r="K307">
        <v>141.43089430894312</v>
      </c>
      <c r="L307">
        <v>110.9249322493224</v>
      </c>
      <c r="M307">
        <v>139.5</v>
      </c>
      <c r="N307">
        <v>129</v>
      </c>
      <c r="O307">
        <v>149.08715846994548</v>
      </c>
      <c r="P307">
        <v>138.6</v>
      </c>
      <c r="Q307">
        <v>162.80000000000001</v>
      </c>
      <c r="R307">
        <v>133.1</v>
      </c>
      <c r="S307">
        <v>141.67431693989073</v>
      </c>
      <c r="T307">
        <v>139.25609756097555</v>
      </c>
      <c r="U307">
        <v>132.19999999999999</v>
      </c>
      <c r="V307">
        <v>136.68688524590166</v>
      </c>
      <c r="W307">
        <v>133.6</v>
      </c>
      <c r="X307">
        <v>127.65</v>
      </c>
      <c r="Y307">
        <v>119.69999999999999</v>
      </c>
      <c r="Z307">
        <v>129.85000000000002</v>
      </c>
      <c r="AA307">
        <v>141.13114754098362</v>
      </c>
      <c r="AB307">
        <v>155.38579234972681</v>
      </c>
      <c r="AC307">
        <v>129.64999999999998</v>
      </c>
      <c r="AD307">
        <v>162.5</v>
      </c>
    </row>
    <row r="308" spans="1:30">
      <c r="A308" t="s">
        <v>30</v>
      </c>
      <c r="B308">
        <v>2021</v>
      </c>
      <c r="C308" t="s">
        <v>41</v>
      </c>
      <c r="D308">
        <v>136.68590785907853</v>
      </c>
      <c r="E308">
        <v>156.26475409836061</v>
      </c>
      <c r="F308">
        <v>135.5</v>
      </c>
      <c r="G308">
        <v>157.5</v>
      </c>
      <c r="H308">
        <v>120.5</v>
      </c>
      <c r="I308">
        <v>140.84092140921399</v>
      </c>
      <c r="J308">
        <v>155.75203252032517</v>
      </c>
      <c r="K308">
        <v>141.43089430894312</v>
      </c>
      <c r="L308">
        <v>110.9249322493224</v>
      </c>
      <c r="M308">
        <v>139.5</v>
      </c>
      <c r="N308">
        <v>129</v>
      </c>
      <c r="O308">
        <v>149.08715846994548</v>
      </c>
      <c r="P308">
        <v>138.6</v>
      </c>
      <c r="Q308">
        <v>167</v>
      </c>
      <c r="R308">
        <v>133.1</v>
      </c>
      <c r="S308">
        <v>141.67431693989073</v>
      </c>
      <c r="T308">
        <v>139.25609756097555</v>
      </c>
      <c r="U308">
        <v>132.19999999999999</v>
      </c>
      <c r="V308">
        <v>136.68688524590166</v>
      </c>
      <c r="W308">
        <v>133.6</v>
      </c>
      <c r="X308">
        <v>127.65</v>
      </c>
      <c r="Y308">
        <v>119.69999999999999</v>
      </c>
      <c r="Z308">
        <v>129.85000000000002</v>
      </c>
      <c r="AA308">
        <v>141.13114754098362</v>
      </c>
      <c r="AB308">
        <v>155.38579234972681</v>
      </c>
      <c r="AC308">
        <v>129.64999999999998</v>
      </c>
      <c r="AD308">
        <v>163.6</v>
      </c>
    </row>
    <row r="309" spans="1:30">
      <c r="A309" t="s">
        <v>33</v>
      </c>
      <c r="B309">
        <v>2021</v>
      </c>
      <c r="C309" t="s">
        <v>41</v>
      </c>
      <c r="D309">
        <v>136.68590785907853</v>
      </c>
      <c r="E309">
        <v>156.26475409836061</v>
      </c>
      <c r="F309">
        <v>135.5</v>
      </c>
      <c r="G309">
        <v>159.19999999999999</v>
      </c>
      <c r="H309">
        <v>120.5</v>
      </c>
      <c r="I309">
        <v>140.84092140921399</v>
      </c>
      <c r="J309">
        <v>155.75203252032517</v>
      </c>
      <c r="K309">
        <v>141.43089430894312</v>
      </c>
      <c r="L309">
        <v>110.9249322493224</v>
      </c>
      <c r="M309">
        <v>139.5</v>
      </c>
      <c r="N309">
        <v>129</v>
      </c>
      <c r="O309">
        <v>149.08715846994548</v>
      </c>
      <c r="P309">
        <v>138.6</v>
      </c>
      <c r="Q309">
        <v>159.80000000000001</v>
      </c>
      <c r="R309">
        <v>133.1</v>
      </c>
      <c r="S309">
        <v>141.67431693989073</v>
      </c>
      <c r="T309">
        <v>139.25609756097555</v>
      </c>
      <c r="U309">
        <v>132.19999999999999</v>
      </c>
      <c r="V309">
        <v>136.68688524590166</v>
      </c>
      <c r="W309">
        <v>133.6</v>
      </c>
      <c r="X309">
        <v>127.65</v>
      </c>
      <c r="Y309">
        <v>119.69999999999999</v>
      </c>
      <c r="Z309">
        <v>129.85000000000002</v>
      </c>
      <c r="AA309">
        <v>141.13114754098362</v>
      </c>
      <c r="AB309">
        <v>155.38579234972681</v>
      </c>
      <c r="AC309">
        <v>129.64999999999998</v>
      </c>
      <c r="AD309">
        <v>162.30000000000001</v>
      </c>
    </row>
    <row r="310" spans="1:30">
      <c r="A310" t="s">
        <v>34</v>
      </c>
      <c r="B310">
        <v>2021</v>
      </c>
      <c r="C310" t="s">
        <v>41</v>
      </c>
      <c r="D310">
        <v>136.68590785907853</v>
      </c>
      <c r="E310">
        <v>156.26475409836061</v>
      </c>
      <c r="F310">
        <v>135.5</v>
      </c>
      <c r="G310">
        <v>158.4</v>
      </c>
      <c r="H310">
        <v>120.5</v>
      </c>
      <c r="I310">
        <v>140.84092140921399</v>
      </c>
      <c r="J310">
        <v>155.75203252032517</v>
      </c>
      <c r="K310">
        <v>141.43089430894312</v>
      </c>
      <c r="L310">
        <v>110.9249322493224</v>
      </c>
      <c r="M310">
        <v>139.5</v>
      </c>
      <c r="N310">
        <v>129</v>
      </c>
      <c r="O310">
        <v>149.08715846994548</v>
      </c>
      <c r="P310">
        <v>138.6</v>
      </c>
      <c r="Q310">
        <v>164.5</v>
      </c>
      <c r="R310">
        <v>133.1</v>
      </c>
      <c r="S310">
        <v>141.67431693989073</v>
      </c>
      <c r="T310">
        <v>139.25609756097555</v>
      </c>
      <c r="U310">
        <v>132.19999999999999</v>
      </c>
      <c r="V310">
        <v>136.68688524590166</v>
      </c>
      <c r="W310">
        <v>133.6</v>
      </c>
      <c r="X310">
        <v>127.65</v>
      </c>
      <c r="Y310">
        <v>119.69999999999999</v>
      </c>
      <c r="Z310">
        <v>129.85000000000002</v>
      </c>
      <c r="AA310">
        <v>141.13114754098362</v>
      </c>
      <c r="AB310">
        <v>155.38579234972681</v>
      </c>
      <c r="AC310">
        <v>129.64999999999998</v>
      </c>
      <c r="AD310">
        <v>163.19999999999999</v>
      </c>
    </row>
    <row r="311" spans="1:30">
      <c r="A311" t="s">
        <v>30</v>
      </c>
      <c r="B311">
        <v>2021</v>
      </c>
      <c r="C311" t="s">
        <v>42</v>
      </c>
      <c r="D311">
        <v>136.68590785907853</v>
      </c>
      <c r="E311">
        <v>156.26475409836061</v>
      </c>
      <c r="F311">
        <v>135.5</v>
      </c>
      <c r="G311">
        <v>158</v>
      </c>
      <c r="H311">
        <v>120.5</v>
      </c>
      <c r="I311">
        <v>140.84092140921399</v>
      </c>
      <c r="J311">
        <v>155.75203252032517</v>
      </c>
      <c r="K311">
        <v>141.43089430894312</v>
      </c>
      <c r="L311">
        <v>110.9249322493224</v>
      </c>
      <c r="M311">
        <v>139.5</v>
      </c>
      <c r="N311">
        <v>129</v>
      </c>
      <c r="O311">
        <v>149.08715846994548</v>
      </c>
      <c r="P311">
        <v>138.6</v>
      </c>
      <c r="Q311">
        <v>167.7</v>
      </c>
      <c r="R311">
        <v>133.1</v>
      </c>
      <c r="S311">
        <v>141.67431693989073</v>
      </c>
      <c r="T311">
        <v>139.25609756097555</v>
      </c>
      <c r="U311">
        <v>132.19999999999999</v>
      </c>
      <c r="V311">
        <v>136.68688524590166</v>
      </c>
      <c r="W311">
        <v>133.6</v>
      </c>
      <c r="X311">
        <v>127.65</v>
      </c>
      <c r="Y311">
        <v>119.69999999999999</v>
      </c>
      <c r="Z311">
        <v>129.85000000000002</v>
      </c>
      <c r="AA311">
        <v>141.13114754098362</v>
      </c>
      <c r="AB311">
        <v>155.38579234972681</v>
      </c>
      <c r="AC311">
        <v>129.64999999999998</v>
      </c>
      <c r="AD311">
        <v>164</v>
      </c>
    </row>
    <row r="312" spans="1:30">
      <c r="A312" t="s">
        <v>33</v>
      </c>
      <c r="B312">
        <v>2021</v>
      </c>
      <c r="C312" t="s">
        <v>42</v>
      </c>
      <c r="D312">
        <v>136.68590785907853</v>
      </c>
      <c r="E312">
        <v>156.26475409836061</v>
      </c>
      <c r="F312">
        <v>135.5</v>
      </c>
      <c r="G312">
        <v>159.1</v>
      </c>
      <c r="H312">
        <v>120.5</v>
      </c>
      <c r="I312">
        <v>140.84092140921399</v>
      </c>
      <c r="J312">
        <v>155.75203252032517</v>
      </c>
      <c r="K312">
        <v>141.43089430894312</v>
      </c>
      <c r="L312">
        <v>110.9249322493224</v>
      </c>
      <c r="M312">
        <v>139.5</v>
      </c>
      <c r="N312">
        <v>129</v>
      </c>
      <c r="O312">
        <v>149.08715846994548</v>
      </c>
      <c r="P312">
        <v>138.6</v>
      </c>
      <c r="Q312">
        <v>159.80000000000001</v>
      </c>
      <c r="R312">
        <v>133.1</v>
      </c>
      <c r="S312">
        <v>141.67431693989073</v>
      </c>
      <c r="T312">
        <v>139.25609756097555</v>
      </c>
      <c r="U312">
        <v>132.19999999999999</v>
      </c>
      <c r="V312">
        <v>136.68688524590166</v>
      </c>
      <c r="W312">
        <v>133.6</v>
      </c>
      <c r="X312">
        <v>127.65</v>
      </c>
      <c r="Y312">
        <v>119.69999999999999</v>
      </c>
      <c r="Z312">
        <v>129.85000000000002</v>
      </c>
      <c r="AA312">
        <v>141.13114754098362</v>
      </c>
      <c r="AB312">
        <v>155.38579234972681</v>
      </c>
      <c r="AC312">
        <v>129.64999999999998</v>
      </c>
      <c r="AD312">
        <v>162.30000000000001</v>
      </c>
    </row>
    <row r="313" spans="1:30">
      <c r="A313" t="s">
        <v>34</v>
      </c>
      <c r="B313">
        <v>2021</v>
      </c>
      <c r="C313" t="s">
        <v>42</v>
      </c>
      <c r="D313">
        <v>136.68590785907853</v>
      </c>
      <c r="E313">
        <v>156.26475409836061</v>
      </c>
      <c r="F313">
        <v>135.5</v>
      </c>
      <c r="G313">
        <v>158.4</v>
      </c>
      <c r="H313">
        <v>120.5</v>
      </c>
      <c r="I313">
        <v>140.84092140921399</v>
      </c>
      <c r="J313">
        <v>155.75203252032517</v>
      </c>
      <c r="K313">
        <v>141.43089430894312</v>
      </c>
      <c r="L313">
        <v>110.9249322493224</v>
      </c>
      <c r="M313">
        <v>139.5</v>
      </c>
      <c r="N313">
        <v>129</v>
      </c>
      <c r="O313">
        <v>149.08715846994548</v>
      </c>
      <c r="P313">
        <v>138.6</v>
      </c>
      <c r="Q313">
        <v>164.6</v>
      </c>
      <c r="R313">
        <v>133.1</v>
      </c>
      <c r="S313">
        <v>141.67431693989073</v>
      </c>
      <c r="T313">
        <v>139.25609756097555</v>
      </c>
      <c r="U313">
        <v>132.19999999999999</v>
      </c>
      <c r="V313">
        <v>136.68688524590166</v>
      </c>
      <c r="W313">
        <v>133.6</v>
      </c>
      <c r="X313">
        <v>127.65</v>
      </c>
      <c r="Y313">
        <v>119.69999999999999</v>
      </c>
      <c r="Z313">
        <v>129.85000000000002</v>
      </c>
      <c r="AA313">
        <v>141.13114754098362</v>
      </c>
      <c r="AB313">
        <v>155.38579234972681</v>
      </c>
      <c r="AC313">
        <v>129.64999999999998</v>
      </c>
      <c r="AD313">
        <v>163.19999999999999</v>
      </c>
    </row>
    <row r="314" spans="1:30">
      <c r="A314" t="s">
        <v>30</v>
      </c>
      <c r="B314">
        <v>2021</v>
      </c>
      <c r="C314" t="s">
        <v>43</v>
      </c>
      <c r="D314">
        <v>136.68590785907853</v>
      </c>
      <c r="E314">
        <v>156.26475409836061</v>
      </c>
      <c r="F314">
        <v>135.5</v>
      </c>
      <c r="G314">
        <v>158.4</v>
      </c>
      <c r="H314">
        <v>120.5</v>
      </c>
      <c r="I314">
        <v>140.84092140921399</v>
      </c>
      <c r="J314">
        <v>155.75203252032517</v>
      </c>
      <c r="K314">
        <v>141.43089430894312</v>
      </c>
      <c r="L314">
        <v>110.9249322493224</v>
      </c>
      <c r="M314">
        <v>139.5</v>
      </c>
      <c r="N314">
        <v>129</v>
      </c>
      <c r="O314">
        <v>149.08715846994548</v>
      </c>
      <c r="P314">
        <v>138.6</v>
      </c>
      <c r="Q314">
        <v>168.9</v>
      </c>
      <c r="R314">
        <v>133.1</v>
      </c>
      <c r="S314">
        <v>141.67431693989073</v>
      </c>
      <c r="T314">
        <v>139.25609756097555</v>
      </c>
      <c r="U314">
        <v>132.19999999999999</v>
      </c>
      <c r="V314">
        <v>136.68688524590166</v>
      </c>
      <c r="W314">
        <v>133.6</v>
      </c>
      <c r="X314">
        <v>127.65</v>
      </c>
      <c r="Y314">
        <v>119.69999999999999</v>
      </c>
      <c r="Z314">
        <v>129.85000000000002</v>
      </c>
      <c r="AA314">
        <v>141.13114754098362</v>
      </c>
      <c r="AB314">
        <v>155.38579234972681</v>
      </c>
      <c r="AC314">
        <v>129.64999999999998</v>
      </c>
      <c r="AD314">
        <v>166.3</v>
      </c>
    </row>
    <row r="315" spans="1:30">
      <c r="A315" t="s">
        <v>33</v>
      </c>
      <c r="B315">
        <v>2021</v>
      </c>
      <c r="C315" t="s">
        <v>43</v>
      </c>
      <c r="D315">
        <v>136.68590785907853</v>
      </c>
      <c r="E315">
        <v>156.26475409836061</v>
      </c>
      <c r="F315">
        <v>135.5</v>
      </c>
      <c r="G315">
        <v>159.19999999999999</v>
      </c>
      <c r="H315">
        <v>120.5</v>
      </c>
      <c r="I315">
        <v>140.84092140921399</v>
      </c>
      <c r="J315">
        <v>155.75203252032517</v>
      </c>
      <c r="K315">
        <v>141.43089430894312</v>
      </c>
      <c r="L315">
        <v>110.9249322493224</v>
      </c>
      <c r="M315">
        <v>139.5</v>
      </c>
      <c r="N315">
        <v>129</v>
      </c>
      <c r="O315">
        <v>149.08715846994548</v>
      </c>
      <c r="P315">
        <v>138.6</v>
      </c>
      <c r="Q315">
        <v>160.80000000000001</v>
      </c>
      <c r="R315">
        <v>133.1</v>
      </c>
      <c r="S315">
        <v>141.67431693989073</v>
      </c>
      <c r="T315">
        <v>139.25609756097555</v>
      </c>
      <c r="U315">
        <v>132.19999999999999</v>
      </c>
      <c r="V315">
        <v>136.68688524590166</v>
      </c>
      <c r="W315">
        <v>133.6</v>
      </c>
      <c r="X315">
        <v>127.65</v>
      </c>
      <c r="Y315">
        <v>119.69999999999999</v>
      </c>
      <c r="Z315">
        <v>129.85000000000002</v>
      </c>
      <c r="AA315">
        <v>141.13114754098362</v>
      </c>
      <c r="AB315">
        <v>155.38579234972681</v>
      </c>
      <c r="AC315">
        <v>129.64999999999998</v>
      </c>
      <c r="AD315">
        <v>164.6</v>
      </c>
    </row>
    <row r="316" spans="1:30">
      <c r="A316" t="s">
        <v>34</v>
      </c>
      <c r="B316">
        <v>2021</v>
      </c>
      <c r="C316" t="s">
        <v>43</v>
      </c>
      <c r="D316">
        <v>136.68590785907853</v>
      </c>
      <c r="E316">
        <v>156.26475409836061</v>
      </c>
      <c r="F316">
        <v>135.5</v>
      </c>
      <c r="G316">
        <v>158.69999999999999</v>
      </c>
      <c r="H316">
        <v>120.5</v>
      </c>
      <c r="I316">
        <v>140.84092140921399</v>
      </c>
      <c r="J316">
        <v>155.75203252032517</v>
      </c>
      <c r="K316">
        <v>141.43089430894312</v>
      </c>
      <c r="L316">
        <v>110.9249322493224</v>
      </c>
      <c r="M316">
        <v>139.5</v>
      </c>
      <c r="N316">
        <v>129</v>
      </c>
      <c r="O316">
        <v>149.08715846994548</v>
      </c>
      <c r="P316">
        <v>138.6</v>
      </c>
      <c r="Q316">
        <v>165.7</v>
      </c>
      <c r="R316">
        <v>133.1</v>
      </c>
      <c r="S316">
        <v>141.67431693989073</v>
      </c>
      <c r="T316">
        <v>139.25609756097555</v>
      </c>
      <c r="U316">
        <v>132.19999999999999</v>
      </c>
      <c r="V316">
        <v>136.68688524590166</v>
      </c>
      <c r="W316">
        <v>133.6</v>
      </c>
      <c r="X316">
        <v>127.65</v>
      </c>
      <c r="Y316">
        <v>119.69999999999999</v>
      </c>
      <c r="Z316">
        <v>129.85000000000002</v>
      </c>
      <c r="AA316">
        <v>141.13114754098362</v>
      </c>
      <c r="AB316">
        <v>155.38579234972681</v>
      </c>
      <c r="AC316">
        <v>129.64999999999998</v>
      </c>
      <c r="AD316">
        <v>165.5</v>
      </c>
    </row>
    <row r="317" spans="1:30">
      <c r="A317" t="s">
        <v>30</v>
      </c>
      <c r="B317">
        <v>2021</v>
      </c>
      <c r="C317" t="s">
        <v>45</v>
      </c>
      <c r="D317">
        <v>136.68590785907853</v>
      </c>
      <c r="E317">
        <v>156.26475409836061</v>
      </c>
      <c r="F317">
        <v>135.5</v>
      </c>
      <c r="G317">
        <v>159.1</v>
      </c>
      <c r="H317">
        <v>120.5</v>
      </c>
      <c r="I317">
        <v>140.84092140921399</v>
      </c>
      <c r="J317">
        <v>155.75203252032517</v>
      </c>
      <c r="K317">
        <v>141.43089430894312</v>
      </c>
      <c r="L317">
        <v>110.9249322493224</v>
      </c>
      <c r="M317">
        <v>139.5</v>
      </c>
      <c r="N317">
        <v>129</v>
      </c>
      <c r="O317">
        <v>149.08715846994548</v>
      </c>
      <c r="P317">
        <v>138.6</v>
      </c>
      <c r="Q317">
        <v>170.4</v>
      </c>
      <c r="R317">
        <v>133.1</v>
      </c>
      <c r="S317">
        <v>141.67431693989073</v>
      </c>
      <c r="T317">
        <v>139.25609756097555</v>
      </c>
      <c r="U317">
        <v>132.19999999999999</v>
      </c>
      <c r="V317">
        <v>136.68688524590166</v>
      </c>
      <c r="W317">
        <v>133.6</v>
      </c>
      <c r="X317">
        <v>127.65</v>
      </c>
      <c r="Y317">
        <v>119.69999999999999</v>
      </c>
      <c r="Z317">
        <v>129.85000000000002</v>
      </c>
      <c r="AA317">
        <v>141.13114754098362</v>
      </c>
      <c r="AB317">
        <v>155.38579234972681</v>
      </c>
      <c r="AC317">
        <v>129.64999999999998</v>
      </c>
      <c r="AD317">
        <v>167.6</v>
      </c>
    </row>
    <row r="318" spans="1:30">
      <c r="A318" t="s">
        <v>33</v>
      </c>
      <c r="B318">
        <v>2021</v>
      </c>
      <c r="C318" t="s">
        <v>45</v>
      </c>
      <c r="D318">
        <v>136.68590785907853</v>
      </c>
      <c r="E318">
        <v>156.26475409836061</v>
      </c>
      <c r="F318">
        <v>135.5</v>
      </c>
      <c r="G318">
        <v>159.6</v>
      </c>
      <c r="H318">
        <v>120.5</v>
      </c>
      <c r="I318">
        <v>140.84092140921399</v>
      </c>
      <c r="J318">
        <v>155.75203252032517</v>
      </c>
      <c r="K318">
        <v>141.43089430894312</v>
      </c>
      <c r="L318">
        <v>110.9249322493224</v>
      </c>
      <c r="M318">
        <v>139.5</v>
      </c>
      <c r="N318">
        <v>129</v>
      </c>
      <c r="O318">
        <v>149.08715846994548</v>
      </c>
      <c r="P318">
        <v>138.6</v>
      </c>
      <c r="Q318">
        <v>162.30000000000001</v>
      </c>
      <c r="R318">
        <v>133.1</v>
      </c>
      <c r="S318">
        <v>141.67431693989073</v>
      </c>
      <c r="T318">
        <v>139.25609756097555</v>
      </c>
      <c r="U318">
        <v>132.19999999999999</v>
      </c>
      <c r="V318">
        <v>136.68688524590166</v>
      </c>
      <c r="W318">
        <v>133.6</v>
      </c>
      <c r="X318">
        <v>127.65</v>
      </c>
      <c r="Y318">
        <v>119.69999999999999</v>
      </c>
      <c r="Z318">
        <v>129.85000000000002</v>
      </c>
      <c r="AA318">
        <v>141.13114754098362</v>
      </c>
      <c r="AB318">
        <v>155.38579234972681</v>
      </c>
      <c r="AC318">
        <v>129.64999999999998</v>
      </c>
      <c r="AD318">
        <v>165.6</v>
      </c>
    </row>
    <row r="319" spans="1:30">
      <c r="A319" t="s">
        <v>34</v>
      </c>
      <c r="B319">
        <v>2021</v>
      </c>
      <c r="C319" t="s">
        <v>45</v>
      </c>
      <c r="D319">
        <v>136.68590785907853</v>
      </c>
      <c r="E319">
        <v>156.26475409836061</v>
      </c>
      <c r="F319">
        <v>135.5</v>
      </c>
      <c r="G319">
        <v>159.30000000000001</v>
      </c>
      <c r="H319">
        <v>120.5</v>
      </c>
      <c r="I319">
        <v>140.84092140921399</v>
      </c>
      <c r="J319">
        <v>155.75203252032517</v>
      </c>
      <c r="K319">
        <v>141.43089430894312</v>
      </c>
      <c r="L319">
        <v>110.9249322493224</v>
      </c>
      <c r="M319">
        <v>139.5</v>
      </c>
      <c r="N319">
        <v>129</v>
      </c>
      <c r="O319">
        <v>149.08715846994548</v>
      </c>
      <c r="P319">
        <v>138.6</v>
      </c>
      <c r="Q319">
        <v>167.2</v>
      </c>
      <c r="R319">
        <v>133.1</v>
      </c>
      <c r="S319">
        <v>141.67431693989073</v>
      </c>
      <c r="T319">
        <v>139.25609756097555</v>
      </c>
      <c r="U319">
        <v>132.19999999999999</v>
      </c>
      <c r="V319">
        <v>136.68688524590166</v>
      </c>
      <c r="W319">
        <v>133.6</v>
      </c>
      <c r="X319">
        <v>127.65</v>
      </c>
      <c r="Y319">
        <v>119.69999999999999</v>
      </c>
      <c r="Z319">
        <v>129.85000000000002</v>
      </c>
      <c r="AA319">
        <v>141.13114754098362</v>
      </c>
      <c r="AB319">
        <v>155.38579234972681</v>
      </c>
      <c r="AC319">
        <v>129.64999999999998</v>
      </c>
      <c r="AD319">
        <v>166.7</v>
      </c>
    </row>
    <row r="320" spans="1:30">
      <c r="A320" t="s">
        <v>30</v>
      </c>
      <c r="B320">
        <v>2021</v>
      </c>
      <c r="C320" t="s">
        <v>46</v>
      </c>
      <c r="D320">
        <v>136.68590785907853</v>
      </c>
      <c r="E320">
        <v>156.26475409836061</v>
      </c>
      <c r="F320">
        <v>135.5</v>
      </c>
      <c r="G320">
        <v>159.80000000000001</v>
      </c>
      <c r="H320">
        <v>120.5</v>
      </c>
      <c r="I320">
        <v>140.84092140921399</v>
      </c>
      <c r="J320">
        <v>155.75203252032517</v>
      </c>
      <c r="K320">
        <v>141.43089430894312</v>
      </c>
      <c r="L320">
        <v>110.9249322493224</v>
      </c>
      <c r="M320">
        <v>139.5</v>
      </c>
      <c r="N320">
        <v>129</v>
      </c>
      <c r="O320">
        <v>149.08715846994548</v>
      </c>
      <c r="P320">
        <v>138.6</v>
      </c>
      <c r="Q320">
        <v>171.8</v>
      </c>
      <c r="R320">
        <v>133.1</v>
      </c>
      <c r="S320">
        <v>141.67431693989073</v>
      </c>
      <c r="T320">
        <v>139.25609756097555</v>
      </c>
      <c r="U320">
        <v>132.19999999999999</v>
      </c>
      <c r="V320">
        <v>136.68688524590166</v>
      </c>
      <c r="W320">
        <v>133.6</v>
      </c>
      <c r="X320">
        <v>127.65</v>
      </c>
      <c r="Y320">
        <v>119.69999999999999</v>
      </c>
      <c r="Z320">
        <v>129.85000000000002</v>
      </c>
      <c r="AA320">
        <v>141.13114754098362</v>
      </c>
      <c r="AB320">
        <v>155.38579234972681</v>
      </c>
      <c r="AC320">
        <v>129.64999999999998</v>
      </c>
      <c r="AD320">
        <v>167</v>
      </c>
    </row>
    <row r="321" spans="1:30">
      <c r="A321" t="s">
        <v>33</v>
      </c>
      <c r="B321">
        <v>2021</v>
      </c>
      <c r="C321" t="s">
        <v>46</v>
      </c>
      <c r="D321">
        <v>136.68590785907853</v>
      </c>
      <c r="E321">
        <v>156.26475409836061</v>
      </c>
      <c r="F321">
        <v>135.5</v>
      </c>
      <c r="G321">
        <v>160</v>
      </c>
      <c r="H321">
        <v>120.5</v>
      </c>
      <c r="I321">
        <v>140.84092140921399</v>
      </c>
      <c r="J321">
        <v>155.75203252032517</v>
      </c>
      <c r="K321">
        <v>141.43089430894312</v>
      </c>
      <c r="L321">
        <v>110.9249322493224</v>
      </c>
      <c r="M321">
        <v>139.5</v>
      </c>
      <c r="N321">
        <v>129</v>
      </c>
      <c r="O321">
        <v>149.08715846994548</v>
      </c>
      <c r="P321">
        <v>138.6</v>
      </c>
      <c r="Q321">
        <v>163.30000000000001</v>
      </c>
      <c r="R321">
        <v>133.1</v>
      </c>
      <c r="S321">
        <v>141.67431693989073</v>
      </c>
      <c r="T321">
        <v>139.25609756097555</v>
      </c>
      <c r="U321">
        <v>132.19999999999999</v>
      </c>
      <c r="V321">
        <v>136.68688524590166</v>
      </c>
      <c r="W321">
        <v>133.6</v>
      </c>
      <c r="X321">
        <v>127.65</v>
      </c>
      <c r="Y321">
        <v>119.69999999999999</v>
      </c>
      <c r="Z321">
        <v>129.85000000000002</v>
      </c>
      <c r="AA321">
        <v>141.13114754098362</v>
      </c>
      <c r="AB321">
        <v>155.38579234972681</v>
      </c>
      <c r="AC321">
        <v>129.64999999999998</v>
      </c>
      <c r="AD321">
        <v>165.2</v>
      </c>
    </row>
    <row r="322" spans="1:30">
      <c r="A322" t="s">
        <v>34</v>
      </c>
      <c r="B322">
        <v>2021</v>
      </c>
      <c r="C322" t="s">
        <v>46</v>
      </c>
      <c r="D322">
        <v>136.68590785907853</v>
      </c>
      <c r="E322">
        <v>156.26475409836061</v>
      </c>
      <c r="F322">
        <v>135.5</v>
      </c>
      <c r="G322">
        <v>159.9</v>
      </c>
      <c r="H322">
        <v>120.5</v>
      </c>
      <c r="I322">
        <v>140.84092140921399</v>
      </c>
      <c r="J322">
        <v>155.75203252032517</v>
      </c>
      <c r="K322">
        <v>141.43089430894312</v>
      </c>
      <c r="L322">
        <v>110.9249322493224</v>
      </c>
      <c r="M322">
        <v>139.5</v>
      </c>
      <c r="N322">
        <v>129</v>
      </c>
      <c r="O322">
        <v>149.08715846994548</v>
      </c>
      <c r="P322">
        <v>138.6</v>
      </c>
      <c r="Q322">
        <v>168.5</v>
      </c>
      <c r="R322">
        <v>133.1</v>
      </c>
      <c r="S322">
        <v>141.67431693989073</v>
      </c>
      <c r="T322">
        <v>139.25609756097555</v>
      </c>
      <c r="U322">
        <v>132.19999999999999</v>
      </c>
      <c r="V322">
        <v>136.68688524590166</v>
      </c>
      <c r="W322">
        <v>133.6</v>
      </c>
      <c r="X322">
        <v>127.65</v>
      </c>
      <c r="Y322">
        <v>119.69999999999999</v>
      </c>
      <c r="Z322">
        <v>129.85000000000002</v>
      </c>
      <c r="AA322">
        <v>141.13114754098362</v>
      </c>
      <c r="AB322">
        <v>155.38579234972681</v>
      </c>
      <c r="AC322">
        <v>129.64999999999998</v>
      </c>
      <c r="AD322">
        <v>166.2</v>
      </c>
    </row>
    <row r="323" spans="1:30">
      <c r="A323" t="s">
        <v>30</v>
      </c>
      <c r="B323">
        <v>2022</v>
      </c>
      <c r="C323" t="s">
        <v>31</v>
      </c>
      <c r="D323">
        <v>136.68590785907853</v>
      </c>
      <c r="E323">
        <v>156.26475409836061</v>
      </c>
      <c r="F323">
        <v>135.5</v>
      </c>
      <c r="G323">
        <v>160.5</v>
      </c>
      <c r="H323">
        <v>120.5</v>
      </c>
      <c r="I323">
        <v>140.84092140921399</v>
      </c>
      <c r="J323">
        <v>155.75203252032517</v>
      </c>
      <c r="K323">
        <v>141.43089430894312</v>
      </c>
      <c r="L323">
        <v>110.9249322493224</v>
      </c>
      <c r="M323">
        <v>139.5</v>
      </c>
      <c r="N323">
        <v>129</v>
      </c>
      <c r="O323">
        <v>149.08715846994548</v>
      </c>
      <c r="P323">
        <v>138.6</v>
      </c>
      <c r="Q323">
        <v>173.2</v>
      </c>
      <c r="R323">
        <v>133.1</v>
      </c>
      <c r="S323">
        <v>141.67431693989073</v>
      </c>
      <c r="T323">
        <v>139.25609756097555</v>
      </c>
      <c r="U323">
        <v>132.19999999999999</v>
      </c>
      <c r="V323">
        <v>136.68688524590166</v>
      </c>
      <c r="W323">
        <v>133.6</v>
      </c>
      <c r="X323">
        <v>127.65</v>
      </c>
      <c r="Y323">
        <v>119.69999999999999</v>
      </c>
      <c r="Z323">
        <v>129.85000000000002</v>
      </c>
      <c r="AA323">
        <v>141.13114754098362</v>
      </c>
      <c r="AB323">
        <v>155.38579234972681</v>
      </c>
      <c r="AC323">
        <v>129.64999999999998</v>
      </c>
      <c r="AD323">
        <v>166.4</v>
      </c>
    </row>
    <row r="324" spans="1:30">
      <c r="A324" t="s">
        <v>33</v>
      </c>
      <c r="B324">
        <v>2022</v>
      </c>
      <c r="C324" t="s">
        <v>31</v>
      </c>
      <c r="D324">
        <v>136.68590785907853</v>
      </c>
      <c r="E324">
        <v>156.26475409836061</v>
      </c>
      <c r="F324">
        <v>135.5</v>
      </c>
      <c r="G324">
        <v>160.4</v>
      </c>
      <c r="H324">
        <v>120.5</v>
      </c>
      <c r="I324">
        <v>140.84092140921399</v>
      </c>
      <c r="J324">
        <v>155.75203252032517</v>
      </c>
      <c r="K324">
        <v>141.43089430894312</v>
      </c>
      <c r="L324">
        <v>110.9249322493224</v>
      </c>
      <c r="M324">
        <v>139.5</v>
      </c>
      <c r="N324">
        <v>129</v>
      </c>
      <c r="O324">
        <v>149.08715846994548</v>
      </c>
      <c r="P324">
        <v>138.6</v>
      </c>
      <c r="Q324">
        <v>164.7</v>
      </c>
      <c r="R324">
        <v>133.1</v>
      </c>
      <c r="S324">
        <v>141.67431693989073</v>
      </c>
      <c r="T324">
        <v>139.25609756097555</v>
      </c>
      <c r="U324">
        <v>132.19999999999999</v>
      </c>
      <c r="V324">
        <v>136.68688524590166</v>
      </c>
      <c r="W324">
        <v>133.6</v>
      </c>
      <c r="X324">
        <v>127.65</v>
      </c>
      <c r="Y324">
        <v>119.69999999999999</v>
      </c>
      <c r="Z324">
        <v>129.85000000000002</v>
      </c>
      <c r="AA324">
        <v>141.13114754098362</v>
      </c>
      <c r="AB324">
        <v>155.38579234972681</v>
      </c>
      <c r="AC324">
        <v>129.64999999999998</v>
      </c>
      <c r="AD324">
        <v>165</v>
      </c>
    </row>
    <row r="325" spans="1:30">
      <c r="A325" t="s">
        <v>34</v>
      </c>
      <c r="B325">
        <v>2022</v>
      </c>
      <c r="C325" t="s">
        <v>31</v>
      </c>
      <c r="D325">
        <v>136.68590785907853</v>
      </c>
      <c r="E325">
        <v>156.26475409836061</v>
      </c>
      <c r="F325">
        <v>135.5</v>
      </c>
      <c r="G325">
        <v>160.5</v>
      </c>
      <c r="H325">
        <v>120.5</v>
      </c>
      <c r="I325">
        <v>140.84092140921399</v>
      </c>
      <c r="J325">
        <v>155.75203252032517</v>
      </c>
      <c r="K325">
        <v>141.43089430894312</v>
      </c>
      <c r="L325">
        <v>110.9249322493224</v>
      </c>
      <c r="M325">
        <v>139.5</v>
      </c>
      <c r="N325">
        <v>129</v>
      </c>
      <c r="O325">
        <v>149.08715846994548</v>
      </c>
      <c r="P325">
        <v>138.6</v>
      </c>
      <c r="Q325">
        <v>169.9</v>
      </c>
      <c r="R325">
        <v>133.1</v>
      </c>
      <c r="S325">
        <v>141.67431693989073</v>
      </c>
      <c r="T325">
        <v>139.25609756097555</v>
      </c>
      <c r="U325">
        <v>132.19999999999999</v>
      </c>
      <c r="V325">
        <v>136.68688524590166</v>
      </c>
      <c r="W325">
        <v>133.6</v>
      </c>
      <c r="X325">
        <v>127.65</v>
      </c>
      <c r="Y325">
        <v>119.69999999999999</v>
      </c>
      <c r="Z325">
        <v>129.85000000000002</v>
      </c>
      <c r="AA325">
        <v>141.13114754098362</v>
      </c>
      <c r="AB325">
        <v>155.38579234972681</v>
      </c>
      <c r="AC325">
        <v>129.64999999999998</v>
      </c>
      <c r="AD325">
        <v>165.7</v>
      </c>
    </row>
    <row r="326" spans="1:30">
      <c r="A326" t="s">
        <v>30</v>
      </c>
      <c r="B326">
        <v>2022</v>
      </c>
      <c r="C326" t="s">
        <v>35</v>
      </c>
      <c r="D326">
        <v>136.68590785907853</v>
      </c>
      <c r="E326">
        <v>156.26475409836061</v>
      </c>
      <c r="F326">
        <v>135.5</v>
      </c>
      <c r="G326">
        <v>160.69999999999999</v>
      </c>
      <c r="H326">
        <v>120.5</v>
      </c>
      <c r="I326">
        <v>140.84092140921399</v>
      </c>
      <c r="J326">
        <v>155.75203252032517</v>
      </c>
      <c r="K326">
        <v>141.43089430894312</v>
      </c>
      <c r="L326">
        <v>110.9249322493224</v>
      </c>
      <c r="M326">
        <v>139.5</v>
      </c>
      <c r="N326">
        <v>129</v>
      </c>
      <c r="O326">
        <v>149.08715846994548</v>
      </c>
      <c r="P326">
        <v>138.6</v>
      </c>
      <c r="Q326">
        <v>174.1</v>
      </c>
      <c r="R326">
        <v>133.1</v>
      </c>
      <c r="S326">
        <v>141.67431693989073</v>
      </c>
      <c r="T326">
        <v>139.25609756097555</v>
      </c>
      <c r="U326">
        <v>132.19999999999999</v>
      </c>
      <c r="V326">
        <v>136.68688524590166</v>
      </c>
      <c r="W326">
        <v>133.6</v>
      </c>
      <c r="X326">
        <v>127.65</v>
      </c>
      <c r="Y326">
        <v>119.69999999999999</v>
      </c>
      <c r="Z326">
        <v>129.85000000000002</v>
      </c>
      <c r="AA326">
        <v>141.13114754098362</v>
      </c>
      <c r="AB326">
        <v>155.38579234972681</v>
      </c>
      <c r="AC326">
        <v>129.64999999999998</v>
      </c>
      <c r="AD326">
        <v>166.7</v>
      </c>
    </row>
    <row r="327" spans="1:30">
      <c r="A327" t="s">
        <v>33</v>
      </c>
      <c r="B327">
        <v>2022</v>
      </c>
      <c r="C327" t="s">
        <v>35</v>
      </c>
      <c r="D327">
        <v>136.68590785907853</v>
      </c>
      <c r="E327">
        <v>156.26475409836061</v>
      </c>
      <c r="F327">
        <v>135.5</v>
      </c>
      <c r="G327">
        <v>160.6</v>
      </c>
      <c r="H327">
        <v>120.5</v>
      </c>
      <c r="I327">
        <v>140.84092140921399</v>
      </c>
      <c r="J327">
        <v>155.75203252032517</v>
      </c>
      <c r="K327">
        <v>141.43089430894312</v>
      </c>
      <c r="L327">
        <v>110.9249322493224</v>
      </c>
      <c r="M327">
        <v>139.5</v>
      </c>
      <c r="N327">
        <v>129</v>
      </c>
      <c r="O327">
        <v>149.08715846994548</v>
      </c>
      <c r="P327">
        <v>138.6</v>
      </c>
      <c r="Q327">
        <v>165.7</v>
      </c>
      <c r="R327">
        <v>133.1</v>
      </c>
      <c r="S327">
        <v>141.67431693989073</v>
      </c>
      <c r="T327">
        <v>139.25609756097555</v>
      </c>
      <c r="U327">
        <v>132.19999999999999</v>
      </c>
      <c r="V327">
        <v>136.68688524590166</v>
      </c>
      <c r="W327">
        <v>133.6</v>
      </c>
      <c r="X327">
        <v>127.65</v>
      </c>
      <c r="Y327">
        <v>119.69999999999999</v>
      </c>
      <c r="Z327">
        <v>129.85000000000002</v>
      </c>
      <c r="AA327">
        <v>141.13114754098362</v>
      </c>
      <c r="AB327">
        <v>155.38579234972681</v>
      </c>
      <c r="AC327">
        <v>129.64999999999998</v>
      </c>
      <c r="AD327">
        <v>165.5</v>
      </c>
    </row>
    <row r="328" spans="1:30">
      <c r="A328" t="s">
        <v>34</v>
      </c>
      <c r="B328">
        <v>2022</v>
      </c>
      <c r="C328" t="s">
        <v>35</v>
      </c>
      <c r="D328">
        <v>136.68590785907853</v>
      </c>
      <c r="E328">
        <v>156.26475409836061</v>
      </c>
      <c r="F328">
        <v>135.5</v>
      </c>
      <c r="G328">
        <v>160.69999999999999</v>
      </c>
      <c r="H328">
        <v>120.5</v>
      </c>
      <c r="I328">
        <v>140.84092140921399</v>
      </c>
      <c r="J328">
        <v>155.75203252032517</v>
      </c>
      <c r="K328">
        <v>141.43089430894312</v>
      </c>
      <c r="L328">
        <v>110.9249322493224</v>
      </c>
      <c r="M328">
        <v>139.5</v>
      </c>
      <c r="N328">
        <v>129</v>
      </c>
      <c r="O328">
        <v>149.08715846994548</v>
      </c>
      <c r="P328">
        <v>138.6</v>
      </c>
      <c r="Q328">
        <v>170.8</v>
      </c>
      <c r="R328">
        <v>133.1</v>
      </c>
      <c r="S328">
        <v>141.67431693989073</v>
      </c>
      <c r="T328">
        <v>139.25609756097555</v>
      </c>
      <c r="U328">
        <v>132.19999999999999</v>
      </c>
      <c r="V328">
        <v>136.68688524590166</v>
      </c>
      <c r="W328">
        <v>133.6</v>
      </c>
      <c r="X328">
        <v>127.65</v>
      </c>
      <c r="Y328">
        <v>119.69999999999999</v>
      </c>
      <c r="Z328">
        <v>129.85000000000002</v>
      </c>
      <c r="AA328">
        <v>141.13114754098362</v>
      </c>
      <c r="AB328">
        <v>155.38579234972681</v>
      </c>
      <c r="AC328">
        <v>129.64999999999998</v>
      </c>
      <c r="AD328">
        <v>166.1</v>
      </c>
    </row>
    <row r="329" spans="1:30">
      <c r="A329" t="s">
        <v>30</v>
      </c>
      <c r="B329">
        <v>2022</v>
      </c>
      <c r="C329" t="s">
        <v>36</v>
      </c>
      <c r="D329">
        <v>136.68590785907853</v>
      </c>
      <c r="E329">
        <v>156.26475409836061</v>
      </c>
      <c r="F329">
        <v>135.5</v>
      </c>
      <c r="G329">
        <v>162</v>
      </c>
      <c r="H329">
        <v>120.5</v>
      </c>
      <c r="I329">
        <v>140.84092140921399</v>
      </c>
      <c r="J329">
        <v>155.75203252032517</v>
      </c>
      <c r="K329">
        <v>141.43089430894312</v>
      </c>
      <c r="L329">
        <v>110.9249322493224</v>
      </c>
      <c r="M329">
        <v>139.5</v>
      </c>
      <c r="N329">
        <v>129</v>
      </c>
      <c r="O329">
        <v>149.08715846994548</v>
      </c>
      <c r="P329">
        <v>138.6</v>
      </c>
      <c r="Q329">
        <v>175.4</v>
      </c>
      <c r="R329">
        <v>133.1</v>
      </c>
      <c r="S329">
        <v>141.67431693989073</v>
      </c>
      <c r="T329">
        <v>139.25609756097555</v>
      </c>
      <c r="U329">
        <v>132.19999999999999</v>
      </c>
      <c r="V329">
        <v>136.68688524590166</v>
      </c>
      <c r="W329">
        <v>133.6</v>
      </c>
      <c r="X329">
        <v>127.65</v>
      </c>
      <c r="Y329">
        <v>119.69999999999999</v>
      </c>
      <c r="Z329">
        <v>129.85000000000002</v>
      </c>
      <c r="AA329">
        <v>141.13114754098362</v>
      </c>
      <c r="AB329">
        <v>155.38579234972681</v>
      </c>
      <c r="AC329">
        <v>129.64999999999998</v>
      </c>
      <c r="AD329">
        <v>168.7</v>
      </c>
    </row>
    <row r="330" spans="1:30">
      <c r="A330" t="s">
        <v>33</v>
      </c>
      <c r="B330">
        <v>2022</v>
      </c>
      <c r="C330" t="s">
        <v>36</v>
      </c>
      <c r="D330">
        <v>136.68590785907853</v>
      </c>
      <c r="E330">
        <v>156.26475409836061</v>
      </c>
      <c r="F330">
        <v>135.5</v>
      </c>
      <c r="G330">
        <v>162.6</v>
      </c>
      <c r="H330">
        <v>120.5</v>
      </c>
      <c r="I330">
        <v>140.84092140921399</v>
      </c>
      <c r="J330">
        <v>155.75203252032517</v>
      </c>
      <c r="K330">
        <v>141.43089430894312</v>
      </c>
      <c r="L330">
        <v>110.9249322493224</v>
      </c>
      <c r="M330">
        <v>139.5</v>
      </c>
      <c r="N330">
        <v>129</v>
      </c>
      <c r="O330">
        <v>149.08715846994548</v>
      </c>
      <c r="P330">
        <v>138.6</v>
      </c>
      <c r="Q330">
        <v>167.1</v>
      </c>
      <c r="R330">
        <v>133.1</v>
      </c>
      <c r="S330">
        <v>141.67431693989073</v>
      </c>
      <c r="T330">
        <v>139.25609756097555</v>
      </c>
      <c r="U330">
        <v>132.19999999999999</v>
      </c>
      <c r="V330">
        <v>136.68688524590166</v>
      </c>
      <c r="W330">
        <v>133.6</v>
      </c>
      <c r="X330">
        <v>127.65</v>
      </c>
      <c r="Y330">
        <v>119.69999999999999</v>
      </c>
      <c r="Z330">
        <v>129.85000000000002</v>
      </c>
      <c r="AA330">
        <v>141.13114754098362</v>
      </c>
      <c r="AB330">
        <v>155.38579234972681</v>
      </c>
      <c r="AC330">
        <v>129.64999999999998</v>
      </c>
      <c r="AD330">
        <v>166.5</v>
      </c>
    </row>
    <row r="331" spans="1:30">
      <c r="A331" t="s">
        <v>34</v>
      </c>
      <c r="B331">
        <v>2022</v>
      </c>
      <c r="C331" t="s">
        <v>36</v>
      </c>
      <c r="D331">
        <v>136.68590785907853</v>
      </c>
      <c r="E331">
        <v>156.26475409836061</v>
      </c>
      <c r="F331">
        <v>135.5</v>
      </c>
      <c r="G331">
        <v>162.19999999999999</v>
      </c>
      <c r="H331">
        <v>120.5</v>
      </c>
      <c r="I331">
        <v>140.84092140921399</v>
      </c>
      <c r="J331">
        <v>155.75203252032517</v>
      </c>
      <c r="K331">
        <v>141.43089430894312</v>
      </c>
      <c r="L331">
        <v>110.9249322493224</v>
      </c>
      <c r="M331">
        <v>139.5</v>
      </c>
      <c r="N331">
        <v>129</v>
      </c>
      <c r="O331">
        <v>149.08715846994548</v>
      </c>
      <c r="P331">
        <v>138.6</v>
      </c>
      <c r="Q331">
        <v>172.1</v>
      </c>
      <c r="R331">
        <v>133.1</v>
      </c>
      <c r="S331">
        <v>141.67431693989073</v>
      </c>
      <c r="T331">
        <v>139.25609756097555</v>
      </c>
      <c r="U331">
        <v>132.19999999999999</v>
      </c>
      <c r="V331">
        <v>136.68688524590166</v>
      </c>
      <c r="W331">
        <v>133.6</v>
      </c>
      <c r="X331">
        <v>127.65</v>
      </c>
      <c r="Y331">
        <v>119.69999999999999</v>
      </c>
      <c r="Z331">
        <v>129.85000000000002</v>
      </c>
      <c r="AA331">
        <v>141.13114754098362</v>
      </c>
      <c r="AB331">
        <v>155.38579234972681</v>
      </c>
      <c r="AC331">
        <v>129.64999999999998</v>
      </c>
      <c r="AD331">
        <v>167.7</v>
      </c>
    </row>
    <row r="332" spans="1:30">
      <c r="A332" t="s">
        <v>30</v>
      </c>
      <c r="B332">
        <v>2022</v>
      </c>
      <c r="C332" t="s">
        <v>37</v>
      </c>
      <c r="D332">
        <v>136.68590785907853</v>
      </c>
      <c r="E332">
        <v>156.26475409836061</v>
      </c>
      <c r="F332">
        <v>135.5</v>
      </c>
      <c r="G332">
        <v>163.80000000000001</v>
      </c>
      <c r="H332">
        <v>120.5</v>
      </c>
      <c r="I332">
        <v>140.84092140921399</v>
      </c>
      <c r="J332">
        <v>155.75203252032517</v>
      </c>
      <c r="K332">
        <v>141.43089430894312</v>
      </c>
      <c r="L332">
        <v>110.9249322493224</v>
      </c>
      <c r="M332">
        <v>139.5</v>
      </c>
      <c r="N332">
        <v>129</v>
      </c>
      <c r="O332">
        <v>149.08715846994548</v>
      </c>
      <c r="P332">
        <v>138.6</v>
      </c>
      <c r="Q332">
        <v>177.5</v>
      </c>
      <c r="R332">
        <v>133.1</v>
      </c>
      <c r="S332">
        <v>141.67431693989073</v>
      </c>
      <c r="T332">
        <v>139.25609756097555</v>
      </c>
      <c r="U332">
        <v>132.19999999999999</v>
      </c>
      <c r="V332">
        <v>136.68688524590166</v>
      </c>
      <c r="W332">
        <v>133.6</v>
      </c>
      <c r="X332">
        <v>127.65</v>
      </c>
      <c r="Y332">
        <v>119.69999999999999</v>
      </c>
      <c r="Z332">
        <v>129.85000000000002</v>
      </c>
      <c r="AA332">
        <v>141.13114754098362</v>
      </c>
      <c r="AB332">
        <v>155.38579234972681</v>
      </c>
      <c r="AC332">
        <v>129.64999999999998</v>
      </c>
      <c r="AD332">
        <v>170.8</v>
      </c>
    </row>
    <row r="333" spans="1:30">
      <c r="A333" t="s">
        <v>33</v>
      </c>
      <c r="B333">
        <v>2022</v>
      </c>
      <c r="C333" t="s">
        <v>37</v>
      </c>
      <c r="D333">
        <v>136.68590785907853</v>
      </c>
      <c r="E333">
        <v>156.26475409836061</v>
      </c>
      <c r="F333">
        <v>135.5</v>
      </c>
      <c r="G333">
        <v>164.2</v>
      </c>
      <c r="H333">
        <v>120.5</v>
      </c>
      <c r="I333">
        <v>140.84092140921399</v>
      </c>
      <c r="J333">
        <v>155.75203252032517</v>
      </c>
      <c r="K333">
        <v>141.43089430894312</v>
      </c>
      <c r="L333">
        <v>110.9249322493224</v>
      </c>
      <c r="M333">
        <v>139.5</v>
      </c>
      <c r="N333">
        <v>129</v>
      </c>
      <c r="O333">
        <v>149.08715846994548</v>
      </c>
      <c r="P333">
        <v>138.6</v>
      </c>
      <c r="Q333">
        <v>168.4</v>
      </c>
      <c r="R333">
        <v>133.1</v>
      </c>
      <c r="S333">
        <v>141.67431693989073</v>
      </c>
      <c r="T333">
        <v>139.25609756097555</v>
      </c>
      <c r="U333">
        <v>132.19999999999999</v>
      </c>
      <c r="V333">
        <v>136.68688524590166</v>
      </c>
      <c r="W333">
        <v>133.6</v>
      </c>
      <c r="X333">
        <v>127.65</v>
      </c>
      <c r="Y333">
        <v>119.69999999999999</v>
      </c>
      <c r="Z333">
        <v>129.85000000000002</v>
      </c>
      <c r="AA333">
        <v>141.13114754098362</v>
      </c>
      <c r="AB333">
        <v>155.38579234972681</v>
      </c>
      <c r="AC333">
        <v>129.64999999999998</v>
      </c>
      <c r="AD333">
        <v>169.2</v>
      </c>
    </row>
    <row r="334" spans="1:30">
      <c r="A334" t="s">
        <v>34</v>
      </c>
      <c r="B334">
        <v>2022</v>
      </c>
      <c r="C334" t="s">
        <v>37</v>
      </c>
      <c r="D334">
        <v>136.68590785907853</v>
      </c>
      <c r="E334">
        <v>156.26475409836061</v>
      </c>
      <c r="F334">
        <v>135.5</v>
      </c>
      <c r="G334">
        <v>163.9</v>
      </c>
      <c r="H334">
        <v>120.5</v>
      </c>
      <c r="I334">
        <v>140.84092140921399</v>
      </c>
      <c r="J334">
        <v>155.75203252032517</v>
      </c>
      <c r="K334">
        <v>141.43089430894312</v>
      </c>
      <c r="L334">
        <v>110.9249322493224</v>
      </c>
      <c r="M334">
        <v>139.5</v>
      </c>
      <c r="N334">
        <v>129</v>
      </c>
      <c r="O334">
        <v>149.08715846994548</v>
      </c>
      <c r="P334">
        <v>138.6</v>
      </c>
      <c r="Q334">
        <v>173.9</v>
      </c>
      <c r="R334">
        <v>133.1</v>
      </c>
      <c r="S334">
        <v>141.67431693989073</v>
      </c>
      <c r="T334">
        <v>139.25609756097555</v>
      </c>
      <c r="U334">
        <v>132.19999999999999</v>
      </c>
      <c r="V334">
        <v>136.68688524590166</v>
      </c>
      <c r="W334">
        <v>133.6</v>
      </c>
      <c r="X334">
        <v>127.65</v>
      </c>
      <c r="Y334">
        <v>119.69999999999999</v>
      </c>
      <c r="Z334">
        <v>129.85000000000002</v>
      </c>
      <c r="AA334">
        <v>141.13114754098362</v>
      </c>
      <c r="AB334">
        <v>155.38579234972681</v>
      </c>
      <c r="AC334">
        <v>129.64999999999998</v>
      </c>
      <c r="AD334">
        <v>170.1</v>
      </c>
    </row>
    <row r="335" spans="1:30">
      <c r="A335" t="s">
        <v>30</v>
      </c>
      <c r="B335">
        <v>2022</v>
      </c>
      <c r="C335" t="s">
        <v>38</v>
      </c>
      <c r="D335">
        <v>136.68590785907853</v>
      </c>
      <c r="E335">
        <v>156.26475409836061</v>
      </c>
      <c r="F335">
        <v>135.5</v>
      </c>
      <c r="G335">
        <v>164.6</v>
      </c>
      <c r="H335">
        <v>120.5</v>
      </c>
      <c r="I335">
        <v>140.84092140921399</v>
      </c>
      <c r="J335">
        <v>155.75203252032517</v>
      </c>
      <c r="K335">
        <v>141.43089430894312</v>
      </c>
      <c r="L335">
        <v>110.9249322493224</v>
      </c>
      <c r="M335">
        <v>139.5</v>
      </c>
      <c r="N335">
        <v>129</v>
      </c>
      <c r="O335">
        <v>149.08715846994548</v>
      </c>
      <c r="P335">
        <v>138.6</v>
      </c>
      <c r="Q335">
        <v>179.3</v>
      </c>
      <c r="R335">
        <v>133.1</v>
      </c>
      <c r="S335">
        <v>141.67431693989073</v>
      </c>
      <c r="T335">
        <v>139.25609756097555</v>
      </c>
      <c r="U335">
        <v>132.19999999999999</v>
      </c>
      <c r="V335">
        <v>136.68688524590166</v>
      </c>
      <c r="W335">
        <v>133.6</v>
      </c>
      <c r="X335">
        <v>127.65</v>
      </c>
      <c r="Y335">
        <v>119.69999999999999</v>
      </c>
      <c r="Z335">
        <v>129.85000000000002</v>
      </c>
      <c r="AA335">
        <v>141.13114754098362</v>
      </c>
      <c r="AB335">
        <v>155.38579234972681</v>
      </c>
      <c r="AC335">
        <v>129.64999999999998</v>
      </c>
      <c r="AD335">
        <v>172.5</v>
      </c>
    </row>
    <row r="336" spans="1:30">
      <c r="A336" t="s">
        <v>33</v>
      </c>
      <c r="B336">
        <v>2022</v>
      </c>
      <c r="C336" t="s">
        <v>38</v>
      </c>
      <c r="D336">
        <v>136.68590785907853</v>
      </c>
      <c r="E336">
        <v>156.26475409836061</v>
      </c>
      <c r="F336">
        <v>135.5</v>
      </c>
      <c r="G336">
        <v>165.4</v>
      </c>
      <c r="H336">
        <v>120.5</v>
      </c>
      <c r="I336">
        <v>140.84092140921399</v>
      </c>
      <c r="J336">
        <v>155.75203252032517</v>
      </c>
      <c r="K336">
        <v>141.43089430894312</v>
      </c>
      <c r="L336">
        <v>110.9249322493224</v>
      </c>
      <c r="M336">
        <v>139.5</v>
      </c>
      <c r="N336">
        <v>129</v>
      </c>
      <c r="O336">
        <v>149.08715846994548</v>
      </c>
      <c r="P336">
        <v>138.6</v>
      </c>
      <c r="Q336">
        <v>170</v>
      </c>
      <c r="R336">
        <v>133.1</v>
      </c>
      <c r="S336">
        <v>141.67431693989073</v>
      </c>
      <c r="T336">
        <v>139.25609756097555</v>
      </c>
      <c r="U336">
        <v>132.19999999999999</v>
      </c>
      <c r="V336">
        <v>136.68688524590166</v>
      </c>
      <c r="W336">
        <v>133.6</v>
      </c>
      <c r="X336">
        <v>127.65</v>
      </c>
      <c r="Y336">
        <v>119.69999999999999</v>
      </c>
      <c r="Z336">
        <v>129.85000000000002</v>
      </c>
      <c r="AA336">
        <v>141.13114754098362</v>
      </c>
      <c r="AB336">
        <v>155.38579234972681</v>
      </c>
      <c r="AC336">
        <v>129.64999999999998</v>
      </c>
      <c r="AD336">
        <v>170.8</v>
      </c>
    </row>
    <row r="337" spans="1:30">
      <c r="A337" t="s">
        <v>34</v>
      </c>
      <c r="B337">
        <v>2022</v>
      </c>
      <c r="C337" t="s">
        <v>38</v>
      </c>
      <c r="D337">
        <v>136.68590785907853</v>
      </c>
      <c r="E337">
        <v>156.26475409836061</v>
      </c>
      <c r="F337">
        <v>135.5</v>
      </c>
      <c r="G337">
        <v>164.9</v>
      </c>
      <c r="H337">
        <v>120.5</v>
      </c>
      <c r="I337">
        <v>140.84092140921399</v>
      </c>
      <c r="J337">
        <v>155.75203252032517</v>
      </c>
      <c r="K337">
        <v>141.43089430894312</v>
      </c>
      <c r="L337">
        <v>110.9249322493224</v>
      </c>
      <c r="M337">
        <v>139.5</v>
      </c>
      <c r="N337">
        <v>129</v>
      </c>
      <c r="O337">
        <v>149.08715846994548</v>
      </c>
      <c r="P337">
        <v>138.6</v>
      </c>
      <c r="Q337">
        <v>175.6</v>
      </c>
      <c r="R337">
        <v>133.1</v>
      </c>
      <c r="S337">
        <v>141.67431693989073</v>
      </c>
      <c r="T337">
        <v>139.25609756097555</v>
      </c>
      <c r="U337">
        <v>132.19999999999999</v>
      </c>
      <c r="V337">
        <v>136.68688524590166</v>
      </c>
      <c r="W337">
        <v>133.6</v>
      </c>
      <c r="X337">
        <v>127.65</v>
      </c>
      <c r="Y337">
        <v>119.69999999999999</v>
      </c>
      <c r="Z337">
        <v>129.85000000000002</v>
      </c>
      <c r="AA337">
        <v>141.13114754098362</v>
      </c>
      <c r="AB337">
        <v>155.38579234972681</v>
      </c>
      <c r="AC337">
        <v>129.64999999999998</v>
      </c>
      <c r="AD337">
        <v>171.7</v>
      </c>
    </row>
    <row r="338" spans="1:30">
      <c r="A338" t="s">
        <v>30</v>
      </c>
      <c r="B338">
        <v>2022</v>
      </c>
      <c r="C338" t="s">
        <v>39</v>
      </c>
      <c r="D338">
        <v>136.68590785907853</v>
      </c>
      <c r="E338">
        <v>156.26475409836061</v>
      </c>
      <c r="F338">
        <v>135.5</v>
      </c>
      <c r="G338">
        <v>165.4</v>
      </c>
      <c r="H338">
        <v>120.5</v>
      </c>
      <c r="I338">
        <v>140.84092140921399</v>
      </c>
      <c r="J338">
        <v>155.75203252032517</v>
      </c>
      <c r="K338">
        <v>141.43089430894312</v>
      </c>
      <c r="L338">
        <v>110.9249322493224</v>
      </c>
      <c r="M338">
        <v>139.5</v>
      </c>
      <c r="N338">
        <v>129</v>
      </c>
      <c r="O338">
        <v>149.08715846994548</v>
      </c>
      <c r="P338">
        <v>138.6</v>
      </c>
      <c r="Q338">
        <v>180.7</v>
      </c>
      <c r="R338">
        <v>133.1</v>
      </c>
      <c r="S338">
        <v>141.67431693989073</v>
      </c>
      <c r="T338">
        <v>139.25609756097555</v>
      </c>
      <c r="U338">
        <v>132.19999999999999</v>
      </c>
      <c r="V338">
        <v>136.68688524590166</v>
      </c>
      <c r="W338">
        <v>133.6</v>
      </c>
      <c r="X338">
        <v>127.65</v>
      </c>
      <c r="Y338">
        <v>119.69999999999999</v>
      </c>
      <c r="Z338">
        <v>129.85000000000002</v>
      </c>
      <c r="AA338">
        <v>141.13114754098362</v>
      </c>
      <c r="AB338">
        <v>155.38579234972681</v>
      </c>
      <c r="AC338">
        <v>129.64999999999998</v>
      </c>
      <c r="AD338">
        <v>173.6</v>
      </c>
    </row>
    <row r="339" spans="1:30">
      <c r="A339" t="s">
        <v>33</v>
      </c>
      <c r="B339">
        <v>2022</v>
      </c>
      <c r="C339" t="s">
        <v>39</v>
      </c>
      <c r="D339">
        <v>136.68590785907853</v>
      </c>
      <c r="E339">
        <v>156.26475409836061</v>
      </c>
      <c r="F339">
        <v>135.5</v>
      </c>
      <c r="G339">
        <v>166.4</v>
      </c>
      <c r="H339">
        <v>120.5</v>
      </c>
      <c r="I339">
        <v>140.84092140921399</v>
      </c>
      <c r="J339">
        <v>155.75203252032517</v>
      </c>
      <c r="K339">
        <v>141.43089430894312</v>
      </c>
      <c r="L339">
        <v>110.9249322493224</v>
      </c>
      <c r="M339">
        <v>139.5</v>
      </c>
      <c r="N339">
        <v>129</v>
      </c>
      <c r="O339">
        <v>149.08715846994548</v>
      </c>
      <c r="P339">
        <v>138.6</v>
      </c>
      <c r="Q339">
        <v>171.6</v>
      </c>
      <c r="R339">
        <v>133.1</v>
      </c>
      <c r="S339">
        <v>141.67431693989073</v>
      </c>
      <c r="T339">
        <v>139.25609756097555</v>
      </c>
      <c r="U339">
        <v>132.19999999999999</v>
      </c>
      <c r="V339">
        <v>136.68688524590166</v>
      </c>
      <c r="W339">
        <v>133.6</v>
      </c>
      <c r="X339">
        <v>127.65</v>
      </c>
      <c r="Y339">
        <v>119.69999999999999</v>
      </c>
      <c r="Z339">
        <v>129.85000000000002</v>
      </c>
      <c r="AA339">
        <v>141.13114754098362</v>
      </c>
      <c r="AB339">
        <v>155.38579234972681</v>
      </c>
      <c r="AC339">
        <v>129.64999999999998</v>
      </c>
      <c r="AD339">
        <v>171.4</v>
      </c>
    </row>
    <row r="340" spans="1:30">
      <c r="A340" t="s">
        <v>34</v>
      </c>
      <c r="B340">
        <v>2022</v>
      </c>
      <c r="C340" t="s">
        <v>39</v>
      </c>
      <c r="D340">
        <v>136.68590785907853</v>
      </c>
      <c r="E340">
        <v>156.26475409836061</v>
      </c>
      <c r="F340">
        <v>135.5</v>
      </c>
      <c r="G340">
        <v>165.8</v>
      </c>
      <c r="H340">
        <v>120.5</v>
      </c>
      <c r="I340">
        <v>140.84092140921399</v>
      </c>
      <c r="J340">
        <v>155.75203252032517</v>
      </c>
      <c r="K340">
        <v>141.43089430894312</v>
      </c>
      <c r="L340">
        <v>110.9249322493224</v>
      </c>
      <c r="M340">
        <v>139.5</v>
      </c>
      <c r="N340">
        <v>129</v>
      </c>
      <c r="O340">
        <v>149.08715846994548</v>
      </c>
      <c r="P340">
        <v>138.6</v>
      </c>
      <c r="Q340">
        <v>177.1</v>
      </c>
      <c r="R340">
        <v>133.1</v>
      </c>
      <c r="S340">
        <v>141.67431693989073</v>
      </c>
      <c r="T340">
        <v>139.25609756097555</v>
      </c>
      <c r="U340">
        <v>132.19999999999999</v>
      </c>
      <c r="V340">
        <v>136.68688524590166</v>
      </c>
      <c r="W340">
        <v>133.6</v>
      </c>
      <c r="X340">
        <v>127.65</v>
      </c>
      <c r="Y340">
        <v>119.69999999999999</v>
      </c>
      <c r="Z340">
        <v>129.85000000000002</v>
      </c>
      <c r="AA340">
        <v>141.13114754098362</v>
      </c>
      <c r="AB340">
        <v>155.38579234972681</v>
      </c>
      <c r="AC340">
        <v>129.64999999999998</v>
      </c>
      <c r="AD340">
        <v>172.6</v>
      </c>
    </row>
    <row r="341" spans="1:30">
      <c r="A341" t="s">
        <v>30</v>
      </c>
      <c r="B341">
        <v>2022</v>
      </c>
      <c r="C341" t="s">
        <v>40</v>
      </c>
      <c r="D341">
        <v>136.68590785907853</v>
      </c>
      <c r="E341">
        <v>156.26475409836061</v>
      </c>
      <c r="F341">
        <v>135.5</v>
      </c>
      <c r="G341">
        <v>166.3</v>
      </c>
      <c r="H341">
        <v>120.5</v>
      </c>
      <c r="I341">
        <v>140.84092140921399</v>
      </c>
      <c r="J341">
        <v>155.75203252032517</v>
      </c>
      <c r="K341">
        <v>141.43089430894312</v>
      </c>
      <c r="L341">
        <v>110.9249322493224</v>
      </c>
      <c r="M341">
        <v>139.5</v>
      </c>
      <c r="N341">
        <v>129</v>
      </c>
      <c r="O341">
        <v>149.08715846994548</v>
      </c>
      <c r="P341">
        <v>138.6</v>
      </c>
      <c r="Q341">
        <v>182</v>
      </c>
      <c r="R341">
        <v>133.1</v>
      </c>
      <c r="S341">
        <v>141.67431693989073</v>
      </c>
      <c r="T341">
        <v>139.25609756097555</v>
      </c>
      <c r="U341">
        <v>132.19999999999999</v>
      </c>
      <c r="V341">
        <v>136.68688524590166</v>
      </c>
      <c r="W341">
        <v>133.6</v>
      </c>
      <c r="X341">
        <v>127.65</v>
      </c>
      <c r="Y341">
        <v>119.69999999999999</v>
      </c>
      <c r="Z341">
        <v>129.85000000000002</v>
      </c>
      <c r="AA341">
        <v>141.13114754098362</v>
      </c>
      <c r="AB341">
        <v>155.38579234972681</v>
      </c>
      <c r="AC341">
        <v>129.64999999999998</v>
      </c>
      <c r="AD341">
        <v>174.3</v>
      </c>
    </row>
    <row r="342" spans="1:30">
      <c r="A342" t="s">
        <v>33</v>
      </c>
      <c r="B342">
        <v>2022</v>
      </c>
      <c r="C342" t="s">
        <v>40</v>
      </c>
      <c r="D342">
        <v>136.68590785907853</v>
      </c>
      <c r="E342">
        <v>156.26475409836061</v>
      </c>
      <c r="F342">
        <v>135.5</v>
      </c>
      <c r="G342">
        <v>167.1</v>
      </c>
      <c r="H342">
        <v>120.5</v>
      </c>
      <c r="I342">
        <v>140.84092140921399</v>
      </c>
      <c r="J342">
        <v>155.75203252032517</v>
      </c>
      <c r="K342">
        <v>141.43089430894312</v>
      </c>
      <c r="L342">
        <v>110.9249322493224</v>
      </c>
      <c r="M342">
        <v>139.5</v>
      </c>
      <c r="N342">
        <v>129</v>
      </c>
      <c r="O342">
        <v>149.08715846994548</v>
      </c>
      <c r="P342">
        <v>138.6</v>
      </c>
      <c r="Q342">
        <v>172.7</v>
      </c>
      <c r="R342">
        <v>133.1</v>
      </c>
      <c r="S342">
        <v>141.67431693989073</v>
      </c>
      <c r="T342">
        <v>139.25609756097555</v>
      </c>
      <c r="U342">
        <v>132.19999999999999</v>
      </c>
      <c r="V342">
        <v>136.68688524590166</v>
      </c>
      <c r="W342">
        <v>133.6</v>
      </c>
      <c r="X342">
        <v>127.65</v>
      </c>
      <c r="Y342">
        <v>119.69999999999999</v>
      </c>
      <c r="Z342">
        <v>129.85000000000002</v>
      </c>
      <c r="AA342">
        <v>141.13114754098362</v>
      </c>
      <c r="AB342">
        <v>155.38579234972681</v>
      </c>
      <c r="AC342">
        <v>129.64999999999998</v>
      </c>
      <c r="AD342">
        <v>172.3</v>
      </c>
    </row>
    <row r="343" spans="1:30">
      <c r="A343" t="s">
        <v>34</v>
      </c>
      <c r="B343">
        <v>2022</v>
      </c>
      <c r="C343" t="s">
        <v>40</v>
      </c>
      <c r="D343">
        <v>136.68590785907853</v>
      </c>
      <c r="E343">
        <v>156.26475409836061</v>
      </c>
      <c r="F343">
        <v>135.5</v>
      </c>
      <c r="G343">
        <v>166.6</v>
      </c>
      <c r="H343">
        <v>120.5</v>
      </c>
      <c r="I343">
        <v>140.84092140921399</v>
      </c>
      <c r="J343">
        <v>155.75203252032517</v>
      </c>
      <c r="K343">
        <v>141.43089430894312</v>
      </c>
      <c r="L343">
        <v>110.9249322493224</v>
      </c>
      <c r="M343">
        <v>139.5</v>
      </c>
      <c r="N343">
        <v>129</v>
      </c>
      <c r="O343">
        <v>149.08715846994548</v>
      </c>
      <c r="P343">
        <v>138.6</v>
      </c>
      <c r="Q343">
        <v>178.3</v>
      </c>
      <c r="R343">
        <v>133.1</v>
      </c>
      <c r="S343">
        <v>141.67431693989073</v>
      </c>
      <c r="T343">
        <v>139.25609756097555</v>
      </c>
      <c r="U343">
        <v>132.19999999999999</v>
      </c>
      <c r="V343">
        <v>136.68688524590166</v>
      </c>
      <c r="W343">
        <v>133.6</v>
      </c>
      <c r="X343">
        <v>127.65</v>
      </c>
      <c r="Y343">
        <v>119.69999999999999</v>
      </c>
      <c r="Z343">
        <v>129.85000000000002</v>
      </c>
      <c r="AA343">
        <v>141.13114754098362</v>
      </c>
      <c r="AB343">
        <v>155.38579234972681</v>
      </c>
      <c r="AC343">
        <v>129.64999999999998</v>
      </c>
      <c r="AD343">
        <v>173.4</v>
      </c>
    </row>
    <row r="344" spans="1:30">
      <c r="A344" t="s">
        <v>30</v>
      </c>
      <c r="B344">
        <v>2022</v>
      </c>
      <c r="C344" t="s">
        <v>41</v>
      </c>
      <c r="D344">
        <v>136.68590785907853</v>
      </c>
      <c r="E344">
        <v>156.26475409836061</v>
      </c>
      <c r="F344">
        <v>135.5</v>
      </c>
      <c r="G344">
        <v>167.9</v>
      </c>
      <c r="H344">
        <v>120.5</v>
      </c>
      <c r="I344">
        <v>140.84092140921399</v>
      </c>
      <c r="J344">
        <v>155.75203252032517</v>
      </c>
      <c r="K344">
        <v>141.43089430894312</v>
      </c>
      <c r="L344">
        <v>110.9249322493224</v>
      </c>
      <c r="M344">
        <v>139.5</v>
      </c>
      <c r="N344">
        <v>129</v>
      </c>
      <c r="O344">
        <v>149.08715846994548</v>
      </c>
      <c r="P344">
        <v>138.6</v>
      </c>
      <c r="Q344">
        <v>183.2</v>
      </c>
      <c r="R344">
        <v>133.1</v>
      </c>
      <c r="S344">
        <v>141.67431693989073</v>
      </c>
      <c r="T344">
        <v>139.25609756097555</v>
      </c>
      <c r="U344">
        <v>132.19999999999999</v>
      </c>
      <c r="V344">
        <v>136.68688524590166</v>
      </c>
      <c r="W344">
        <v>133.6</v>
      </c>
      <c r="X344">
        <v>127.65</v>
      </c>
      <c r="Y344">
        <v>119.69999999999999</v>
      </c>
      <c r="Z344">
        <v>129.85000000000002</v>
      </c>
      <c r="AA344">
        <v>141.13114754098362</v>
      </c>
      <c r="AB344">
        <v>155.38579234972681</v>
      </c>
      <c r="AC344">
        <v>129.64999999999998</v>
      </c>
      <c r="AD344">
        <v>175.3</v>
      </c>
    </row>
    <row r="345" spans="1:30">
      <c r="A345" t="s">
        <v>33</v>
      </c>
      <c r="B345">
        <v>2022</v>
      </c>
      <c r="C345" t="s">
        <v>41</v>
      </c>
      <c r="D345">
        <v>136.68590785907853</v>
      </c>
      <c r="E345">
        <v>156.26475409836061</v>
      </c>
      <c r="F345">
        <v>135.5</v>
      </c>
      <c r="G345">
        <v>168.4</v>
      </c>
      <c r="H345">
        <v>120.5</v>
      </c>
      <c r="I345">
        <v>140.84092140921399</v>
      </c>
      <c r="J345">
        <v>155.75203252032517</v>
      </c>
      <c r="K345">
        <v>141.43089430894312</v>
      </c>
      <c r="L345">
        <v>110.9249322493224</v>
      </c>
      <c r="M345">
        <v>139.5</v>
      </c>
      <c r="N345">
        <v>129</v>
      </c>
      <c r="O345">
        <v>149.08715846994548</v>
      </c>
      <c r="P345">
        <v>138.6</v>
      </c>
      <c r="Q345">
        <v>173.7</v>
      </c>
      <c r="R345">
        <v>133.1</v>
      </c>
      <c r="S345">
        <v>141.67431693989073</v>
      </c>
      <c r="T345">
        <v>139.25609756097555</v>
      </c>
      <c r="U345">
        <v>132.19999999999999</v>
      </c>
      <c r="V345">
        <v>136.68688524590166</v>
      </c>
      <c r="W345">
        <v>133.6</v>
      </c>
      <c r="X345">
        <v>127.65</v>
      </c>
      <c r="Y345">
        <v>119.69999999999999</v>
      </c>
      <c r="Z345">
        <v>129.85000000000002</v>
      </c>
      <c r="AA345">
        <v>141.13114754098362</v>
      </c>
      <c r="AB345">
        <v>155.38579234972681</v>
      </c>
      <c r="AC345">
        <v>129.64999999999998</v>
      </c>
      <c r="AD345">
        <v>173.1</v>
      </c>
    </row>
    <row r="346" spans="1:30">
      <c r="A346" t="s">
        <v>34</v>
      </c>
      <c r="B346">
        <v>2022</v>
      </c>
      <c r="C346" t="s">
        <v>41</v>
      </c>
      <c r="D346">
        <v>136.68590785907853</v>
      </c>
      <c r="E346">
        <v>156.26475409836061</v>
      </c>
      <c r="F346">
        <v>135.5</v>
      </c>
      <c r="G346">
        <v>168.1</v>
      </c>
      <c r="H346">
        <v>120.5</v>
      </c>
      <c r="I346">
        <v>140.84092140921399</v>
      </c>
      <c r="J346">
        <v>155.75203252032517</v>
      </c>
      <c r="K346">
        <v>141.43089430894312</v>
      </c>
      <c r="L346">
        <v>110.9249322493224</v>
      </c>
      <c r="M346">
        <v>139.5</v>
      </c>
      <c r="N346">
        <v>129</v>
      </c>
      <c r="O346">
        <v>149.08715846994548</v>
      </c>
      <c r="P346">
        <v>138.6</v>
      </c>
      <c r="Q346">
        <v>179.5</v>
      </c>
      <c r="R346">
        <v>133.1</v>
      </c>
      <c r="S346">
        <v>141.67431693989073</v>
      </c>
      <c r="T346">
        <v>139.25609756097555</v>
      </c>
      <c r="U346">
        <v>132.19999999999999</v>
      </c>
      <c r="V346">
        <v>136.68688524590166</v>
      </c>
      <c r="W346">
        <v>133.6</v>
      </c>
      <c r="X346">
        <v>127.65</v>
      </c>
      <c r="Y346">
        <v>119.69999999999999</v>
      </c>
      <c r="Z346">
        <v>129.85000000000002</v>
      </c>
      <c r="AA346">
        <v>141.13114754098362</v>
      </c>
      <c r="AB346">
        <v>155.38579234972681</v>
      </c>
      <c r="AC346">
        <v>129.64999999999998</v>
      </c>
      <c r="AD346">
        <v>174.3</v>
      </c>
    </row>
    <row r="347" spans="1:30">
      <c r="A347" t="s">
        <v>30</v>
      </c>
      <c r="B347">
        <v>2022</v>
      </c>
      <c r="C347" t="s">
        <v>42</v>
      </c>
      <c r="D347">
        <v>136.68590785907853</v>
      </c>
      <c r="E347">
        <v>156.26475409836061</v>
      </c>
      <c r="F347">
        <v>135.5</v>
      </c>
      <c r="G347">
        <v>169.5</v>
      </c>
      <c r="H347">
        <v>120.5</v>
      </c>
      <c r="I347">
        <v>140.84092140921399</v>
      </c>
      <c r="J347">
        <v>155.75203252032517</v>
      </c>
      <c r="K347">
        <v>141.43089430894312</v>
      </c>
      <c r="L347">
        <v>110.9249322493224</v>
      </c>
      <c r="M347">
        <v>139.5</v>
      </c>
      <c r="N347">
        <v>129</v>
      </c>
      <c r="O347">
        <v>149.08715846994548</v>
      </c>
      <c r="P347">
        <v>138.6</v>
      </c>
      <c r="Q347">
        <v>184.7</v>
      </c>
      <c r="R347">
        <v>133.1</v>
      </c>
      <c r="S347">
        <v>141.67431693989073</v>
      </c>
      <c r="T347">
        <v>139.25609756097555</v>
      </c>
      <c r="U347">
        <v>132.19999999999999</v>
      </c>
      <c r="V347">
        <v>136.68688524590166</v>
      </c>
      <c r="W347">
        <v>133.6</v>
      </c>
      <c r="X347">
        <v>127.65</v>
      </c>
      <c r="Y347">
        <v>119.69999999999999</v>
      </c>
      <c r="Z347">
        <v>129.85000000000002</v>
      </c>
      <c r="AA347">
        <v>141.13114754098362</v>
      </c>
      <c r="AB347">
        <v>155.38579234972681</v>
      </c>
      <c r="AC347">
        <v>129.64999999999998</v>
      </c>
      <c r="AD347">
        <v>176.4</v>
      </c>
    </row>
    <row r="348" spans="1:30">
      <c r="A348" t="s">
        <v>33</v>
      </c>
      <c r="B348">
        <v>2022</v>
      </c>
      <c r="C348" t="s">
        <v>42</v>
      </c>
      <c r="D348">
        <v>136.68590785907853</v>
      </c>
      <c r="E348">
        <v>156.26475409836061</v>
      </c>
      <c r="F348">
        <v>135.5</v>
      </c>
      <c r="G348">
        <v>170.1</v>
      </c>
      <c r="H348">
        <v>120.5</v>
      </c>
      <c r="I348">
        <v>140.84092140921399</v>
      </c>
      <c r="J348">
        <v>155.75203252032517</v>
      </c>
      <c r="K348">
        <v>141.43089430894312</v>
      </c>
      <c r="L348">
        <v>110.9249322493224</v>
      </c>
      <c r="M348">
        <v>139.5</v>
      </c>
      <c r="N348">
        <v>129</v>
      </c>
      <c r="O348">
        <v>149.08715846994548</v>
      </c>
      <c r="P348">
        <v>138.6</v>
      </c>
      <c r="Q348">
        <v>175</v>
      </c>
      <c r="R348">
        <v>133.1</v>
      </c>
      <c r="S348">
        <v>141.67431693989073</v>
      </c>
      <c r="T348">
        <v>139.25609756097555</v>
      </c>
      <c r="U348">
        <v>132.19999999999999</v>
      </c>
      <c r="V348">
        <v>136.68688524590166</v>
      </c>
      <c r="W348">
        <v>133.6</v>
      </c>
      <c r="X348">
        <v>127.65</v>
      </c>
      <c r="Y348">
        <v>119.69999999999999</v>
      </c>
      <c r="Z348">
        <v>129.85000000000002</v>
      </c>
      <c r="AA348">
        <v>141.13114754098362</v>
      </c>
      <c r="AB348">
        <v>155.38579234972681</v>
      </c>
      <c r="AC348">
        <v>129.64999999999998</v>
      </c>
      <c r="AD348">
        <v>174.1</v>
      </c>
    </row>
    <row r="349" spans="1:30">
      <c r="A349" t="s">
        <v>34</v>
      </c>
      <c r="B349">
        <v>2022</v>
      </c>
      <c r="C349" t="s">
        <v>42</v>
      </c>
      <c r="D349">
        <v>136.68590785907853</v>
      </c>
      <c r="E349">
        <v>156.26475409836061</v>
      </c>
      <c r="F349">
        <v>135.5</v>
      </c>
      <c r="G349">
        <v>169.7</v>
      </c>
      <c r="H349">
        <v>120.5</v>
      </c>
      <c r="I349">
        <v>140.84092140921399</v>
      </c>
      <c r="J349">
        <v>155.75203252032517</v>
      </c>
      <c r="K349">
        <v>141.43089430894312</v>
      </c>
      <c r="L349">
        <v>110.9249322493224</v>
      </c>
      <c r="M349">
        <v>139.5</v>
      </c>
      <c r="N349">
        <v>129</v>
      </c>
      <c r="O349">
        <v>149.08715846994548</v>
      </c>
      <c r="P349">
        <v>138.6</v>
      </c>
      <c r="Q349">
        <v>180.9</v>
      </c>
      <c r="R349">
        <v>133.1</v>
      </c>
      <c r="S349">
        <v>141.67431693989073</v>
      </c>
      <c r="T349">
        <v>139.25609756097555</v>
      </c>
      <c r="U349">
        <v>132.19999999999999</v>
      </c>
      <c r="V349">
        <v>136.68688524590166</v>
      </c>
      <c r="W349">
        <v>133.6</v>
      </c>
      <c r="X349">
        <v>127.65</v>
      </c>
      <c r="Y349">
        <v>119.69999999999999</v>
      </c>
      <c r="Z349">
        <v>129.85000000000002</v>
      </c>
      <c r="AA349">
        <v>141.13114754098362</v>
      </c>
      <c r="AB349">
        <v>155.38579234972681</v>
      </c>
      <c r="AC349">
        <v>129.64999999999998</v>
      </c>
      <c r="AD349">
        <v>175.3</v>
      </c>
    </row>
    <row r="350" spans="1:30">
      <c r="A350" t="s">
        <v>30</v>
      </c>
      <c r="B350">
        <v>2022</v>
      </c>
      <c r="C350" t="s">
        <v>43</v>
      </c>
      <c r="D350">
        <v>136.68590785907853</v>
      </c>
      <c r="E350">
        <v>156.26475409836061</v>
      </c>
      <c r="F350">
        <v>135.5</v>
      </c>
      <c r="G350">
        <v>170.9</v>
      </c>
      <c r="H350">
        <v>120.5</v>
      </c>
      <c r="I350">
        <v>140.84092140921399</v>
      </c>
      <c r="J350">
        <v>155.75203252032517</v>
      </c>
      <c r="K350">
        <v>141.43089430894312</v>
      </c>
      <c r="L350">
        <v>110.9249322493224</v>
      </c>
      <c r="M350">
        <v>139.5</v>
      </c>
      <c r="N350">
        <v>129</v>
      </c>
      <c r="O350">
        <v>149.08715846994548</v>
      </c>
      <c r="P350">
        <v>138.6</v>
      </c>
      <c r="Q350">
        <v>186.1</v>
      </c>
      <c r="R350">
        <v>133.1</v>
      </c>
      <c r="S350">
        <v>141.67431693989073</v>
      </c>
      <c r="T350">
        <v>139.25609756097555</v>
      </c>
      <c r="U350">
        <v>132.19999999999999</v>
      </c>
      <c r="V350">
        <v>136.68688524590166</v>
      </c>
      <c r="W350">
        <v>133.6</v>
      </c>
      <c r="X350">
        <v>127.65</v>
      </c>
      <c r="Y350">
        <v>119.69999999999999</v>
      </c>
      <c r="Z350">
        <v>129.85000000000002</v>
      </c>
      <c r="AA350">
        <v>141.13114754098362</v>
      </c>
      <c r="AB350">
        <v>155.38579234972681</v>
      </c>
      <c r="AC350">
        <v>129.64999999999998</v>
      </c>
      <c r="AD350">
        <v>177.9</v>
      </c>
    </row>
    <row r="351" spans="1:30">
      <c r="A351" t="s">
        <v>33</v>
      </c>
      <c r="B351">
        <v>2022</v>
      </c>
      <c r="C351" t="s">
        <v>43</v>
      </c>
      <c r="D351">
        <v>136.68590785907853</v>
      </c>
      <c r="E351">
        <v>156.26475409836061</v>
      </c>
      <c r="F351">
        <v>135.5</v>
      </c>
      <c r="G351">
        <v>171</v>
      </c>
      <c r="H351">
        <v>120.5</v>
      </c>
      <c r="I351">
        <v>140.84092140921399</v>
      </c>
      <c r="J351">
        <v>155.75203252032517</v>
      </c>
      <c r="K351">
        <v>141.43089430894312</v>
      </c>
      <c r="L351">
        <v>110.9249322493224</v>
      </c>
      <c r="M351">
        <v>139.5</v>
      </c>
      <c r="N351">
        <v>129</v>
      </c>
      <c r="O351">
        <v>149.08715846994548</v>
      </c>
      <c r="P351">
        <v>138.6</v>
      </c>
      <c r="Q351">
        <v>175.5</v>
      </c>
      <c r="R351">
        <v>133.1</v>
      </c>
      <c r="S351">
        <v>141.67431693989073</v>
      </c>
      <c r="T351">
        <v>139.25609756097555</v>
      </c>
      <c r="U351">
        <v>132.19999999999999</v>
      </c>
      <c r="V351">
        <v>136.68688524590166</v>
      </c>
      <c r="W351">
        <v>133.6</v>
      </c>
      <c r="X351">
        <v>127.65</v>
      </c>
      <c r="Y351">
        <v>119.69999999999999</v>
      </c>
      <c r="Z351">
        <v>129.85000000000002</v>
      </c>
      <c r="AA351">
        <v>141.13114754098362</v>
      </c>
      <c r="AB351">
        <v>155.38579234972681</v>
      </c>
      <c r="AC351">
        <v>129.64999999999998</v>
      </c>
      <c r="AD351">
        <v>175.3</v>
      </c>
    </row>
    <row r="352" spans="1:30">
      <c r="A352" t="s">
        <v>34</v>
      </c>
      <c r="B352">
        <v>2022</v>
      </c>
      <c r="C352" t="s">
        <v>43</v>
      </c>
      <c r="D352">
        <v>136.68590785907853</v>
      </c>
      <c r="E352">
        <v>156.26475409836061</v>
      </c>
      <c r="F352">
        <v>135.5</v>
      </c>
      <c r="G352">
        <v>170.9</v>
      </c>
      <c r="H352">
        <v>120.5</v>
      </c>
      <c r="I352">
        <v>140.84092140921399</v>
      </c>
      <c r="J352">
        <v>155.75203252032517</v>
      </c>
      <c r="K352">
        <v>141.43089430894312</v>
      </c>
      <c r="L352">
        <v>110.9249322493224</v>
      </c>
      <c r="M352">
        <v>139.5</v>
      </c>
      <c r="N352">
        <v>129</v>
      </c>
      <c r="O352">
        <v>149.08715846994548</v>
      </c>
      <c r="P352">
        <v>138.6</v>
      </c>
      <c r="Q352">
        <v>181.9</v>
      </c>
      <c r="R352">
        <v>133.1</v>
      </c>
      <c r="S352">
        <v>141.67431693989073</v>
      </c>
      <c r="T352">
        <v>139.25609756097555</v>
      </c>
      <c r="U352">
        <v>132.19999999999999</v>
      </c>
      <c r="V352">
        <v>136.68688524590166</v>
      </c>
      <c r="W352">
        <v>133.6</v>
      </c>
      <c r="X352">
        <v>127.65</v>
      </c>
      <c r="Y352">
        <v>119.69999999999999</v>
      </c>
      <c r="Z352">
        <v>129.85000000000002</v>
      </c>
      <c r="AA352">
        <v>141.13114754098362</v>
      </c>
      <c r="AB352">
        <v>155.38579234972681</v>
      </c>
      <c r="AC352">
        <v>129.64999999999998</v>
      </c>
      <c r="AD352">
        <v>176.7</v>
      </c>
    </row>
    <row r="353" spans="1:30">
      <c r="A353" t="s">
        <v>30</v>
      </c>
      <c r="B353">
        <v>2022</v>
      </c>
      <c r="C353" t="s">
        <v>45</v>
      </c>
      <c r="D353">
        <v>136.68590785907853</v>
      </c>
      <c r="E353">
        <v>156.26475409836061</v>
      </c>
      <c r="F353">
        <v>135.5</v>
      </c>
      <c r="G353">
        <v>172.3</v>
      </c>
      <c r="H353">
        <v>120.5</v>
      </c>
      <c r="I353">
        <v>140.84092140921399</v>
      </c>
      <c r="J353">
        <v>155.75203252032517</v>
      </c>
      <c r="K353">
        <v>141.43089430894312</v>
      </c>
      <c r="L353">
        <v>110.9249322493224</v>
      </c>
      <c r="M353">
        <v>139.5</v>
      </c>
      <c r="N353">
        <v>129</v>
      </c>
      <c r="O353">
        <v>149.08715846994548</v>
      </c>
      <c r="P353">
        <v>138.6</v>
      </c>
      <c r="Q353">
        <v>187.2</v>
      </c>
      <c r="R353">
        <v>133.1</v>
      </c>
      <c r="S353">
        <v>141.67431693989073</v>
      </c>
      <c r="T353">
        <v>139.25609756097555</v>
      </c>
      <c r="U353">
        <v>132.19999999999999</v>
      </c>
      <c r="V353">
        <v>136.68688524590166</v>
      </c>
      <c r="W353">
        <v>133.6</v>
      </c>
      <c r="X353">
        <v>127.65</v>
      </c>
      <c r="Y353">
        <v>119.69999999999999</v>
      </c>
      <c r="Z353">
        <v>129.85000000000002</v>
      </c>
      <c r="AA353">
        <v>141.13114754098362</v>
      </c>
      <c r="AB353">
        <v>155.38579234972681</v>
      </c>
      <c r="AC353">
        <v>129.64999999999998</v>
      </c>
      <c r="AD353">
        <v>177.8</v>
      </c>
    </row>
    <row r="354" spans="1:30">
      <c r="A354" t="s">
        <v>33</v>
      </c>
      <c r="B354">
        <v>2022</v>
      </c>
      <c r="C354" t="s">
        <v>45</v>
      </c>
      <c r="D354">
        <v>136.68590785907853</v>
      </c>
      <c r="E354">
        <v>156.26475409836061</v>
      </c>
      <c r="F354">
        <v>135.5</v>
      </c>
      <c r="G354">
        <v>172.3</v>
      </c>
      <c r="H354">
        <v>120.5</v>
      </c>
      <c r="I354">
        <v>140.84092140921399</v>
      </c>
      <c r="J354">
        <v>155.75203252032517</v>
      </c>
      <c r="K354">
        <v>141.43089430894312</v>
      </c>
      <c r="L354">
        <v>110.9249322493224</v>
      </c>
      <c r="M354">
        <v>139.5</v>
      </c>
      <c r="N354">
        <v>129</v>
      </c>
      <c r="O354">
        <v>149.08715846994548</v>
      </c>
      <c r="P354">
        <v>138.6</v>
      </c>
      <c r="Q354">
        <v>176.7</v>
      </c>
      <c r="R354">
        <v>133.1</v>
      </c>
      <c r="S354">
        <v>141.67431693989073</v>
      </c>
      <c r="T354">
        <v>139.25609756097555</v>
      </c>
      <c r="U354">
        <v>132.19999999999999</v>
      </c>
      <c r="V354">
        <v>136.68688524590166</v>
      </c>
      <c r="W354">
        <v>133.6</v>
      </c>
      <c r="X354">
        <v>127.65</v>
      </c>
      <c r="Y354">
        <v>119.69999999999999</v>
      </c>
      <c r="Z354">
        <v>129.85000000000002</v>
      </c>
      <c r="AA354">
        <v>141.13114754098362</v>
      </c>
      <c r="AB354">
        <v>155.38579234972681</v>
      </c>
      <c r="AC354">
        <v>129.64999999999998</v>
      </c>
      <c r="AD354">
        <v>174.1</v>
      </c>
    </row>
    <row r="355" spans="1:30">
      <c r="A355" t="s">
        <v>34</v>
      </c>
      <c r="B355">
        <v>2022</v>
      </c>
      <c r="C355" t="s">
        <v>45</v>
      </c>
      <c r="D355">
        <v>136.68590785907853</v>
      </c>
      <c r="E355">
        <v>156.26475409836061</v>
      </c>
      <c r="F355">
        <v>135.5</v>
      </c>
      <c r="G355">
        <v>172.3</v>
      </c>
      <c r="H355">
        <v>120.5</v>
      </c>
      <c r="I355">
        <v>140.84092140921399</v>
      </c>
      <c r="J355">
        <v>155.75203252032517</v>
      </c>
      <c r="K355">
        <v>141.43089430894312</v>
      </c>
      <c r="L355">
        <v>110.9249322493224</v>
      </c>
      <c r="M355">
        <v>139.5</v>
      </c>
      <c r="N355">
        <v>129</v>
      </c>
      <c r="O355">
        <v>149.08715846994548</v>
      </c>
      <c r="P355">
        <v>138.6</v>
      </c>
      <c r="Q355">
        <v>183.1</v>
      </c>
      <c r="R355">
        <v>133.1</v>
      </c>
      <c r="S355">
        <v>141.67431693989073</v>
      </c>
      <c r="T355">
        <v>139.25609756097555</v>
      </c>
      <c r="U355">
        <v>132.19999999999999</v>
      </c>
      <c r="V355">
        <v>136.68688524590166</v>
      </c>
      <c r="W355">
        <v>133.6</v>
      </c>
      <c r="X355">
        <v>127.65</v>
      </c>
      <c r="Y355">
        <v>119.69999999999999</v>
      </c>
      <c r="Z355">
        <v>129.85000000000002</v>
      </c>
      <c r="AA355">
        <v>141.13114754098362</v>
      </c>
      <c r="AB355">
        <v>155.38579234972681</v>
      </c>
      <c r="AC355">
        <v>129.64999999999998</v>
      </c>
      <c r="AD355">
        <v>176.5</v>
      </c>
    </row>
    <row r="356" spans="1:30">
      <c r="A356" t="s">
        <v>30</v>
      </c>
      <c r="B356">
        <v>2022</v>
      </c>
      <c r="C356" t="s">
        <v>46</v>
      </c>
      <c r="D356">
        <v>136.68590785907853</v>
      </c>
      <c r="E356">
        <v>156.26475409836061</v>
      </c>
      <c r="F356">
        <v>135.5</v>
      </c>
      <c r="G356">
        <v>173.4</v>
      </c>
      <c r="H356">
        <v>120.5</v>
      </c>
      <c r="I356">
        <v>140.84092140921399</v>
      </c>
      <c r="J356">
        <v>155.75203252032517</v>
      </c>
      <c r="K356">
        <v>141.43089430894312</v>
      </c>
      <c r="L356">
        <v>110.9249322493224</v>
      </c>
      <c r="M356">
        <v>139.5</v>
      </c>
      <c r="N356">
        <v>129</v>
      </c>
      <c r="O356">
        <v>149.08715846994548</v>
      </c>
      <c r="P356">
        <v>138.6</v>
      </c>
      <c r="Q356">
        <v>188.1</v>
      </c>
      <c r="R356">
        <v>133.1</v>
      </c>
      <c r="S356">
        <v>141.67431693989073</v>
      </c>
      <c r="T356">
        <v>139.25609756097555</v>
      </c>
      <c r="U356">
        <v>132.19999999999999</v>
      </c>
      <c r="V356">
        <v>136.68688524590166</v>
      </c>
      <c r="W356">
        <v>133.6</v>
      </c>
      <c r="X356">
        <v>127.65</v>
      </c>
      <c r="Y356">
        <v>119.69999999999999</v>
      </c>
      <c r="Z356">
        <v>129.85000000000002</v>
      </c>
      <c r="AA356">
        <v>141.13114754098362</v>
      </c>
      <c r="AB356">
        <v>155.38579234972681</v>
      </c>
      <c r="AC356">
        <v>129.64999999999998</v>
      </c>
      <c r="AD356">
        <v>177.1</v>
      </c>
    </row>
    <row r="357" spans="1:30">
      <c r="A357" t="s">
        <v>33</v>
      </c>
      <c r="B357">
        <v>2022</v>
      </c>
      <c r="C357" t="s">
        <v>46</v>
      </c>
      <c r="D357">
        <v>136.68590785907853</v>
      </c>
      <c r="E357">
        <v>156.26475409836061</v>
      </c>
      <c r="F357">
        <v>135.5</v>
      </c>
      <c r="G357">
        <v>173.9</v>
      </c>
      <c r="H357">
        <v>120.5</v>
      </c>
      <c r="I357">
        <v>140.84092140921399</v>
      </c>
      <c r="J357">
        <v>155.75203252032517</v>
      </c>
      <c r="K357">
        <v>141.43089430894312</v>
      </c>
      <c r="L357">
        <v>110.9249322493224</v>
      </c>
      <c r="M357">
        <v>139.5</v>
      </c>
      <c r="N357">
        <v>129</v>
      </c>
      <c r="O357">
        <v>149.08715846994548</v>
      </c>
      <c r="P357">
        <v>138.6</v>
      </c>
      <c r="Q357">
        <v>177.7</v>
      </c>
      <c r="R357">
        <v>133.1</v>
      </c>
      <c r="S357">
        <v>141.67431693989073</v>
      </c>
      <c r="T357">
        <v>139.25609756097555</v>
      </c>
      <c r="U357">
        <v>132.19999999999999</v>
      </c>
      <c r="V357">
        <v>136.68688524590166</v>
      </c>
      <c r="W357">
        <v>133.6</v>
      </c>
      <c r="X357">
        <v>127.65</v>
      </c>
      <c r="Y357">
        <v>119.69999999999999</v>
      </c>
      <c r="Z357">
        <v>129.85000000000002</v>
      </c>
      <c r="AA357">
        <v>141.13114754098362</v>
      </c>
      <c r="AB357">
        <v>155.38579234972681</v>
      </c>
      <c r="AC357">
        <v>129.64999999999998</v>
      </c>
      <c r="AD357">
        <v>174.1</v>
      </c>
    </row>
    <row r="358" spans="1:30">
      <c r="A358" t="s">
        <v>34</v>
      </c>
      <c r="B358">
        <v>2022</v>
      </c>
      <c r="C358" t="s">
        <v>46</v>
      </c>
      <c r="D358">
        <v>136.68590785907853</v>
      </c>
      <c r="E358">
        <v>156.26475409836061</v>
      </c>
      <c r="F358">
        <v>135.5</v>
      </c>
      <c r="G358">
        <v>173.6</v>
      </c>
      <c r="H358">
        <v>120.5</v>
      </c>
      <c r="I358">
        <v>140.84092140921399</v>
      </c>
      <c r="J358">
        <v>155.75203252032517</v>
      </c>
      <c r="K358">
        <v>141.43089430894312</v>
      </c>
      <c r="L358">
        <v>110.9249322493224</v>
      </c>
      <c r="M358">
        <v>139.5</v>
      </c>
      <c r="N358">
        <v>129</v>
      </c>
      <c r="O358">
        <v>149.08715846994548</v>
      </c>
      <c r="P358">
        <v>138.6</v>
      </c>
      <c r="Q358">
        <v>184</v>
      </c>
      <c r="R358">
        <v>133.1</v>
      </c>
      <c r="S358">
        <v>141.67431693989073</v>
      </c>
      <c r="T358">
        <v>139.25609756097555</v>
      </c>
      <c r="U358">
        <v>132.19999999999999</v>
      </c>
      <c r="V358">
        <v>136.68688524590166</v>
      </c>
      <c r="W358">
        <v>133.6</v>
      </c>
      <c r="X358">
        <v>127.65</v>
      </c>
      <c r="Y358">
        <v>119.69999999999999</v>
      </c>
      <c r="Z358">
        <v>129.85000000000002</v>
      </c>
      <c r="AA358">
        <v>141.13114754098362</v>
      </c>
      <c r="AB358">
        <v>155.38579234972681</v>
      </c>
      <c r="AC358">
        <v>129.64999999999998</v>
      </c>
      <c r="AD358">
        <v>175.7</v>
      </c>
    </row>
    <row r="359" spans="1:30">
      <c r="A359" t="s">
        <v>30</v>
      </c>
      <c r="B359">
        <v>2023</v>
      </c>
      <c r="C359" t="s">
        <v>31</v>
      </c>
      <c r="D359">
        <v>136.68590785907853</v>
      </c>
      <c r="E359">
        <v>156.26475409836061</v>
      </c>
      <c r="F359">
        <v>135.5</v>
      </c>
      <c r="G359">
        <v>174.3</v>
      </c>
      <c r="H359">
        <v>120.5</v>
      </c>
      <c r="I359">
        <v>140.84092140921399</v>
      </c>
      <c r="J359">
        <v>155.75203252032517</v>
      </c>
      <c r="K359">
        <v>141.43089430894312</v>
      </c>
      <c r="L359">
        <v>110.9249322493224</v>
      </c>
      <c r="M359">
        <v>139.5</v>
      </c>
      <c r="N359">
        <v>129</v>
      </c>
      <c r="O359">
        <v>149.08715846994548</v>
      </c>
      <c r="P359">
        <v>138.6</v>
      </c>
      <c r="Q359">
        <v>189</v>
      </c>
      <c r="R359">
        <v>133.1</v>
      </c>
      <c r="S359">
        <v>141.67431693989073</v>
      </c>
      <c r="T359">
        <v>139.25609756097555</v>
      </c>
      <c r="U359">
        <v>132.19999999999999</v>
      </c>
      <c r="V359">
        <v>136.68688524590166</v>
      </c>
      <c r="W359">
        <v>133.6</v>
      </c>
      <c r="X359">
        <v>127.65</v>
      </c>
      <c r="Y359">
        <v>119.69999999999999</v>
      </c>
      <c r="Z359">
        <v>129.85000000000002</v>
      </c>
      <c r="AA359">
        <v>141.13114754098362</v>
      </c>
      <c r="AB359">
        <v>155.38579234972681</v>
      </c>
      <c r="AC359">
        <v>129.64999999999998</v>
      </c>
      <c r="AD359">
        <v>177.8</v>
      </c>
    </row>
    <row r="360" spans="1:30">
      <c r="A360" t="s">
        <v>33</v>
      </c>
      <c r="B360">
        <v>2023</v>
      </c>
      <c r="C360" t="s">
        <v>31</v>
      </c>
      <c r="D360">
        <v>136.68590785907853</v>
      </c>
      <c r="E360">
        <v>156.26475409836061</v>
      </c>
      <c r="F360">
        <v>135.5</v>
      </c>
      <c r="G360">
        <v>175.2</v>
      </c>
      <c r="H360">
        <v>120.5</v>
      </c>
      <c r="I360">
        <v>140.84092140921399</v>
      </c>
      <c r="J360">
        <v>155.75203252032517</v>
      </c>
      <c r="K360">
        <v>141.43089430894312</v>
      </c>
      <c r="L360">
        <v>110.9249322493224</v>
      </c>
      <c r="M360">
        <v>139.5</v>
      </c>
      <c r="N360">
        <v>129</v>
      </c>
      <c r="O360">
        <v>149.08715846994548</v>
      </c>
      <c r="P360">
        <v>138.6</v>
      </c>
      <c r="Q360">
        <v>178.7</v>
      </c>
      <c r="R360">
        <v>133.1</v>
      </c>
      <c r="S360">
        <v>141.67431693989073</v>
      </c>
      <c r="T360">
        <v>139.25609756097555</v>
      </c>
      <c r="U360">
        <v>132.19999999999999</v>
      </c>
      <c r="V360">
        <v>136.68688524590166</v>
      </c>
      <c r="W360">
        <v>133.6</v>
      </c>
      <c r="X360">
        <v>127.65</v>
      </c>
      <c r="Y360">
        <v>119.69999999999999</v>
      </c>
      <c r="Z360">
        <v>129.85000000000002</v>
      </c>
      <c r="AA360">
        <v>141.13114754098362</v>
      </c>
      <c r="AB360">
        <v>155.38579234972681</v>
      </c>
      <c r="AC360">
        <v>129.64999999999998</v>
      </c>
      <c r="AD360">
        <v>174.9</v>
      </c>
    </row>
    <row r="361" spans="1:30">
      <c r="A361" t="s">
        <v>34</v>
      </c>
      <c r="B361">
        <v>2023</v>
      </c>
      <c r="C361" t="s">
        <v>31</v>
      </c>
      <c r="D361">
        <v>136.68590785907853</v>
      </c>
      <c r="E361">
        <v>156.26475409836061</v>
      </c>
      <c r="F361">
        <v>135.5</v>
      </c>
      <c r="G361">
        <v>174.6</v>
      </c>
      <c r="H361">
        <v>120.5</v>
      </c>
      <c r="I361">
        <v>140.84092140921399</v>
      </c>
      <c r="J361">
        <v>155.75203252032517</v>
      </c>
      <c r="K361">
        <v>141.43089430894312</v>
      </c>
      <c r="L361">
        <v>110.9249322493224</v>
      </c>
      <c r="M361">
        <v>139.5</v>
      </c>
      <c r="N361">
        <v>129</v>
      </c>
      <c r="O361">
        <v>149.08715846994548</v>
      </c>
      <c r="P361">
        <v>138.6</v>
      </c>
      <c r="Q361">
        <v>184.9</v>
      </c>
      <c r="R361">
        <v>133.1</v>
      </c>
      <c r="S361">
        <v>141.67431693989073</v>
      </c>
      <c r="T361">
        <v>139.25609756097555</v>
      </c>
      <c r="U361">
        <v>132.19999999999999</v>
      </c>
      <c r="V361">
        <v>136.68688524590166</v>
      </c>
      <c r="W361">
        <v>133.6</v>
      </c>
      <c r="X361">
        <v>127.65</v>
      </c>
      <c r="Y361">
        <v>119.69999999999999</v>
      </c>
      <c r="Z361">
        <v>129.85000000000002</v>
      </c>
      <c r="AA361">
        <v>141.13114754098362</v>
      </c>
      <c r="AB361">
        <v>155.38579234972681</v>
      </c>
      <c r="AC361">
        <v>129.64999999999998</v>
      </c>
      <c r="AD361">
        <v>176.5</v>
      </c>
    </row>
    <row r="362" spans="1:30">
      <c r="A362" t="s">
        <v>30</v>
      </c>
      <c r="B362">
        <v>2023</v>
      </c>
      <c r="C362" t="s">
        <v>35</v>
      </c>
      <c r="D362">
        <v>136.68590785907853</v>
      </c>
      <c r="E362">
        <v>156.26475409836061</v>
      </c>
      <c r="F362">
        <v>135.5</v>
      </c>
      <c r="G362">
        <v>177</v>
      </c>
      <c r="H362">
        <v>120.5</v>
      </c>
      <c r="I362">
        <v>140.84092140921399</v>
      </c>
      <c r="J362">
        <v>155.75203252032517</v>
      </c>
      <c r="K362">
        <v>141.43089430894312</v>
      </c>
      <c r="L362">
        <v>110.9249322493224</v>
      </c>
      <c r="M362">
        <v>139.5</v>
      </c>
      <c r="N362">
        <v>129</v>
      </c>
      <c r="O362">
        <v>149.08715846994548</v>
      </c>
      <c r="P362">
        <v>138.6</v>
      </c>
      <c r="Q362">
        <v>190</v>
      </c>
      <c r="R362">
        <v>133.1</v>
      </c>
      <c r="S362">
        <v>141.67431693989073</v>
      </c>
      <c r="T362">
        <v>139.25609756097555</v>
      </c>
      <c r="U362">
        <v>132.19999999999999</v>
      </c>
      <c r="V362">
        <v>136.68688524590166</v>
      </c>
      <c r="W362">
        <v>133.6</v>
      </c>
      <c r="X362">
        <v>127.65</v>
      </c>
      <c r="Y362">
        <v>119.69999999999999</v>
      </c>
      <c r="Z362">
        <v>129.85000000000002</v>
      </c>
      <c r="AA362">
        <v>141.13114754098362</v>
      </c>
      <c r="AB362">
        <v>155.38579234972681</v>
      </c>
      <c r="AC362">
        <v>129.64999999999998</v>
      </c>
      <c r="AD362">
        <v>178</v>
      </c>
    </row>
    <row r="363" spans="1:30">
      <c r="A363" t="s">
        <v>33</v>
      </c>
      <c r="B363">
        <v>2023</v>
      </c>
      <c r="C363" t="s">
        <v>35</v>
      </c>
      <c r="D363">
        <v>136.68590785907853</v>
      </c>
      <c r="E363">
        <v>156.26475409836061</v>
      </c>
      <c r="F363">
        <v>135.5</v>
      </c>
      <c r="G363">
        <v>177.9</v>
      </c>
      <c r="H363">
        <v>120.5</v>
      </c>
      <c r="I363">
        <v>140.84092140921399</v>
      </c>
      <c r="J363">
        <v>155.75203252032517</v>
      </c>
      <c r="K363">
        <v>141.43089430894312</v>
      </c>
      <c r="L363">
        <v>110.9249322493224</v>
      </c>
      <c r="M363">
        <v>139.5</v>
      </c>
      <c r="N363">
        <v>129</v>
      </c>
      <c r="O363">
        <v>149.08715846994548</v>
      </c>
      <c r="P363">
        <v>138.6</v>
      </c>
      <c r="Q363">
        <v>180.3</v>
      </c>
      <c r="R363">
        <v>133.1</v>
      </c>
      <c r="S363">
        <v>141.67431693989073</v>
      </c>
      <c r="T363">
        <v>139.25609756097555</v>
      </c>
      <c r="U363">
        <v>132.19999999999999</v>
      </c>
      <c r="V363">
        <v>136.68688524590166</v>
      </c>
      <c r="W363">
        <v>133.6</v>
      </c>
      <c r="X363">
        <v>127.65</v>
      </c>
      <c r="Y363">
        <v>119.69999999999999</v>
      </c>
      <c r="Z363">
        <v>129.85000000000002</v>
      </c>
      <c r="AA363">
        <v>141.13114754098362</v>
      </c>
      <c r="AB363">
        <v>155.38579234972681</v>
      </c>
      <c r="AC363">
        <v>129.64999999999998</v>
      </c>
      <c r="AD363">
        <v>176.3</v>
      </c>
    </row>
    <row r="364" spans="1:30">
      <c r="A364" t="s">
        <v>34</v>
      </c>
      <c r="B364">
        <v>2023</v>
      </c>
      <c r="C364" t="s">
        <v>35</v>
      </c>
      <c r="D364">
        <v>136.68590785907853</v>
      </c>
      <c r="E364">
        <v>156.26475409836061</v>
      </c>
      <c r="F364">
        <v>135.5</v>
      </c>
      <c r="G364">
        <v>177.3</v>
      </c>
      <c r="H364">
        <v>120.5</v>
      </c>
      <c r="I364">
        <v>140.84092140921399</v>
      </c>
      <c r="J364">
        <v>155.75203252032517</v>
      </c>
      <c r="K364">
        <v>141.43089430894312</v>
      </c>
      <c r="L364">
        <v>110.9249322493224</v>
      </c>
      <c r="M364">
        <v>139.5</v>
      </c>
      <c r="N364">
        <v>129</v>
      </c>
      <c r="O364">
        <v>149.08715846994548</v>
      </c>
      <c r="P364">
        <v>138.6</v>
      </c>
      <c r="Q364">
        <v>186.2</v>
      </c>
      <c r="R364">
        <v>133.1</v>
      </c>
      <c r="S364">
        <v>141.67431693989073</v>
      </c>
      <c r="T364">
        <v>139.25609756097555</v>
      </c>
      <c r="U364">
        <v>132.19999999999999</v>
      </c>
      <c r="V364">
        <v>136.68688524590166</v>
      </c>
      <c r="W364">
        <v>133.6</v>
      </c>
      <c r="X364">
        <v>127.65</v>
      </c>
      <c r="Y364">
        <v>119.69999999999999</v>
      </c>
      <c r="Z364">
        <v>129.85000000000002</v>
      </c>
      <c r="AA364">
        <v>141.13114754098362</v>
      </c>
      <c r="AB364">
        <v>155.38579234972681</v>
      </c>
      <c r="AC364">
        <v>129.64999999999998</v>
      </c>
      <c r="AD364">
        <v>177.2</v>
      </c>
    </row>
    <row r="365" spans="1:30">
      <c r="A365" t="s">
        <v>30</v>
      </c>
      <c r="B365">
        <v>2023</v>
      </c>
      <c r="C365" t="s">
        <v>36</v>
      </c>
      <c r="D365">
        <v>136.68590785907853</v>
      </c>
      <c r="E365">
        <v>156.26475409836061</v>
      </c>
      <c r="F365">
        <v>135.5</v>
      </c>
      <c r="G365">
        <v>177</v>
      </c>
      <c r="H365">
        <v>120.5</v>
      </c>
      <c r="I365">
        <v>140.84092140921399</v>
      </c>
      <c r="J365">
        <v>155.75203252032517</v>
      </c>
      <c r="K365">
        <v>141.43089430894312</v>
      </c>
      <c r="L365">
        <v>110.9249322493224</v>
      </c>
      <c r="M365">
        <v>139.5</v>
      </c>
      <c r="N365">
        <v>129</v>
      </c>
      <c r="O365">
        <v>149.08715846994548</v>
      </c>
      <c r="P365">
        <v>138.6</v>
      </c>
      <c r="Q365">
        <v>190</v>
      </c>
      <c r="R365">
        <v>133.1</v>
      </c>
      <c r="S365">
        <v>141.67431693989073</v>
      </c>
      <c r="T365">
        <v>139.25609756097555</v>
      </c>
      <c r="U365">
        <v>132.19999999999999</v>
      </c>
      <c r="V365">
        <v>136.68688524590166</v>
      </c>
      <c r="W365">
        <v>133.6</v>
      </c>
      <c r="X365">
        <v>127.65</v>
      </c>
      <c r="Y365">
        <v>119.69999999999999</v>
      </c>
      <c r="Z365">
        <v>129.85000000000002</v>
      </c>
      <c r="AA365">
        <v>141.13114754098362</v>
      </c>
      <c r="AB365">
        <v>155.38579234972681</v>
      </c>
      <c r="AC365">
        <v>129.64999999999998</v>
      </c>
      <c r="AD365">
        <v>178</v>
      </c>
    </row>
    <row r="366" spans="1:30">
      <c r="A366" t="s">
        <v>33</v>
      </c>
      <c r="B366">
        <v>2023</v>
      </c>
      <c r="C366" t="s">
        <v>36</v>
      </c>
      <c r="D366">
        <v>136.68590785907853</v>
      </c>
      <c r="E366">
        <v>156.26475409836061</v>
      </c>
      <c r="F366">
        <v>135.5</v>
      </c>
      <c r="G366">
        <v>177.9</v>
      </c>
      <c r="H366">
        <v>120.5</v>
      </c>
      <c r="I366">
        <v>140.84092140921399</v>
      </c>
      <c r="J366">
        <v>155.75203252032517</v>
      </c>
      <c r="K366">
        <v>141.43089430894312</v>
      </c>
      <c r="L366">
        <v>110.9249322493224</v>
      </c>
      <c r="M366">
        <v>139.5</v>
      </c>
      <c r="N366">
        <v>129</v>
      </c>
      <c r="O366">
        <v>149.08715846994548</v>
      </c>
      <c r="P366">
        <v>138.6</v>
      </c>
      <c r="Q366">
        <v>180.2</v>
      </c>
      <c r="R366">
        <v>133.1</v>
      </c>
      <c r="S366">
        <v>141.67431693989073</v>
      </c>
      <c r="T366">
        <v>139.25609756097555</v>
      </c>
      <c r="U366">
        <v>132.19999999999999</v>
      </c>
      <c r="V366">
        <v>136.68688524590166</v>
      </c>
      <c r="W366">
        <v>133.6</v>
      </c>
      <c r="X366">
        <v>127.65</v>
      </c>
      <c r="Y366">
        <v>119.69999999999999</v>
      </c>
      <c r="Z366">
        <v>129.85000000000002</v>
      </c>
      <c r="AA366">
        <v>141.13114754098362</v>
      </c>
      <c r="AB366">
        <v>155.38579234972681</v>
      </c>
      <c r="AC366">
        <v>129.64999999999998</v>
      </c>
      <c r="AD366">
        <v>176.3</v>
      </c>
    </row>
    <row r="367" spans="1:30">
      <c r="A367" t="s">
        <v>34</v>
      </c>
      <c r="B367">
        <v>2023</v>
      </c>
      <c r="C367" t="s">
        <v>36</v>
      </c>
      <c r="D367">
        <v>136.68590785907853</v>
      </c>
      <c r="E367">
        <v>156.26475409836061</v>
      </c>
      <c r="F367">
        <v>135.5</v>
      </c>
      <c r="G367">
        <v>177.3</v>
      </c>
      <c r="H367">
        <v>120.5</v>
      </c>
      <c r="I367">
        <v>140.84092140921399</v>
      </c>
      <c r="J367">
        <v>155.75203252032517</v>
      </c>
      <c r="K367">
        <v>141.43089430894312</v>
      </c>
      <c r="L367">
        <v>110.9249322493224</v>
      </c>
      <c r="M367">
        <v>139.5</v>
      </c>
      <c r="N367">
        <v>129</v>
      </c>
      <c r="O367">
        <v>149.08715846994548</v>
      </c>
      <c r="P367">
        <v>138.6</v>
      </c>
      <c r="Q367">
        <v>186.1</v>
      </c>
      <c r="R367">
        <v>133.1</v>
      </c>
      <c r="S367">
        <v>141.67431693989073</v>
      </c>
      <c r="T367">
        <v>139.25609756097555</v>
      </c>
      <c r="U367">
        <v>132.19999999999999</v>
      </c>
      <c r="V367">
        <v>136.68688524590166</v>
      </c>
      <c r="W367">
        <v>133.6</v>
      </c>
      <c r="X367">
        <v>127.65</v>
      </c>
      <c r="Y367">
        <v>119.69999999999999</v>
      </c>
      <c r="Z367">
        <v>129.85000000000002</v>
      </c>
      <c r="AA367">
        <v>141.13114754098362</v>
      </c>
      <c r="AB367">
        <v>155.38579234972681</v>
      </c>
      <c r="AC367">
        <v>129.64999999999998</v>
      </c>
      <c r="AD367">
        <v>177.2</v>
      </c>
    </row>
    <row r="368" spans="1:30">
      <c r="A368" t="s">
        <v>30</v>
      </c>
      <c r="B368">
        <v>2023</v>
      </c>
      <c r="C368" t="s">
        <v>37</v>
      </c>
      <c r="D368">
        <v>136.68590785907853</v>
      </c>
      <c r="E368">
        <v>156.26475409836061</v>
      </c>
      <c r="F368">
        <v>135.5</v>
      </c>
      <c r="G368">
        <v>178.2</v>
      </c>
      <c r="H368">
        <v>120.5</v>
      </c>
      <c r="I368">
        <v>140.84092140921399</v>
      </c>
      <c r="J368">
        <v>155.75203252032517</v>
      </c>
      <c r="K368">
        <v>141.43089430894312</v>
      </c>
      <c r="L368">
        <v>110.9249322493224</v>
      </c>
      <c r="M368">
        <v>139.5</v>
      </c>
      <c r="N368">
        <v>129</v>
      </c>
      <c r="O368">
        <v>149.08715846994548</v>
      </c>
      <c r="P368">
        <v>138.6</v>
      </c>
      <c r="Q368">
        <v>190.7</v>
      </c>
      <c r="R368">
        <v>133.1</v>
      </c>
      <c r="S368">
        <v>141.67431693989073</v>
      </c>
      <c r="T368">
        <v>139.25609756097555</v>
      </c>
      <c r="U368">
        <v>132.19999999999999</v>
      </c>
      <c r="V368">
        <v>136.68688524590166</v>
      </c>
      <c r="W368">
        <v>133.6</v>
      </c>
      <c r="X368">
        <v>127.65</v>
      </c>
      <c r="Y368">
        <v>119.69999999999999</v>
      </c>
      <c r="Z368">
        <v>129.85000000000002</v>
      </c>
      <c r="AA368">
        <v>141.13114754098362</v>
      </c>
      <c r="AB368">
        <v>155.38579234972681</v>
      </c>
      <c r="AC368">
        <v>129.64999999999998</v>
      </c>
      <c r="AD368">
        <v>178.8</v>
      </c>
    </row>
    <row r="369" spans="1:30">
      <c r="A369" t="s">
        <v>33</v>
      </c>
      <c r="B369">
        <v>2023</v>
      </c>
      <c r="C369" t="s">
        <v>37</v>
      </c>
      <c r="D369">
        <v>136.68590785907853</v>
      </c>
      <c r="E369">
        <v>156.26475409836061</v>
      </c>
      <c r="F369">
        <v>135.5</v>
      </c>
      <c r="G369">
        <v>178.8</v>
      </c>
      <c r="H369">
        <v>120.5</v>
      </c>
      <c r="I369">
        <v>140.84092140921399</v>
      </c>
      <c r="J369">
        <v>155.75203252032517</v>
      </c>
      <c r="K369">
        <v>141.43089430894312</v>
      </c>
      <c r="L369">
        <v>110.9249322493224</v>
      </c>
      <c r="M369">
        <v>139.5</v>
      </c>
      <c r="N369">
        <v>129</v>
      </c>
      <c r="O369">
        <v>149.08715846994548</v>
      </c>
      <c r="P369">
        <v>138.6</v>
      </c>
      <c r="Q369">
        <v>181</v>
      </c>
      <c r="R369">
        <v>133.1</v>
      </c>
      <c r="S369">
        <v>141.67431693989073</v>
      </c>
      <c r="T369">
        <v>139.25609756097555</v>
      </c>
      <c r="U369">
        <v>132.19999999999999</v>
      </c>
      <c r="V369">
        <v>136.68688524590166</v>
      </c>
      <c r="W369">
        <v>133.6</v>
      </c>
      <c r="X369">
        <v>127.65</v>
      </c>
      <c r="Y369">
        <v>119.69999999999999</v>
      </c>
      <c r="Z369">
        <v>129.85000000000002</v>
      </c>
      <c r="AA369">
        <v>141.13114754098362</v>
      </c>
      <c r="AB369">
        <v>155.38579234972681</v>
      </c>
      <c r="AC369">
        <v>129.64999999999998</v>
      </c>
      <c r="AD369">
        <v>177.4</v>
      </c>
    </row>
    <row r="370" spans="1:30">
      <c r="A370" t="s">
        <v>34</v>
      </c>
      <c r="B370">
        <v>2023</v>
      </c>
      <c r="C370" t="s">
        <v>37</v>
      </c>
      <c r="D370">
        <v>136.68590785907853</v>
      </c>
      <c r="E370">
        <v>156.26475409836061</v>
      </c>
      <c r="F370">
        <v>135.5</v>
      </c>
      <c r="G370">
        <v>178.4</v>
      </c>
      <c r="H370">
        <v>120.5</v>
      </c>
      <c r="I370">
        <v>140.84092140921399</v>
      </c>
      <c r="J370">
        <v>155.75203252032517</v>
      </c>
      <c r="K370">
        <v>141.43089430894312</v>
      </c>
      <c r="L370">
        <v>110.9249322493224</v>
      </c>
      <c r="M370">
        <v>139.5</v>
      </c>
      <c r="N370">
        <v>129</v>
      </c>
      <c r="O370">
        <v>149.08715846994548</v>
      </c>
      <c r="P370">
        <v>138.6</v>
      </c>
      <c r="Q370">
        <v>186.9</v>
      </c>
      <c r="R370">
        <v>133.1</v>
      </c>
      <c r="S370">
        <v>141.67431693989073</v>
      </c>
      <c r="T370">
        <v>139.25609756097555</v>
      </c>
      <c r="U370">
        <v>132.19999999999999</v>
      </c>
      <c r="V370">
        <v>136.68688524590166</v>
      </c>
      <c r="W370">
        <v>133.6</v>
      </c>
      <c r="X370">
        <v>127.65</v>
      </c>
      <c r="Y370">
        <v>119.69999999999999</v>
      </c>
      <c r="Z370">
        <v>129.85000000000002</v>
      </c>
      <c r="AA370">
        <v>141.13114754098362</v>
      </c>
      <c r="AB370">
        <v>155.38579234972681</v>
      </c>
      <c r="AC370">
        <v>129.64999999999998</v>
      </c>
      <c r="AD370">
        <v>178.1</v>
      </c>
    </row>
    <row r="371" spans="1:30">
      <c r="A371" t="s">
        <v>30</v>
      </c>
      <c r="B371">
        <v>2023</v>
      </c>
      <c r="C371" t="s">
        <v>38</v>
      </c>
      <c r="D371">
        <v>136.68590785907853</v>
      </c>
      <c r="E371">
        <v>156.26475409836061</v>
      </c>
      <c r="F371">
        <v>135.5</v>
      </c>
      <c r="G371">
        <v>179.6</v>
      </c>
      <c r="H371">
        <v>120.5</v>
      </c>
      <c r="I371">
        <v>140.84092140921399</v>
      </c>
      <c r="J371">
        <v>155.75203252032517</v>
      </c>
      <c r="K371">
        <v>141.43089430894312</v>
      </c>
      <c r="L371">
        <v>110.9249322493224</v>
      </c>
      <c r="M371">
        <v>139.5</v>
      </c>
      <c r="N371">
        <v>129</v>
      </c>
      <c r="O371">
        <v>149.08715846994548</v>
      </c>
      <c r="P371">
        <v>138.6</v>
      </c>
      <c r="Q371">
        <v>191.2</v>
      </c>
      <c r="R371">
        <v>133.1</v>
      </c>
      <c r="S371">
        <v>141.67431693989073</v>
      </c>
      <c r="T371">
        <v>139.25609756097555</v>
      </c>
      <c r="U371">
        <v>132.19999999999999</v>
      </c>
      <c r="V371">
        <v>136.68688524590166</v>
      </c>
      <c r="W371">
        <v>133.6</v>
      </c>
      <c r="X371">
        <v>127.65</v>
      </c>
      <c r="Y371">
        <v>119.69999999999999</v>
      </c>
      <c r="Z371">
        <v>129.85000000000002</v>
      </c>
      <c r="AA371">
        <v>141.13114754098362</v>
      </c>
      <c r="AB371">
        <v>155.38579234972681</v>
      </c>
      <c r="AC371">
        <v>129.64999999999998</v>
      </c>
      <c r="AD371">
        <v>179.8</v>
      </c>
    </row>
    <row r="372" spans="1:30">
      <c r="A372" t="s">
        <v>33</v>
      </c>
      <c r="B372">
        <v>2023</v>
      </c>
      <c r="C372" t="s">
        <v>38</v>
      </c>
      <c r="D372">
        <v>136.68590785907853</v>
      </c>
      <c r="E372">
        <v>156.26475409836061</v>
      </c>
      <c r="F372">
        <v>135.5</v>
      </c>
      <c r="G372">
        <v>179.4</v>
      </c>
      <c r="H372">
        <v>120.5</v>
      </c>
      <c r="I372">
        <v>140.84092140921399</v>
      </c>
      <c r="J372">
        <v>155.75203252032517</v>
      </c>
      <c r="K372">
        <v>141.43089430894312</v>
      </c>
      <c r="L372">
        <v>110.9249322493224</v>
      </c>
      <c r="M372">
        <v>139.5</v>
      </c>
      <c r="N372">
        <v>129</v>
      </c>
      <c r="O372">
        <v>149.08715846994548</v>
      </c>
      <c r="P372">
        <v>138.6</v>
      </c>
      <c r="Q372">
        <v>181.3</v>
      </c>
      <c r="R372">
        <v>133.1</v>
      </c>
      <c r="S372">
        <v>141.67431693989073</v>
      </c>
      <c r="T372">
        <v>175.6</v>
      </c>
      <c r="U372">
        <v>132.19999999999999</v>
      </c>
      <c r="V372">
        <v>136.68688524590166</v>
      </c>
      <c r="W372">
        <v>133.6</v>
      </c>
      <c r="X372">
        <v>127.65</v>
      </c>
      <c r="Y372">
        <v>119.69999999999999</v>
      </c>
      <c r="Z372">
        <v>129.85000000000002</v>
      </c>
      <c r="AA372">
        <v>141.13114754098362</v>
      </c>
      <c r="AB372">
        <v>155.38579234972681</v>
      </c>
      <c r="AC372">
        <v>129.64999999999998</v>
      </c>
      <c r="AD372">
        <v>178.2</v>
      </c>
    </row>
    <row r="373" spans="1:30">
      <c r="A373" t="s">
        <v>34</v>
      </c>
      <c r="B373">
        <v>2023</v>
      </c>
      <c r="C373" t="s">
        <v>38</v>
      </c>
      <c r="D373">
        <v>136.68590785907853</v>
      </c>
      <c r="E373">
        <v>156.26475409836061</v>
      </c>
      <c r="F373">
        <v>135.5</v>
      </c>
      <c r="G373">
        <v>179.5</v>
      </c>
      <c r="H373">
        <v>120.5</v>
      </c>
      <c r="I373">
        <v>140.84092140921399</v>
      </c>
      <c r="J373">
        <v>155.75203252032517</v>
      </c>
      <c r="K373">
        <v>141.43089430894312</v>
      </c>
      <c r="L373">
        <v>110.9249322493224</v>
      </c>
      <c r="M373">
        <v>139.5</v>
      </c>
      <c r="N373">
        <v>129</v>
      </c>
      <c r="O373">
        <v>149.08715846994548</v>
      </c>
      <c r="P373">
        <v>138.6</v>
      </c>
      <c r="Q373">
        <v>187.3</v>
      </c>
      <c r="R373">
        <v>133.1</v>
      </c>
      <c r="S373">
        <v>141.67431693989073</v>
      </c>
      <c r="T373">
        <v>175.6</v>
      </c>
      <c r="U373">
        <v>132.19999999999999</v>
      </c>
      <c r="V373">
        <v>136.68688524590166</v>
      </c>
      <c r="W373">
        <v>133.6</v>
      </c>
      <c r="X373">
        <v>127.65</v>
      </c>
      <c r="Y373">
        <v>119.69999999999999</v>
      </c>
      <c r="Z373">
        <v>129.85000000000002</v>
      </c>
      <c r="AA373">
        <v>141.13114754098362</v>
      </c>
      <c r="AB373">
        <v>155.38579234972681</v>
      </c>
      <c r="AC373">
        <v>129.64999999999998</v>
      </c>
      <c r="AD373">
        <v>179.1</v>
      </c>
    </row>
    <row r="374" spans="1:30">
      <c r="D374">
        <v>136.68590785907853</v>
      </c>
      <c r="E374">
        <v>156.26475409836061</v>
      </c>
      <c r="F374">
        <v>135.5</v>
      </c>
      <c r="H374">
        <v>120.5</v>
      </c>
      <c r="I374">
        <v>140.84092140921399</v>
      </c>
      <c r="J374">
        <v>155.75203252032517</v>
      </c>
      <c r="K374">
        <v>141.43089430894312</v>
      </c>
      <c r="L374">
        <v>110.9249322493224</v>
      </c>
      <c r="M374">
        <v>139.5</v>
      </c>
      <c r="N374">
        <v>129</v>
      </c>
      <c r="O374">
        <v>149.08715846994548</v>
      </c>
      <c r="P374">
        <v>138.6</v>
      </c>
      <c r="Q374">
        <v>142.66366120218561</v>
      </c>
      <c r="R374">
        <v>133.1</v>
      </c>
      <c r="S374">
        <v>141.67431693989073</v>
      </c>
      <c r="T374">
        <v>139.26</v>
      </c>
      <c r="U374">
        <v>132.19999999999999</v>
      </c>
      <c r="V374">
        <v>136.68688524590166</v>
      </c>
      <c r="W374">
        <v>133.6</v>
      </c>
      <c r="X374">
        <v>127.65</v>
      </c>
      <c r="Y374">
        <v>119.69999999999999</v>
      </c>
      <c r="Z374">
        <v>129.85000000000002</v>
      </c>
      <c r="AA374">
        <v>141.13114754098362</v>
      </c>
      <c r="AB374">
        <v>155.38579234972681</v>
      </c>
      <c r="AC374">
        <v>129.64999999999998</v>
      </c>
    </row>
    <row r="375" spans="1:30">
      <c r="D375">
        <v>136.68590785907853</v>
      </c>
      <c r="E375">
        <v>156.26475409836061</v>
      </c>
      <c r="F375">
        <v>135.5</v>
      </c>
      <c r="H375">
        <v>120.5</v>
      </c>
      <c r="I375">
        <v>140.84092140921399</v>
      </c>
      <c r="J375">
        <v>155.75203252032517</v>
      </c>
      <c r="K375">
        <v>141.43089430894312</v>
      </c>
      <c r="L375">
        <v>110.9249322493224</v>
      </c>
      <c r="M375">
        <v>139.5</v>
      </c>
      <c r="N375">
        <v>129</v>
      </c>
      <c r="O375">
        <v>149.08715846994548</v>
      </c>
      <c r="P375">
        <v>138.6</v>
      </c>
      <c r="Q375">
        <v>142.66366120218561</v>
      </c>
      <c r="R375">
        <v>133.1</v>
      </c>
      <c r="S375">
        <v>141.67431693989073</v>
      </c>
      <c r="T375">
        <v>139.26</v>
      </c>
      <c r="U375">
        <v>132.19999999999999</v>
      </c>
      <c r="V375">
        <v>136.68688524590166</v>
      </c>
      <c r="W375">
        <v>133.6</v>
      </c>
      <c r="X375">
        <v>127.65</v>
      </c>
      <c r="Y375">
        <v>119.69999999999999</v>
      </c>
      <c r="Z375">
        <v>129.85000000000002</v>
      </c>
      <c r="AA375">
        <v>141.13114754098362</v>
      </c>
      <c r="AB375">
        <v>155.38579234972681</v>
      </c>
      <c r="AC375">
        <v>129.64999999999998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47"/>
  <sheetViews>
    <sheetView workbookViewId="0">
      <selection activeCell="G48" sqref="G48"/>
    </sheetView>
  </sheetViews>
  <sheetFormatPr defaultRowHeight="14.4"/>
  <cols>
    <col min="4" max="4" width="16.33203125" customWidth="1"/>
    <col min="5" max="5" width="20.33203125" customWidth="1"/>
  </cols>
  <sheetData>
    <row r="1" spans="1:4" ht="18">
      <c r="A1" s="1" t="s">
        <v>69</v>
      </c>
    </row>
    <row r="3" spans="1:4">
      <c r="A3" t="s">
        <v>70</v>
      </c>
    </row>
    <row r="4" spans="1:4">
      <c r="A4" s="2"/>
    </row>
    <row r="5" spans="1:4">
      <c r="A5" s="2" t="s">
        <v>81</v>
      </c>
    </row>
    <row r="6" spans="1:4" ht="18">
      <c r="A6" s="128" t="s">
        <v>157</v>
      </c>
      <c r="B6" s="128"/>
      <c r="C6" s="128"/>
      <c r="D6" s="128"/>
    </row>
    <row r="7" spans="1:4">
      <c r="A7" s="2"/>
    </row>
    <row r="8" spans="1:4">
      <c r="A8" s="13"/>
    </row>
    <row r="9" spans="1:4">
      <c r="A9" s="13" t="s">
        <v>71</v>
      </c>
    </row>
    <row r="10" spans="1:4">
      <c r="A10" s="13"/>
    </row>
    <row r="11" spans="1:4">
      <c r="A11" s="13" t="s">
        <v>72</v>
      </c>
    </row>
    <row r="14" spans="1:4">
      <c r="A14" s="2"/>
    </row>
    <row r="15" spans="1:4">
      <c r="A15" s="2" t="s">
        <v>73</v>
      </c>
    </row>
    <row r="16" spans="1:4">
      <c r="A16" s="2"/>
    </row>
    <row r="17" spans="1:5" ht="18">
      <c r="A17" s="128" t="s">
        <v>158</v>
      </c>
      <c r="B17" s="128"/>
      <c r="C17" s="128"/>
      <c r="D17" s="128"/>
    </row>
    <row r="18" spans="1:5">
      <c r="A18" s="13"/>
    </row>
    <row r="19" spans="1:5">
      <c r="A19" s="13" t="s">
        <v>74</v>
      </c>
    </row>
    <row r="20" spans="1:5">
      <c r="A20" s="13"/>
    </row>
    <row r="21" spans="1:5">
      <c r="A21" s="13" t="s">
        <v>59</v>
      </c>
    </row>
    <row r="24" spans="1:5">
      <c r="A24" s="2"/>
    </row>
    <row r="25" spans="1:5">
      <c r="A25" s="2" t="s">
        <v>75</v>
      </c>
    </row>
    <row r="26" spans="1:5">
      <c r="A26" s="2"/>
    </row>
    <row r="27" spans="1:5" ht="18">
      <c r="A27" s="128" t="s">
        <v>159</v>
      </c>
      <c r="B27" s="128"/>
      <c r="C27" s="128"/>
      <c r="D27" s="128"/>
      <c r="E27" s="128"/>
    </row>
    <row r="28" spans="1:5">
      <c r="A28" s="13"/>
    </row>
    <row r="29" spans="1:5">
      <c r="A29" s="13" t="s">
        <v>76</v>
      </c>
    </row>
    <row r="30" spans="1:5">
      <c r="A30" s="13"/>
    </row>
    <row r="31" spans="1:5">
      <c r="A31" s="13" t="s">
        <v>77</v>
      </c>
    </row>
    <row r="34" spans="1:4">
      <c r="A34" s="2"/>
    </row>
    <row r="35" spans="1:4">
      <c r="A35" s="2" t="s">
        <v>78</v>
      </c>
    </row>
    <row r="36" spans="1:4">
      <c r="A36" s="14" t="s">
        <v>82</v>
      </c>
    </row>
    <row r="37" spans="1:4" ht="18">
      <c r="A37" s="128" t="s">
        <v>160</v>
      </c>
      <c r="B37" s="128"/>
      <c r="C37" s="128"/>
      <c r="D37" s="128"/>
    </row>
    <row r="39" spans="1:4">
      <c r="A39" s="2"/>
    </row>
    <row r="40" spans="1:4">
      <c r="A40" s="62" t="s">
        <v>79</v>
      </c>
    </row>
    <row r="41" spans="1:4">
      <c r="A41" s="2"/>
    </row>
    <row r="42" spans="1:4">
      <c r="A42" s="13"/>
    </row>
    <row r="43" spans="1:4">
      <c r="A43" s="63" t="s">
        <v>80</v>
      </c>
    </row>
    <row r="44" spans="1:4">
      <c r="A44" s="13"/>
    </row>
    <row r="45" spans="1:4">
      <c r="A45" s="63" t="s">
        <v>83</v>
      </c>
    </row>
    <row r="47" spans="1:4" ht="18">
      <c r="A47" s="129" t="s">
        <v>161</v>
      </c>
      <c r="B47" s="129"/>
      <c r="C47" s="129"/>
      <c r="D47" s="129"/>
    </row>
  </sheetData>
  <mergeCells count="5">
    <mergeCell ref="A6:D6"/>
    <mergeCell ref="A17:D17"/>
    <mergeCell ref="A27:E27"/>
    <mergeCell ref="A37:D37"/>
    <mergeCell ref="A47:D4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446CC-9F8C-424A-ACC6-99F55D888E41}">
  <dimension ref="A1:H12"/>
  <sheetViews>
    <sheetView tabSelected="1" workbookViewId="0">
      <selection activeCell="E6" sqref="E6"/>
    </sheetView>
  </sheetViews>
  <sheetFormatPr defaultRowHeight="14.4"/>
  <cols>
    <col min="3" max="3" width="34.88671875" bestFit="1" customWidth="1"/>
    <col min="5" max="5" width="12.5546875" bestFit="1" customWidth="1"/>
  </cols>
  <sheetData>
    <row r="1" spans="1:8">
      <c r="A1" t="s">
        <v>1</v>
      </c>
      <c r="B1" t="s">
        <v>9</v>
      </c>
    </row>
    <row r="2" spans="1:8">
      <c r="A2" cm="1">
        <f t="array" ref="A2:A12">_xlfn.UNIQUE('Main Data'!B3:B374)</f>
        <v>2013</v>
      </c>
    </row>
    <row r="3" spans="1:8">
      <c r="A3">
        <v>2014</v>
      </c>
      <c r="C3" t="s">
        <v>163</v>
      </c>
    </row>
    <row r="4" spans="1:8">
      <c r="A4">
        <v>2015</v>
      </c>
      <c r="F4" s="139" t="s">
        <v>171</v>
      </c>
      <c r="G4" s="139" t="s">
        <v>172</v>
      </c>
      <c r="H4" s="139" t="s">
        <v>173</v>
      </c>
    </row>
    <row r="5" spans="1:8">
      <c r="A5">
        <v>2016</v>
      </c>
      <c r="C5" s="140" t="s">
        <v>164</v>
      </c>
      <c r="D5" s="140" t="s">
        <v>170</v>
      </c>
      <c r="E5" s="140" t="s">
        <v>174</v>
      </c>
    </row>
    <row r="6" spans="1:8">
      <c r="A6">
        <v>2017</v>
      </c>
      <c r="C6" s="140" t="s">
        <v>165</v>
      </c>
      <c r="D6" s="12">
        <v>28</v>
      </c>
      <c r="E6" s="12" t="str">
        <f>_xlfn.CONCAT(C6,"(",IF(D6&gt;=30,"Senior","Junior"),")")</f>
        <v>John(Junior)</v>
      </c>
    </row>
    <row r="7" spans="1:8">
      <c r="A7">
        <v>2018</v>
      </c>
      <c r="C7" s="140" t="s">
        <v>166</v>
      </c>
      <c r="D7" s="12">
        <v>34</v>
      </c>
      <c r="E7" s="12" t="str">
        <f t="shared" ref="E7:E10" si="0">_xlfn.CONCAT(C7,"(",IF(D7&gt;=30,"Senior","Junior"),")")</f>
        <v>Sunil(Senior)</v>
      </c>
    </row>
    <row r="8" spans="1:8">
      <c r="A8">
        <v>2019</v>
      </c>
      <c r="C8" s="140" t="s">
        <v>167</v>
      </c>
      <c r="D8" s="12">
        <v>30</v>
      </c>
      <c r="E8" s="12" t="str">
        <f t="shared" si="0"/>
        <v>Meera(Senior)</v>
      </c>
    </row>
    <row r="9" spans="1:8">
      <c r="A9">
        <v>2020</v>
      </c>
      <c r="C9" s="140" t="s">
        <v>168</v>
      </c>
      <c r="D9" s="12">
        <v>41</v>
      </c>
      <c r="E9" s="12" t="str">
        <f t="shared" si="0"/>
        <v>Arjun(Senior)</v>
      </c>
    </row>
    <row r="10" spans="1:8">
      <c r="A10">
        <v>2021</v>
      </c>
      <c r="C10" s="140" t="s">
        <v>169</v>
      </c>
      <c r="D10" s="12">
        <v>25</v>
      </c>
      <c r="E10" s="12" t="str">
        <f t="shared" si="0"/>
        <v>Neha(Junior)</v>
      </c>
    </row>
    <row r="11" spans="1:8">
      <c r="A11">
        <v>2022</v>
      </c>
    </row>
    <row r="12" spans="1:8">
      <c r="A12">
        <v>2023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374"/>
  <sheetViews>
    <sheetView workbookViewId="0">
      <selection activeCell="D264" sqref="D264"/>
    </sheetView>
  </sheetViews>
  <sheetFormatPr defaultColWidth="10" defaultRowHeight="14.4"/>
  <cols>
    <col min="1" max="1" width="11.33203125" customWidth="1"/>
    <col min="2" max="2" width="6.88671875" customWidth="1"/>
    <col min="3" max="3" width="10.88671875" bestFit="1" customWidth="1"/>
    <col min="4" max="4" width="10.88671875" customWidth="1"/>
    <col min="5" max="5" width="20.44140625" customWidth="1"/>
    <col min="6" max="6" width="14.33203125" customWidth="1"/>
    <col min="7" max="7" width="6" customWidth="1"/>
    <col min="8" max="8" width="17.88671875" customWidth="1"/>
    <col min="9" max="9" width="13.33203125" customWidth="1"/>
    <col min="10" max="10" width="7.6640625" customWidth="1"/>
    <col min="11" max="11" width="12.109375" customWidth="1"/>
    <col min="12" max="12" width="19.44140625" customWidth="1"/>
    <col min="13" max="13" width="23.33203125" customWidth="1"/>
    <col min="14" max="14" width="8.33203125" customWidth="1"/>
    <col min="15" max="15" width="23.6640625" customWidth="1"/>
    <col min="16" max="16" width="32.6640625" customWidth="1"/>
    <col min="17" max="18" width="19.6640625" customWidth="1"/>
    <col min="19" max="19" width="9.88671875" customWidth="1"/>
    <col min="20" max="20" width="11.109375" customWidth="1"/>
    <col min="21" max="22" width="21.6640625" customWidth="1"/>
    <col min="23" max="23" width="9.6640625" customWidth="1"/>
    <col min="24" max="24" width="13.88671875" customWidth="1"/>
    <col min="25" max="26" width="28" customWidth="1"/>
    <col min="27" max="27" width="8.5546875" customWidth="1"/>
    <col min="28" max="28" width="24.109375" customWidth="1"/>
    <col min="29" max="29" width="30.5546875" bestFit="1" customWidth="1"/>
    <col min="30" max="30" width="38.5546875" customWidth="1"/>
    <col min="31" max="31" width="25.88671875" customWidth="1"/>
    <col min="32" max="32" width="13.44140625" customWidth="1"/>
    <col min="33" max="33" width="16.88671875" bestFit="1" customWidth="1"/>
    <col min="34" max="34" width="26.88671875" customWidth="1"/>
    <col min="35" max="36" width="14.6640625" customWidth="1"/>
    <col min="37" max="37" width="14.33203125" customWidth="1"/>
  </cols>
  <sheetData>
    <row r="1" spans="1:37" s="10" customFormat="1" ht="18">
      <c r="A1" s="130" t="s">
        <v>48</v>
      </c>
      <c r="B1" s="130"/>
      <c r="C1" s="130"/>
      <c r="D1" s="23"/>
      <c r="E1" s="130" t="s">
        <v>49</v>
      </c>
      <c r="F1" s="130"/>
      <c r="G1" s="130"/>
      <c r="H1" s="130"/>
      <c r="I1" s="130"/>
      <c r="J1" s="130"/>
      <c r="K1" s="130"/>
      <c r="L1" s="130"/>
      <c r="M1" s="130"/>
      <c r="N1" s="130"/>
      <c r="O1" s="130"/>
      <c r="P1" s="130"/>
      <c r="Q1" s="130"/>
      <c r="R1" s="23"/>
      <c r="S1" s="130" t="s">
        <v>50</v>
      </c>
      <c r="T1" s="130"/>
      <c r="U1" s="130"/>
      <c r="V1" s="23"/>
      <c r="W1" s="130" t="s">
        <v>51</v>
      </c>
      <c r="X1" s="130"/>
      <c r="Y1" s="130"/>
      <c r="Z1" s="23"/>
      <c r="AA1" s="130" t="s">
        <v>52</v>
      </c>
      <c r="AB1" s="130"/>
      <c r="AC1" s="23"/>
      <c r="AD1" s="24" t="s">
        <v>24</v>
      </c>
      <c r="AE1" s="130" t="s">
        <v>53</v>
      </c>
      <c r="AF1" s="130"/>
      <c r="AG1" s="23"/>
      <c r="AH1" s="130" t="s">
        <v>54</v>
      </c>
      <c r="AI1" s="130"/>
      <c r="AJ1" s="23"/>
      <c r="AK1" s="24" t="s">
        <v>55</v>
      </c>
    </row>
    <row r="2" spans="1:37">
      <c r="A2" s="21" t="s">
        <v>0</v>
      </c>
      <c r="B2" s="21" t="s">
        <v>1</v>
      </c>
      <c r="C2" s="21" t="s">
        <v>2</v>
      </c>
      <c r="D2" s="21" t="s">
        <v>162</v>
      </c>
      <c r="E2" s="21" t="s">
        <v>3</v>
      </c>
      <c r="F2" s="21" t="s">
        <v>4</v>
      </c>
      <c r="G2" s="21" t="s">
        <v>5</v>
      </c>
      <c r="H2" s="21" t="s">
        <v>6</v>
      </c>
      <c r="I2" s="21" t="s">
        <v>7</v>
      </c>
      <c r="J2" s="21" t="s">
        <v>8</v>
      </c>
      <c r="K2" s="21" t="s">
        <v>9</v>
      </c>
      <c r="L2" s="21" t="s">
        <v>10</v>
      </c>
      <c r="M2" s="21" t="s">
        <v>11</v>
      </c>
      <c r="N2" s="21" t="s">
        <v>12</v>
      </c>
      <c r="O2" s="21" t="s">
        <v>13</v>
      </c>
      <c r="P2" s="21" t="s">
        <v>14</v>
      </c>
      <c r="Q2" s="21" t="s">
        <v>15</v>
      </c>
      <c r="R2" s="25" t="s">
        <v>61</v>
      </c>
      <c r="S2" s="21" t="s">
        <v>17</v>
      </c>
      <c r="T2" s="21" t="s">
        <v>18</v>
      </c>
      <c r="U2" s="21" t="s">
        <v>19</v>
      </c>
      <c r="V2" s="25" t="s">
        <v>62</v>
      </c>
      <c r="W2" s="21" t="s">
        <v>20</v>
      </c>
      <c r="X2" s="21" t="s">
        <v>21</v>
      </c>
      <c r="Y2" s="21" t="s">
        <v>22</v>
      </c>
      <c r="Z2" s="25" t="s">
        <v>63</v>
      </c>
      <c r="AA2" s="21" t="s">
        <v>23</v>
      </c>
      <c r="AB2" s="21" t="s">
        <v>27</v>
      </c>
      <c r="AC2" s="25" t="s">
        <v>64</v>
      </c>
      <c r="AD2" s="21" t="s">
        <v>24</v>
      </c>
      <c r="AE2" s="21" t="s">
        <v>25</v>
      </c>
      <c r="AF2" s="21" t="s">
        <v>26</v>
      </c>
      <c r="AG2" s="25" t="s">
        <v>65</v>
      </c>
      <c r="AH2" s="21" t="s">
        <v>16</v>
      </c>
      <c r="AI2" s="21" t="s">
        <v>28</v>
      </c>
      <c r="AJ2" s="25" t="s">
        <v>66</v>
      </c>
      <c r="AK2" s="21" t="s">
        <v>29</v>
      </c>
    </row>
    <row r="3" spans="1:37">
      <c r="A3" s="21" t="s">
        <v>30</v>
      </c>
      <c r="B3" s="26">
        <v>2013</v>
      </c>
      <c r="C3" s="21" t="s">
        <v>31</v>
      </c>
      <c r="D3" s="21" t="str">
        <f>IF(H3&gt;120,IF(M3&gt;120,"Yes","No"),"No")</f>
        <v>No</v>
      </c>
      <c r="E3" s="27">
        <v>107.5</v>
      </c>
      <c r="F3" s="27">
        <v>106.3</v>
      </c>
      <c r="G3" s="27">
        <v>108.1</v>
      </c>
      <c r="H3" s="27">
        <v>104.9</v>
      </c>
      <c r="I3" s="27">
        <v>106.1</v>
      </c>
      <c r="J3" s="27">
        <v>103.9</v>
      </c>
      <c r="K3" s="27">
        <v>101.9</v>
      </c>
      <c r="L3" s="27">
        <v>106.1</v>
      </c>
      <c r="M3" s="27">
        <v>106.8</v>
      </c>
      <c r="N3" s="27">
        <v>103.1</v>
      </c>
      <c r="O3" s="27">
        <v>104.8</v>
      </c>
      <c r="P3" s="27">
        <v>106.7</v>
      </c>
      <c r="Q3" s="27">
        <v>105.5</v>
      </c>
      <c r="R3" s="21">
        <f>SUM(E3:Q3)</f>
        <v>1371.6999999999998</v>
      </c>
      <c r="S3" s="21">
        <v>106.5</v>
      </c>
      <c r="T3" s="21">
        <v>105.8</v>
      </c>
      <c r="U3" s="21">
        <v>106.4</v>
      </c>
      <c r="V3" s="21">
        <f>SUM(S3:U3)</f>
        <v>318.70000000000005</v>
      </c>
      <c r="W3" s="22">
        <v>139.25</v>
      </c>
      <c r="X3" s="21">
        <v>105.5</v>
      </c>
      <c r="Y3" s="21">
        <v>104.8</v>
      </c>
      <c r="Z3" s="22">
        <f>SUM(W3:Y3)</f>
        <v>349.55</v>
      </c>
      <c r="AA3" s="21">
        <v>104</v>
      </c>
      <c r="AB3" s="21">
        <v>104.7</v>
      </c>
      <c r="AC3" s="21">
        <f>SUM(AA3:AB3)</f>
        <v>208.7</v>
      </c>
      <c r="AD3" s="27">
        <v>103.3</v>
      </c>
      <c r="AE3" s="27">
        <v>103.4</v>
      </c>
      <c r="AF3" s="27">
        <v>103.8</v>
      </c>
      <c r="AG3" s="21">
        <f>SUM(AE3:AF3)</f>
        <v>207.2</v>
      </c>
      <c r="AH3" s="27">
        <v>105.1</v>
      </c>
      <c r="AI3" s="27">
        <v>104</v>
      </c>
      <c r="AJ3" s="21">
        <f>SUM(AH3:AI3)</f>
        <v>209.1</v>
      </c>
      <c r="AK3" s="21">
        <v>105.1</v>
      </c>
    </row>
    <row r="4" spans="1:37">
      <c r="A4" s="21" t="s">
        <v>33</v>
      </c>
      <c r="B4" s="26">
        <v>2013</v>
      </c>
      <c r="C4" s="21" t="s">
        <v>31</v>
      </c>
      <c r="D4" s="21" t="str">
        <f t="shared" ref="D4:D67" si="0">IF(H4&gt;120,IF(M4&gt;120,"Yes","No"),"No")</f>
        <v>No</v>
      </c>
      <c r="E4" s="27">
        <v>110.5</v>
      </c>
      <c r="F4" s="27">
        <v>109.1</v>
      </c>
      <c r="G4" s="27">
        <v>113</v>
      </c>
      <c r="H4" s="27">
        <v>103.6</v>
      </c>
      <c r="I4" s="27">
        <v>103.4</v>
      </c>
      <c r="J4" s="27">
        <v>102.3</v>
      </c>
      <c r="K4" s="27">
        <v>102.9</v>
      </c>
      <c r="L4" s="27">
        <v>105.8</v>
      </c>
      <c r="M4" s="27">
        <v>105.1</v>
      </c>
      <c r="N4" s="27">
        <v>101.8</v>
      </c>
      <c r="O4" s="27">
        <v>105.1</v>
      </c>
      <c r="P4" s="27">
        <v>107.9</v>
      </c>
      <c r="Q4" s="27">
        <v>105.9</v>
      </c>
      <c r="R4" s="21">
        <f t="shared" ref="R4:R67" si="1">SUM(E4:Q4)</f>
        <v>1376.4</v>
      </c>
      <c r="S4" s="21">
        <v>105.9</v>
      </c>
      <c r="T4" s="21">
        <v>105</v>
      </c>
      <c r="U4" s="21">
        <v>105.8</v>
      </c>
      <c r="V4" s="21">
        <f t="shared" ref="V4:V67" si="2">SUM(S4:U4)</f>
        <v>316.7</v>
      </c>
      <c r="W4" s="22">
        <v>100.3</v>
      </c>
      <c r="X4" s="21">
        <v>105.4</v>
      </c>
      <c r="Y4" s="21">
        <v>104.8</v>
      </c>
      <c r="Z4" s="22">
        <f t="shared" ref="Z4:Z67" si="3">SUM(W4:Y4)</f>
        <v>310.5</v>
      </c>
      <c r="AA4" s="21">
        <v>104.1</v>
      </c>
      <c r="AB4" s="21">
        <v>104.3</v>
      </c>
      <c r="AC4" s="21">
        <f t="shared" ref="AC4:AC67" si="4">SUM(AA4:AB4)</f>
        <v>208.39999999999998</v>
      </c>
      <c r="AD4" s="27">
        <v>103.2</v>
      </c>
      <c r="AE4" s="27">
        <v>102.9</v>
      </c>
      <c r="AF4" s="27">
        <v>103.5</v>
      </c>
      <c r="AG4" s="21">
        <f t="shared" ref="AG4:AG67" si="5">SUM(AE4:AF4)</f>
        <v>206.4</v>
      </c>
      <c r="AH4" s="27">
        <v>105.2</v>
      </c>
      <c r="AI4" s="27">
        <v>103.7</v>
      </c>
      <c r="AJ4" s="21">
        <f t="shared" ref="AJ4:AJ67" si="6">SUM(AH4:AI4)</f>
        <v>208.9</v>
      </c>
      <c r="AK4" s="21">
        <v>104</v>
      </c>
    </row>
    <row r="5" spans="1:37">
      <c r="A5" s="21" t="s">
        <v>34</v>
      </c>
      <c r="B5" s="26">
        <v>2013</v>
      </c>
      <c r="C5" s="21" t="s">
        <v>31</v>
      </c>
      <c r="D5" s="21" t="str">
        <f t="shared" si="0"/>
        <v>No</v>
      </c>
      <c r="E5" s="27">
        <v>108.4</v>
      </c>
      <c r="F5" s="27">
        <v>107.3</v>
      </c>
      <c r="G5" s="27">
        <v>110</v>
      </c>
      <c r="H5" s="27">
        <v>104.4</v>
      </c>
      <c r="I5" s="27">
        <v>105.1</v>
      </c>
      <c r="J5" s="27">
        <v>103.2</v>
      </c>
      <c r="K5" s="27">
        <v>102.2</v>
      </c>
      <c r="L5" s="27">
        <v>106</v>
      </c>
      <c r="M5" s="27">
        <v>106.2</v>
      </c>
      <c r="N5" s="27">
        <v>102.7</v>
      </c>
      <c r="O5" s="27">
        <v>104.9</v>
      </c>
      <c r="P5" s="27">
        <v>107.3</v>
      </c>
      <c r="Q5" s="27">
        <v>105.6</v>
      </c>
      <c r="R5" s="21">
        <f t="shared" si="1"/>
        <v>1373.3000000000002</v>
      </c>
      <c r="S5" s="21">
        <v>106.3</v>
      </c>
      <c r="T5" s="21">
        <v>105.5</v>
      </c>
      <c r="U5" s="21">
        <v>106.2</v>
      </c>
      <c r="V5" s="21">
        <f t="shared" si="2"/>
        <v>318</v>
      </c>
      <c r="W5" s="22">
        <v>100.3</v>
      </c>
      <c r="X5" s="21">
        <v>105.5</v>
      </c>
      <c r="Y5" s="21">
        <v>104.8</v>
      </c>
      <c r="Z5" s="22">
        <f t="shared" si="3"/>
        <v>310.60000000000002</v>
      </c>
      <c r="AA5" s="21">
        <v>104</v>
      </c>
      <c r="AB5" s="21">
        <v>104.5</v>
      </c>
      <c r="AC5" s="21">
        <f t="shared" si="4"/>
        <v>208.5</v>
      </c>
      <c r="AD5" s="27">
        <v>103.2</v>
      </c>
      <c r="AE5" s="27">
        <v>103.1</v>
      </c>
      <c r="AF5" s="27">
        <v>103.6</v>
      </c>
      <c r="AG5" s="21">
        <f t="shared" si="5"/>
        <v>206.7</v>
      </c>
      <c r="AH5" s="27">
        <v>105.1</v>
      </c>
      <c r="AI5" s="27">
        <v>103.9</v>
      </c>
      <c r="AJ5" s="21">
        <f t="shared" si="6"/>
        <v>209</v>
      </c>
      <c r="AK5" s="21">
        <v>104.6</v>
      </c>
    </row>
    <row r="6" spans="1:37">
      <c r="A6" s="21" t="s">
        <v>30</v>
      </c>
      <c r="B6" s="26">
        <v>2013</v>
      </c>
      <c r="C6" s="21" t="s">
        <v>35</v>
      </c>
      <c r="D6" s="21" t="str">
        <f t="shared" si="0"/>
        <v>No</v>
      </c>
      <c r="E6" s="27">
        <v>109.2</v>
      </c>
      <c r="F6" s="27">
        <v>108.7</v>
      </c>
      <c r="G6" s="27">
        <v>110.2</v>
      </c>
      <c r="H6" s="27">
        <v>105.4</v>
      </c>
      <c r="I6" s="27">
        <v>106.7</v>
      </c>
      <c r="J6" s="27">
        <v>104</v>
      </c>
      <c r="K6" s="27">
        <v>102.4</v>
      </c>
      <c r="L6" s="27">
        <v>105.9</v>
      </c>
      <c r="M6" s="27">
        <v>105.7</v>
      </c>
      <c r="N6" s="27">
        <v>103.1</v>
      </c>
      <c r="O6" s="27">
        <v>105.1</v>
      </c>
      <c r="P6" s="27">
        <v>107.7</v>
      </c>
      <c r="Q6" s="27">
        <v>106.3</v>
      </c>
      <c r="R6" s="21">
        <f t="shared" si="1"/>
        <v>1380.3999999999999</v>
      </c>
      <c r="S6" s="21">
        <v>107.1</v>
      </c>
      <c r="T6" s="21">
        <v>106.3</v>
      </c>
      <c r="U6" s="21">
        <v>107</v>
      </c>
      <c r="V6" s="21">
        <f t="shared" si="2"/>
        <v>320.39999999999998</v>
      </c>
      <c r="W6" s="22">
        <v>139.25</v>
      </c>
      <c r="X6" s="21">
        <v>106.2</v>
      </c>
      <c r="Y6" s="21">
        <v>105.2</v>
      </c>
      <c r="Z6" s="22">
        <f t="shared" si="3"/>
        <v>350.65</v>
      </c>
      <c r="AA6" s="21">
        <v>104.4</v>
      </c>
      <c r="AB6" s="21">
        <v>104.6</v>
      </c>
      <c r="AC6" s="21">
        <f t="shared" si="4"/>
        <v>209</v>
      </c>
      <c r="AD6" s="27">
        <v>103.9</v>
      </c>
      <c r="AE6" s="27">
        <v>104</v>
      </c>
      <c r="AF6" s="27">
        <v>104.1</v>
      </c>
      <c r="AG6" s="21">
        <f t="shared" si="5"/>
        <v>208.1</v>
      </c>
      <c r="AH6" s="27">
        <v>105.6</v>
      </c>
      <c r="AI6" s="27">
        <v>104.4</v>
      </c>
      <c r="AJ6" s="21">
        <f t="shared" si="6"/>
        <v>210</v>
      </c>
      <c r="AK6" s="21">
        <v>105.8</v>
      </c>
    </row>
    <row r="7" spans="1:37">
      <c r="A7" s="21" t="s">
        <v>33</v>
      </c>
      <c r="B7" s="26">
        <v>2013</v>
      </c>
      <c r="C7" s="21" t="s">
        <v>35</v>
      </c>
      <c r="D7" s="21" t="str">
        <f t="shared" si="0"/>
        <v>No</v>
      </c>
      <c r="E7" s="27">
        <v>112.9</v>
      </c>
      <c r="F7" s="27">
        <v>112.9</v>
      </c>
      <c r="G7" s="27">
        <v>116.9</v>
      </c>
      <c r="H7" s="27">
        <v>104</v>
      </c>
      <c r="I7" s="27">
        <v>103.5</v>
      </c>
      <c r="J7" s="27">
        <v>103.1</v>
      </c>
      <c r="K7" s="27">
        <v>104.9</v>
      </c>
      <c r="L7" s="27">
        <v>104.1</v>
      </c>
      <c r="M7" s="27">
        <v>103.8</v>
      </c>
      <c r="N7" s="27">
        <v>102.3</v>
      </c>
      <c r="O7" s="27">
        <v>106</v>
      </c>
      <c r="P7" s="27">
        <v>109</v>
      </c>
      <c r="Q7" s="27">
        <v>107.2</v>
      </c>
      <c r="R7" s="21">
        <f t="shared" si="1"/>
        <v>1390.6000000000001</v>
      </c>
      <c r="S7" s="21">
        <v>106.6</v>
      </c>
      <c r="T7" s="21">
        <v>105.5</v>
      </c>
      <c r="U7" s="21">
        <v>106.4</v>
      </c>
      <c r="V7" s="21">
        <f t="shared" si="2"/>
        <v>318.5</v>
      </c>
      <c r="W7" s="22">
        <v>100.4</v>
      </c>
      <c r="X7" s="21">
        <v>105.7</v>
      </c>
      <c r="Y7" s="21">
        <v>105.2</v>
      </c>
      <c r="Z7" s="22">
        <f t="shared" si="3"/>
        <v>311.3</v>
      </c>
      <c r="AA7" s="21">
        <v>104.7</v>
      </c>
      <c r="AB7" s="21">
        <v>104.3</v>
      </c>
      <c r="AC7" s="21">
        <f t="shared" si="4"/>
        <v>209</v>
      </c>
      <c r="AD7" s="27">
        <v>104.4</v>
      </c>
      <c r="AE7" s="27">
        <v>103.3</v>
      </c>
      <c r="AF7" s="27">
        <v>103.7</v>
      </c>
      <c r="AG7" s="21">
        <f t="shared" si="5"/>
        <v>207</v>
      </c>
      <c r="AH7" s="27">
        <v>106</v>
      </c>
      <c r="AI7" s="27">
        <v>104.3</v>
      </c>
      <c r="AJ7" s="21">
        <f t="shared" si="6"/>
        <v>210.3</v>
      </c>
      <c r="AK7" s="21">
        <v>104.7</v>
      </c>
    </row>
    <row r="8" spans="1:37">
      <c r="A8" s="21" t="s">
        <v>34</v>
      </c>
      <c r="B8" s="26">
        <v>2013</v>
      </c>
      <c r="C8" s="21" t="s">
        <v>35</v>
      </c>
      <c r="D8" s="21" t="str">
        <f t="shared" si="0"/>
        <v>No</v>
      </c>
      <c r="E8" s="27">
        <v>110.4</v>
      </c>
      <c r="F8" s="27">
        <v>110.2</v>
      </c>
      <c r="G8" s="27">
        <v>112.8</v>
      </c>
      <c r="H8" s="27">
        <v>104.9</v>
      </c>
      <c r="I8" s="27">
        <v>105.5</v>
      </c>
      <c r="J8" s="27">
        <v>103.6</v>
      </c>
      <c r="K8" s="27">
        <v>103.2</v>
      </c>
      <c r="L8" s="27">
        <v>105.3</v>
      </c>
      <c r="M8" s="27">
        <v>105.1</v>
      </c>
      <c r="N8" s="27">
        <v>102.8</v>
      </c>
      <c r="O8" s="27">
        <v>105.5</v>
      </c>
      <c r="P8" s="27">
        <v>108.3</v>
      </c>
      <c r="Q8" s="27">
        <v>106.6</v>
      </c>
      <c r="R8" s="21">
        <f t="shared" si="1"/>
        <v>1384.2</v>
      </c>
      <c r="S8" s="21">
        <v>106.9</v>
      </c>
      <c r="T8" s="21">
        <v>106</v>
      </c>
      <c r="U8" s="21">
        <v>106.8</v>
      </c>
      <c r="V8" s="21">
        <f t="shared" si="2"/>
        <v>319.7</v>
      </c>
      <c r="W8" s="22">
        <v>100.4</v>
      </c>
      <c r="X8" s="21">
        <v>106</v>
      </c>
      <c r="Y8" s="21">
        <v>105.2</v>
      </c>
      <c r="Z8" s="22">
        <f t="shared" si="3"/>
        <v>311.60000000000002</v>
      </c>
      <c r="AA8" s="21">
        <v>104.5</v>
      </c>
      <c r="AB8" s="21">
        <v>104.5</v>
      </c>
      <c r="AC8" s="21">
        <f t="shared" si="4"/>
        <v>209</v>
      </c>
      <c r="AD8" s="27">
        <v>104.2</v>
      </c>
      <c r="AE8" s="27">
        <v>103.6</v>
      </c>
      <c r="AF8" s="27">
        <v>103.9</v>
      </c>
      <c r="AG8" s="21">
        <f t="shared" si="5"/>
        <v>207.5</v>
      </c>
      <c r="AH8" s="27">
        <v>105.7</v>
      </c>
      <c r="AI8" s="27">
        <v>104.4</v>
      </c>
      <c r="AJ8" s="21">
        <f t="shared" si="6"/>
        <v>210.10000000000002</v>
      </c>
      <c r="AK8" s="21">
        <v>105.3</v>
      </c>
    </row>
    <row r="9" spans="1:37">
      <c r="A9" s="21" t="s">
        <v>30</v>
      </c>
      <c r="B9" s="26">
        <v>2013</v>
      </c>
      <c r="C9" s="21" t="s">
        <v>36</v>
      </c>
      <c r="D9" s="21" t="str">
        <f t="shared" si="0"/>
        <v>No</v>
      </c>
      <c r="E9" s="27">
        <v>110.2</v>
      </c>
      <c r="F9" s="27">
        <v>108.8</v>
      </c>
      <c r="G9" s="27">
        <v>109.9</v>
      </c>
      <c r="H9" s="27">
        <v>105.6</v>
      </c>
      <c r="I9" s="27">
        <v>106.2</v>
      </c>
      <c r="J9" s="27">
        <v>105.7</v>
      </c>
      <c r="K9" s="27">
        <v>101.4</v>
      </c>
      <c r="L9" s="27">
        <v>105.7</v>
      </c>
      <c r="M9" s="27">
        <v>105</v>
      </c>
      <c r="N9" s="27">
        <v>103.3</v>
      </c>
      <c r="O9" s="27">
        <v>105.6</v>
      </c>
      <c r="P9" s="27">
        <v>108.2</v>
      </c>
      <c r="Q9" s="27">
        <v>106.6</v>
      </c>
      <c r="R9" s="21">
        <f t="shared" si="1"/>
        <v>1382.2</v>
      </c>
      <c r="S9" s="21">
        <v>107.6</v>
      </c>
      <c r="T9" s="21">
        <v>106.8</v>
      </c>
      <c r="U9" s="21">
        <v>107.5</v>
      </c>
      <c r="V9" s="21">
        <f t="shared" si="2"/>
        <v>321.89999999999998</v>
      </c>
      <c r="W9" s="22">
        <v>139.25</v>
      </c>
      <c r="X9" s="21">
        <v>106.1</v>
      </c>
      <c r="Y9" s="21">
        <v>105.6</v>
      </c>
      <c r="Z9" s="22">
        <f t="shared" si="3"/>
        <v>350.95</v>
      </c>
      <c r="AA9" s="21">
        <v>104.7</v>
      </c>
      <c r="AB9" s="21">
        <v>104.3</v>
      </c>
      <c r="AC9" s="21">
        <f t="shared" si="4"/>
        <v>209</v>
      </c>
      <c r="AD9" s="27">
        <v>104.6</v>
      </c>
      <c r="AE9" s="27">
        <v>104</v>
      </c>
      <c r="AF9" s="27">
        <v>104.3</v>
      </c>
      <c r="AG9" s="21">
        <f t="shared" si="5"/>
        <v>208.3</v>
      </c>
      <c r="AH9" s="27">
        <v>106.5</v>
      </c>
      <c r="AI9" s="27">
        <v>104.6</v>
      </c>
      <c r="AJ9" s="21">
        <f t="shared" si="6"/>
        <v>211.1</v>
      </c>
      <c r="AK9" s="21">
        <v>106</v>
      </c>
    </row>
    <row r="10" spans="1:37">
      <c r="A10" s="21" t="s">
        <v>33</v>
      </c>
      <c r="B10" s="26">
        <v>2013</v>
      </c>
      <c r="C10" s="21" t="s">
        <v>36</v>
      </c>
      <c r="D10" s="21" t="str">
        <f t="shared" si="0"/>
        <v>No</v>
      </c>
      <c r="E10" s="27">
        <v>113.9</v>
      </c>
      <c r="F10" s="27">
        <v>111.4</v>
      </c>
      <c r="G10" s="27">
        <v>113.2</v>
      </c>
      <c r="H10" s="27">
        <v>104.3</v>
      </c>
      <c r="I10" s="27">
        <v>102.7</v>
      </c>
      <c r="J10" s="27">
        <v>104.9</v>
      </c>
      <c r="K10" s="27">
        <v>103.8</v>
      </c>
      <c r="L10" s="27">
        <v>103.5</v>
      </c>
      <c r="M10" s="27">
        <v>102.6</v>
      </c>
      <c r="N10" s="27">
        <v>102.4</v>
      </c>
      <c r="O10" s="27">
        <v>107</v>
      </c>
      <c r="P10" s="27">
        <v>109.8</v>
      </c>
      <c r="Q10" s="27">
        <v>107.3</v>
      </c>
      <c r="R10" s="21">
        <f t="shared" si="1"/>
        <v>1386.8</v>
      </c>
      <c r="S10" s="21">
        <v>107.2</v>
      </c>
      <c r="T10" s="21">
        <v>106</v>
      </c>
      <c r="U10" s="21">
        <v>107</v>
      </c>
      <c r="V10" s="21">
        <f t="shared" si="2"/>
        <v>320.2</v>
      </c>
      <c r="W10" s="22">
        <v>100.4</v>
      </c>
      <c r="X10" s="21">
        <v>106</v>
      </c>
      <c r="Y10" s="21">
        <v>105.7</v>
      </c>
      <c r="Z10" s="22">
        <f t="shared" si="3"/>
        <v>312.10000000000002</v>
      </c>
      <c r="AA10" s="21">
        <v>105.2</v>
      </c>
      <c r="AB10" s="21">
        <v>104.2</v>
      </c>
      <c r="AC10" s="21">
        <f t="shared" si="4"/>
        <v>209.4</v>
      </c>
      <c r="AD10" s="27">
        <v>105.5</v>
      </c>
      <c r="AE10" s="27">
        <v>103.5</v>
      </c>
      <c r="AF10" s="27">
        <v>103.8</v>
      </c>
      <c r="AG10" s="21">
        <f t="shared" si="5"/>
        <v>207.3</v>
      </c>
      <c r="AH10" s="27">
        <v>106.8</v>
      </c>
      <c r="AI10" s="27">
        <v>104.9</v>
      </c>
      <c r="AJ10" s="21">
        <f t="shared" si="6"/>
        <v>211.7</v>
      </c>
      <c r="AK10" s="21">
        <v>105</v>
      </c>
    </row>
    <row r="11" spans="1:37">
      <c r="A11" s="21" t="s">
        <v>34</v>
      </c>
      <c r="B11" s="26">
        <v>2013</v>
      </c>
      <c r="C11" s="21" t="s">
        <v>36</v>
      </c>
      <c r="D11" s="21" t="str">
        <f t="shared" si="0"/>
        <v>No</v>
      </c>
      <c r="E11" s="27">
        <v>111.4</v>
      </c>
      <c r="F11" s="27">
        <v>109.7</v>
      </c>
      <c r="G11" s="27">
        <v>111.2</v>
      </c>
      <c r="H11" s="27">
        <v>105.1</v>
      </c>
      <c r="I11" s="27">
        <v>104.9</v>
      </c>
      <c r="J11" s="27">
        <v>105.3</v>
      </c>
      <c r="K11" s="27">
        <v>102.2</v>
      </c>
      <c r="L11" s="27">
        <v>105</v>
      </c>
      <c r="M11" s="27">
        <v>104.2</v>
      </c>
      <c r="N11" s="27">
        <v>103</v>
      </c>
      <c r="O11" s="27">
        <v>106.2</v>
      </c>
      <c r="P11" s="27">
        <v>108.9</v>
      </c>
      <c r="Q11" s="27">
        <v>106.9</v>
      </c>
      <c r="R11" s="21">
        <f t="shared" si="1"/>
        <v>1384.0000000000002</v>
      </c>
      <c r="S11" s="21">
        <v>107.4</v>
      </c>
      <c r="T11" s="21">
        <v>106.5</v>
      </c>
      <c r="U11" s="21">
        <v>107.3</v>
      </c>
      <c r="V11" s="21">
        <f t="shared" si="2"/>
        <v>321.2</v>
      </c>
      <c r="W11" s="22">
        <v>100.4</v>
      </c>
      <c r="X11" s="21">
        <v>106.1</v>
      </c>
      <c r="Y11" s="21">
        <v>105.6</v>
      </c>
      <c r="Z11" s="22">
        <f t="shared" si="3"/>
        <v>312.10000000000002</v>
      </c>
      <c r="AA11" s="21">
        <v>104.9</v>
      </c>
      <c r="AB11" s="21">
        <v>104.3</v>
      </c>
      <c r="AC11" s="21">
        <f t="shared" si="4"/>
        <v>209.2</v>
      </c>
      <c r="AD11" s="27">
        <v>105.1</v>
      </c>
      <c r="AE11" s="27">
        <v>103.7</v>
      </c>
      <c r="AF11" s="27">
        <v>104</v>
      </c>
      <c r="AG11" s="21">
        <f t="shared" si="5"/>
        <v>207.7</v>
      </c>
      <c r="AH11" s="27">
        <v>106.6</v>
      </c>
      <c r="AI11" s="27">
        <v>104.7</v>
      </c>
      <c r="AJ11" s="21">
        <f t="shared" si="6"/>
        <v>211.3</v>
      </c>
      <c r="AK11" s="21">
        <v>105.5</v>
      </c>
    </row>
    <row r="12" spans="1:37">
      <c r="A12" s="21" t="s">
        <v>30</v>
      </c>
      <c r="B12" s="26">
        <v>2013</v>
      </c>
      <c r="C12" s="21" t="s">
        <v>37</v>
      </c>
      <c r="D12" s="21" t="str">
        <f t="shared" si="0"/>
        <v>No</v>
      </c>
      <c r="E12" s="27">
        <v>110.2</v>
      </c>
      <c r="F12" s="27">
        <v>109.5</v>
      </c>
      <c r="G12" s="27">
        <v>106.9</v>
      </c>
      <c r="H12" s="27">
        <v>106.3</v>
      </c>
      <c r="I12" s="27">
        <v>105.7</v>
      </c>
      <c r="J12" s="27">
        <v>108.3</v>
      </c>
      <c r="K12" s="27">
        <v>103.4</v>
      </c>
      <c r="L12" s="27">
        <v>105.7</v>
      </c>
      <c r="M12" s="27">
        <v>104.2</v>
      </c>
      <c r="N12" s="27">
        <v>103.2</v>
      </c>
      <c r="O12" s="27">
        <v>106.5</v>
      </c>
      <c r="P12" s="27">
        <v>108.8</v>
      </c>
      <c r="Q12" s="27">
        <v>107.1</v>
      </c>
      <c r="R12" s="21">
        <f t="shared" si="1"/>
        <v>1385.8</v>
      </c>
      <c r="S12" s="21">
        <v>108.1</v>
      </c>
      <c r="T12" s="21">
        <v>107.4</v>
      </c>
      <c r="U12" s="21">
        <v>108</v>
      </c>
      <c r="V12" s="21">
        <f t="shared" si="2"/>
        <v>323.5</v>
      </c>
      <c r="W12" s="22">
        <v>139.25</v>
      </c>
      <c r="X12" s="21">
        <v>106.5</v>
      </c>
      <c r="Y12" s="21">
        <v>106.1</v>
      </c>
      <c r="Z12" s="22">
        <f t="shared" si="3"/>
        <v>351.85</v>
      </c>
      <c r="AA12" s="21">
        <v>105.1</v>
      </c>
      <c r="AB12" s="21">
        <v>102.7</v>
      </c>
      <c r="AC12" s="21">
        <f t="shared" si="4"/>
        <v>207.8</v>
      </c>
      <c r="AD12" s="27">
        <v>104.4</v>
      </c>
      <c r="AE12" s="27">
        <v>104.5</v>
      </c>
      <c r="AF12" s="27">
        <v>104.8</v>
      </c>
      <c r="AG12" s="21">
        <f t="shared" si="5"/>
        <v>209.3</v>
      </c>
      <c r="AH12" s="27">
        <v>107.1</v>
      </c>
      <c r="AI12" s="27">
        <v>104.6</v>
      </c>
      <c r="AJ12" s="21">
        <f t="shared" si="6"/>
        <v>211.7</v>
      </c>
      <c r="AK12" s="21">
        <v>106.4</v>
      </c>
    </row>
    <row r="13" spans="1:37">
      <c r="A13" s="21" t="s">
        <v>33</v>
      </c>
      <c r="B13" s="26">
        <v>2013</v>
      </c>
      <c r="C13" s="21" t="s">
        <v>37</v>
      </c>
      <c r="D13" s="21" t="str">
        <f t="shared" si="0"/>
        <v>No</v>
      </c>
      <c r="E13" s="27">
        <v>114.6</v>
      </c>
      <c r="F13" s="27">
        <v>113.4</v>
      </c>
      <c r="G13" s="27">
        <v>106</v>
      </c>
      <c r="H13" s="27">
        <v>104.7</v>
      </c>
      <c r="I13" s="27">
        <v>102.1</v>
      </c>
      <c r="J13" s="27">
        <v>109.5</v>
      </c>
      <c r="K13" s="27">
        <v>109.7</v>
      </c>
      <c r="L13" s="27">
        <v>104.6</v>
      </c>
      <c r="M13" s="27">
        <v>102</v>
      </c>
      <c r="N13" s="27">
        <v>103.5</v>
      </c>
      <c r="O13" s="27">
        <v>108.2</v>
      </c>
      <c r="P13" s="27">
        <v>110.6</v>
      </c>
      <c r="Q13" s="27">
        <v>108.8</v>
      </c>
      <c r="R13" s="21">
        <f t="shared" si="1"/>
        <v>1397.6999999999998</v>
      </c>
      <c r="S13" s="21">
        <v>107.9</v>
      </c>
      <c r="T13" s="21">
        <v>106.4</v>
      </c>
      <c r="U13" s="21">
        <v>107.7</v>
      </c>
      <c r="V13" s="21">
        <f t="shared" si="2"/>
        <v>322</v>
      </c>
      <c r="W13" s="22">
        <v>100.5</v>
      </c>
      <c r="X13" s="21">
        <v>106.4</v>
      </c>
      <c r="Y13" s="21">
        <v>106.5</v>
      </c>
      <c r="Z13" s="22">
        <f t="shared" si="3"/>
        <v>313.39999999999998</v>
      </c>
      <c r="AA13" s="21">
        <v>105.7</v>
      </c>
      <c r="AB13" s="21">
        <v>103.2</v>
      </c>
      <c r="AC13" s="21">
        <f t="shared" si="4"/>
        <v>208.9</v>
      </c>
      <c r="AD13" s="27">
        <v>105</v>
      </c>
      <c r="AE13" s="27">
        <v>104</v>
      </c>
      <c r="AF13" s="27">
        <v>105.2</v>
      </c>
      <c r="AG13" s="21">
        <f t="shared" si="5"/>
        <v>209.2</v>
      </c>
      <c r="AH13" s="27">
        <v>108.5</v>
      </c>
      <c r="AI13" s="27">
        <v>105.1</v>
      </c>
      <c r="AJ13" s="21">
        <f t="shared" si="6"/>
        <v>213.6</v>
      </c>
      <c r="AK13" s="21">
        <v>105.7</v>
      </c>
    </row>
    <row r="14" spans="1:37">
      <c r="A14" s="21" t="s">
        <v>34</v>
      </c>
      <c r="B14" s="26">
        <v>2013</v>
      </c>
      <c r="C14" s="21" t="s">
        <v>37</v>
      </c>
      <c r="D14" s="21" t="str">
        <f t="shared" si="0"/>
        <v>No</v>
      </c>
      <c r="E14" s="27">
        <v>111.6</v>
      </c>
      <c r="F14" s="27">
        <v>110.9</v>
      </c>
      <c r="G14" s="27">
        <v>106.6</v>
      </c>
      <c r="H14" s="27">
        <v>105.7</v>
      </c>
      <c r="I14" s="27">
        <v>104.4</v>
      </c>
      <c r="J14" s="27">
        <v>108.9</v>
      </c>
      <c r="K14" s="27">
        <v>105.5</v>
      </c>
      <c r="L14" s="27">
        <v>105.3</v>
      </c>
      <c r="M14" s="27">
        <v>103.5</v>
      </c>
      <c r="N14" s="27">
        <v>103.3</v>
      </c>
      <c r="O14" s="27">
        <v>107.2</v>
      </c>
      <c r="P14" s="27">
        <v>109.6</v>
      </c>
      <c r="Q14" s="27">
        <v>107.7</v>
      </c>
      <c r="R14" s="21">
        <f t="shared" si="1"/>
        <v>1390.2</v>
      </c>
      <c r="S14" s="21">
        <v>108</v>
      </c>
      <c r="T14" s="21">
        <v>107</v>
      </c>
      <c r="U14" s="21">
        <v>107.9</v>
      </c>
      <c r="V14" s="21">
        <f t="shared" si="2"/>
        <v>322.89999999999998</v>
      </c>
      <c r="W14" s="22">
        <v>100.5</v>
      </c>
      <c r="X14" s="21">
        <v>106.5</v>
      </c>
      <c r="Y14" s="21">
        <v>106.3</v>
      </c>
      <c r="Z14" s="22">
        <f t="shared" si="3"/>
        <v>313.3</v>
      </c>
      <c r="AA14" s="21">
        <v>105.3</v>
      </c>
      <c r="AB14" s="21">
        <v>102.9</v>
      </c>
      <c r="AC14" s="21">
        <f t="shared" si="4"/>
        <v>208.2</v>
      </c>
      <c r="AD14" s="27">
        <v>104.7</v>
      </c>
      <c r="AE14" s="27">
        <v>104.2</v>
      </c>
      <c r="AF14" s="27">
        <v>105</v>
      </c>
      <c r="AG14" s="21">
        <f t="shared" si="5"/>
        <v>209.2</v>
      </c>
      <c r="AH14" s="27">
        <v>107.5</v>
      </c>
      <c r="AI14" s="27">
        <v>104.8</v>
      </c>
      <c r="AJ14" s="21">
        <f t="shared" si="6"/>
        <v>212.3</v>
      </c>
      <c r="AK14" s="21">
        <v>106.1</v>
      </c>
    </row>
    <row r="15" spans="1:37">
      <c r="A15" s="21" t="s">
        <v>30</v>
      </c>
      <c r="B15" s="26">
        <v>2013</v>
      </c>
      <c r="C15" s="21" t="s">
        <v>38</v>
      </c>
      <c r="D15" s="21" t="str">
        <f t="shared" si="0"/>
        <v>No</v>
      </c>
      <c r="E15" s="27">
        <v>110.9</v>
      </c>
      <c r="F15" s="27">
        <v>109.8</v>
      </c>
      <c r="G15" s="27">
        <v>105.9</v>
      </c>
      <c r="H15" s="27">
        <v>107.5</v>
      </c>
      <c r="I15" s="27">
        <v>105.3</v>
      </c>
      <c r="J15" s="27">
        <v>108.1</v>
      </c>
      <c r="K15" s="27">
        <v>107.3</v>
      </c>
      <c r="L15" s="27">
        <v>106.1</v>
      </c>
      <c r="M15" s="27">
        <v>103.7</v>
      </c>
      <c r="N15" s="27">
        <v>104</v>
      </c>
      <c r="O15" s="27">
        <v>107.4</v>
      </c>
      <c r="P15" s="27">
        <v>109.9</v>
      </c>
      <c r="Q15" s="27">
        <v>108.1</v>
      </c>
      <c r="R15" s="21">
        <f t="shared" si="1"/>
        <v>1394</v>
      </c>
      <c r="S15" s="21">
        <v>108.8</v>
      </c>
      <c r="T15" s="21">
        <v>107.9</v>
      </c>
      <c r="U15" s="21">
        <v>108.6</v>
      </c>
      <c r="V15" s="21">
        <f t="shared" si="2"/>
        <v>325.29999999999995</v>
      </c>
      <c r="W15" s="22">
        <v>139.25</v>
      </c>
      <c r="X15" s="21">
        <v>107.5</v>
      </c>
      <c r="Y15" s="21">
        <v>106.8</v>
      </c>
      <c r="Z15" s="22">
        <f t="shared" si="3"/>
        <v>353.55</v>
      </c>
      <c r="AA15" s="21">
        <v>105.7</v>
      </c>
      <c r="AB15" s="21">
        <v>102.1</v>
      </c>
      <c r="AC15" s="21">
        <f t="shared" si="4"/>
        <v>207.8</v>
      </c>
      <c r="AD15" s="27">
        <v>104.1</v>
      </c>
      <c r="AE15" s="27">
        <v>105</v>
      </c>
      <c r="AF15" s="27">
        <v>105.5</v>
      </c>
      <c r="AG15" s="21">
        <f t="shared" si="5"/>
        <v>210.5</v>
      </c>
      <c r="AH15" s="27">
        <v>108.1</v>
      </c>
      <c r="AI15" s="27">
        <v>104.8</v>
      </c>
      <c r="AJ15" s="21">
        <f t="shared" si="6"/>
        <v>212.89999999999998</v>
      </c>
      <c r="AK15" s="21">
        <v>107.2</v>
      </c>
    </row>
    <row r="16" spans="1:37">
      <c r="A16" s="21" t="s">
        <v>33</v>
      </c>
      <c r="B16" s="26">
        <v>2013</v>
      </c>
      <c r="C16" s="21" t="s">
        <v>38</v>
      </c>
      <c r="D16" s="21" t="str">
        <f t="shared" si="0"/>
        <v>No</v>
      </c>
      <c r="E16" s="27">
        <v>115.4</v>
      </c>
      <c r="F16" s="27">
        <v>114.2</v>
      </c>
      <c r="G16" s="27">
        <v>102.7</v>
      </c>
      <c r="H16" s="27">
        <v>105.5</v>
      </c>
      <c r="I16" s="27">
        <v>101.5</v>
      </c>
      <c r="J16" s="27">
        <v>110.6</v>
      </c>
      <c r="K16" s="27">
        <v>123.7</v>
      </c>
      <c r="L16" s="27">
        <v>105.2</v>
      </c>
      <c r="M16" s="27">
        <v>101.9</v>
      </c>
      <c r="N16" s="27">
        <v>105</v>
      </c>
      <c r="O16" s="27">
        <v>109.1</v>
      </c>
      <c r="P16" s="27">
        <v>111.3</v>
      </c>
      <c r="Q16" s="27">
        <v>111.1</v>
      </c>
      <c r="R16" s="21">
        <f t="shared" si="1"/>
        <v>1417.1999999999998</v>
      </c>
      <c r="S16" s="21">
        <v>108.5</v>
      </c>
      <c r="T16" s="21">
        <v>106.7</v>
      </c>
      <c r="U16" s="21">
        <v>108.3</v>
      </c>
      <c r="V16" s="21">
        <f t="shared" si="2"/>
        <v>323.5</v>
      </c>
      <c r="W16" s="22">
        <v>100.5</v>
      </c>
      <c r="X16" s="21">
        <v>107.2</v>
      </c>
      <c r="Y16" s="21">
        <v>107.1</v>
      </c>
      <c r="Z16" s="22">
        <f t="shared" si="3"/>
        <v>314.79999999999995</v>
      </c>
      <c r="AA16" s="21">
        <v>106.2</v>
      </c>
      <c r="AB16" s="21">
        <v>102.6</v>
      </c>
      <c r="AC16" s="21">
        <f t="shared" si="4"/>
        <v>208.8</v>
      </c>
      <c r="AD16" s="27">
        <v>103.9</v>
      </c>
      <c r="AE16" s="27">
        <v>104.6</v>
      </c>
      <c r="AF16" s="27">
        <v>105.7</v>
      </c>
      <c r="AG16" s="21">
        <f t="shared" si="5"/>
        <v>210.3</v>
      </c>
      <c r="AH16" s="27">
        <v>109.8</v>
      </c>
      <c r="AI16" s="27">
        <v>104.9</v>
      </c>
      <c r="AJ16" s="21">
        <f t="shared" si="6"/>
        <v>214.7</v>
      </c>
      <c r="AK16" s="21">
        <v>106.6</v>
      </c>
    </row>
    <row r="17" spans="1:37">
      <c r="A17" s="21" t="s">
        <v>34</v>
      </c>
      <c r="B17" s="26">
        <v>2013</v>
      </c>
      <c r="C17" s="21" t="s">
        <v>38</v>
      </c>
      <c r="D17" s="21" t="str">
        <f t="shared" si="0"/>
        <v>No</v>
      </c>
      <c r="E17" s="27">
        <v>112.3</v>
      </c>
      <c r="F17" s="27">
        <v>111.3</v>
      </c>
      <c r="G17" s="27">
        <v>104.7</v>
      </c>
      <c r="H17" s="27">
        <v>106.8</v>
      </c>
      <c r="I17" s="27">
        <v>103.9</v>
      </c>
      <c r="J17" s="27">
        <v>109.3</v>
      </c>
      <c r="K17" s="27">
        <v>112.9</v>
      </c>
      <c r="L17" s="27">
        <v>105.8</v>
      </c>
      <c r="M17" s="27">
        <v>103.1</v>
      </c>
      <c r="N17" s="27">
        <v>104.3</v>
      </c>
      <c r="O17" s="27">
        <v>108.1</v>
      </c>
      <c r="P17" s="27">
        <v>110.5</v>
      </c>
      <c r="Q17" s="27">
        <v>109.2</v>
      </c>
      <c r="R17" s="21">
        <f t="shared" si="1"/>
        <v>1402.1999999999998</v>
      </c>
      <c r="S17" s="21">
        <v>108.7</v>
      </c>
      <c r="T17" s="21">
        <v>107.4</v>
      </c>
      <c r="U17" s="21">
        <v>108.5</v>
      </c>
      <c r="V17" s="21">
        <f t="shared" si="2"/>
        <v>324.60000000000002</v>
      </c>
      <c r="W17" s="22">
        <v>100.5</v>
      </c>
      <c r="X17" s="21">
        <v>107.4</v>
      </c>
      <c r="Y17" s="21">
        <v>106.9</v>
      </c>
      <c r="Z17" s="22">
        <f t="shared" si="3"/>
        <v>314.8</v>
      </c>
      <c r="AA17" s="21">
        <v>105.9</v>
      </c>
      <c r="AB17" s="21">
        <v>102.3</v>
      </c>
      <c r="AC17" s="21">
        <f t="shared" si="4"/>
        <v>208.2</v>
      </c>
      <c r="AD17" s="27">
        <v>104</v>
      </c>
      <c r="AE17" s="27">
        <v>104.8</v>
      </c>
      <c r="AF17" s="27">
        <v>105.6</v>
      </c>
      <c r="AG17" s="21">
        <f t="shared" si="5"/>
        <v>210.39999999999998</v>
      </c>
      <c r="AH17" s="27">
        <v>108.6</v>
      </c>
      <c r="AI17" s="27">
        <v>104.8</v>
      </c>
      <c r="AJ17" s="21">
        <f t="shared" si="6"/>
        <v>213.39999999999998</v>
      </c>
      <c r="AK17" s="21">
        <v>106.9</v>
      </c>
    </row>
    <row r="18" spans="1:37">
      <c r="A18" s="21" t="s">
        <v>30</v>
      </c>
      <c r="B18" s="26">
        <v>2013</v>
      </c>
      <c r="C18" s="21" t="s">
        <v>39</v>
      </c>
      <c r="D18" s="21" t="str">
        <f t="shared" si="0"/>
        <v>No</v>
      </c>
      <c r="E18" s="27">
        <v>112.3</v>
      </c>
      <c r="F18" s="27">
        <v>112.1</v>
      </c>
      <c r="G18" s="27">
        <v>108.1</v>
      </c>
      <c r="H18" s="27">
        <v>108.3</v>
      </c>
      <c r="I18" s="27">
        <v>105.9</v>
      </c>
      <c r="J18" s="27">
        <v>109.2</v>
      </c>
      <c r="K18" s="27">
        <v>118</v>
      </c>
      <c r="L18" s="27">
        <v>106.8</v>
      </c>
      <c r="M18" s="27">
        <v>104.1</v>
      </c>
      <c r="N18" s="27">
        <v>105.4</v>
      </c>
      <c r="O18" s="27">
        <v>108.2</v>
      </c>
      <c r="P18" s="27">
        <v>111</v>
      </c>
      <c r="Q18" s="27">
        <v>110.6</v>
      </c>
      <c r="R18" s="21">
        <f t="shared" si="1"/>
        <v>1420</v>
      </c>
      <c r="S18" s="21">
        <v>109.7</v>
      </c>
      <c r="T18" s="21">
        <v>108.8</v>
      </c>
      <c r="U18" s="21">
        <v>109.5</v>
      </c>
      <c r="V18" s="21">
        <f t="shared" si="2"/>
        <v>328</v>
      </c>
      <c r="W18" s="22">
        <v>139.25</v>
      </c>
      <c r="X18" s="21">
        <v>108.5</v>
      </c>
      <c r="Y18" s="21">
        <v>107.5</v>
      </c>
      <c r="Z18" s="22">
        <f t="shared" si="3"/>
        <v>355.25</v>
      </c>
      <c r="AA18" s="21">
        <v>106.3</v>
      </c>
      <c r="AB18" s="21">
        <v>102.5</v>
      </c>
      <c r="AC18" s="21">
        <f t="shared" si="4"/>
        <v>208.8</v>
      </c>
      <c r="AD18" s="27">
        <v>105</v>
      </c>
      <c r="AE18" s="27">
        <v>105.6</v>
      </c>
      <c r="AF18" s="27">
        <v>106.5</v>
      </c>
      <c r="AG18" s="21">
        <f t="shared" si="5"/>
        <v>212.1</v>
      </c>
      <c r="AH18" s="27">
        <v>109</v>
      </c>
      <c r="AI18" s="27">
        <v>105.5</v>
      </c>
      <c r="AJ18" s="21">
        <f t="shared" si="6"/>
        <v>214.5</v>
      </c>
      <c r="AK18" s="21">
        <v>108.9</v>
      </c>
    </row>
    <row r="19" spans="1:37">
      <c r="A19" s="21" t="s">
        <v>33</v>
      </c>
      <c r="B19" s="26">
        <v>2013</v>
      </c>
      <c r="C19" s="21" t="s">
        <v>39</v>
      </c>
      <c r="D19" s="21" t="str">
        <f t="shared" si="0"/>
        <v>No</v>
      </c>
      <c r="E19" s="27">
        <v>117</v>
      </c>
      <c r="F19" s="27">
        <v>120.1</v>
      </c>
      <c r="G19" s="27">
        <v>112.5</v>
      </c>
      <c r="H19" s="27">
        <v>107.3</v>
      </c>
      <c r="I19" s="27">
        <v>101.3</v>
      </c>
      <c r="J19" s="27">
        <v>112.4</v>
      </c>
      <c r="K19" s="27">
        <v>143.6</v>
      </c>
      <c r="L19" s="27">
        <v>105.4</v>
      </c>
      <c r="M19" s="27">
        <v>101.4</v>
      </c>
      <c r="N19" s="27">
        <v>106.4</v>
      </c>
      <c r="O19" s="27">
        <v>110</v>
      </c>
      <c r="P19" s="27">
        <v>112.2</v>
      </c>
      <c r="Q19" s="27">
        <v>115</v>
      </c>
      <c r="R19" s="21">
        <f t="shared" si="1"/>
        <v>1464.6000000000001</v>
      </c>
      <c r="S19" s="21">
        <v>109.2</v>
      </c>
      <c r="T19" s="21">
        <v>107.2</v>
      </c>
      <c r="U19" s="21">
        <v>108.9</v>
      </c>
      <c r="V19" s="21">
        <f t="shared" si="2"/>
        <v>325.3</v>
      </c>
      <c r="W19" s="22">
        <v>106.6</v>
      </c>
      <c r="X19" s="21">
        <v>108</v>
      </c>
      <c r="Y19" s="21">
        <v>107.7</v>
      </c>
      <c r="Z19" s="22">
        <f t="shared" si="3"/>
        <v>322.3</v>
      </c>
      <c r="AA19" s="21">
        <v>106.5</v>
      </c>
      <c r="AB19" s="21">
        <v>103.3</v>
      </c>
      <c r="AC19" s="21">
        <f t="shared" si="4"/>
        <v>209.8</v>
      </c>
      <c r="AD19" s="27">
        <v>105.2</v>
      </c>
      <c r="AE19" s="27">
        <v>105.2</v>
      </c>
      <c r="AF19" s="27">
        <v>108.1</v>
      </c>
      <c r="AG19" s="21">
        <f t="shared" si="5"/>
        <v>213.3</v>
      </c>
      <c r="AH19" s="27">
        <v>110.9</v>
      </c>
      <c r="AI19" s="27">
        <v>106.1</v>
      </c>
      <c r="AJ19" s="21">
        <f t="shared" si="6"/>
        <v>217</v>
      </c>
      <c r="AK19" s="21">
        <v>109.7</v>
      </c>
    </row>
    <row r="20" spans="1:37">
      <c r="A20" s="21" t="s">
        <v>34</v>
      </c>
      <c r="B20" s="26">
        <v>2013</v>
      </c>
      <c r="C20" s="21" t="s">
        <v>39</v>
      </c>
      <c r="D20" s="21" t="str">
        <f t="shared" si="0"/>
        <v>No</v>
      </c>
      <c r="E20" s="27">
        <v>113.8</v>
      </c>
      <c r="F20" s="27">
        <v>114.9</v>
      </c>
      <c r="G20" s="27">
        <v>109.8</v>
      </c>
      <c r="H20" s="27">
        <v>107.9</v>
      </c>
      <c r="I20" s="27">
        <v>104.2</v>
      </c>
      <c r="J20" s="27">
        <v>110.7</v>
      </c>
      <c r="K20" s="27">
        <v>126.7</v>
      </c>
      <c r="L20" s="27">
        <v>106.3</v>
      </c>
      <c r="M20" s="27">
        <v>103.2</v>
      </c>
      <c r="N20" s="27">
        <v>105.7</v>
      </c>
      <c r="O20" s="27">
        <v>109</v>
      </c>
      <c r="P20" s="27">
        <v>111.6</v>
      </c>
      <c r="Q20" s="27">
        <v>112.2</v>
      </c>
      <c r="R20" s="21">
        <f t="shared" si="1"/>
        <v>1436</v>
      </c>
      <c r="S20" s="21">
        <v>109.5</v>
      </c>
      <c r="T20" s="21">
        <v>108.1</v>
      </c>
      <c r="U20" s="21">
        <v>109.3</v>
      </c>
      <c r="V20" s="21">
        <f t="shared" si="2"/>
        <v>326.89999999999998</v>
      </c>
      <c r="W20" s="22">
        <v>106.6</v>
      </c>
      <c r="X20" s="21">
        <v>108.3</v>
      </c>
      <c r="Y20" s="21">
        <v>107.6</v>
      </c>
      <c r="Z20" s="22">
        <f t="shared" si="3"/>
        <v>322.5</v>
      </c>
      <c r="AA20" s="21">
        <v>106.4</v>
      </c>
      <c r="AB20" s="21">
        <v>102.8</v>
      </c>
      <c r="AC20" s="21">
        <f t="shared" si="4"/>
        <v>209.2</v>
      </c>
      <c r="AD20" s="27">
        <v>105.1</v>
      </c>
      <c r="AE20" s="27">
        <v>105.4</v>
      </c>
      <c r="AF20" s="27">
        <v>107.4</v>
      </c>
      <c r="AG20" s="21">
        <f t="shared" si="5"/>
        <v>212.8</v>
      </c>
      <c r="AH20" s="27">
        <v>109.5</v>
      </c>
      <c r="AI20" s="27">
        <v>105.8</v>
      </c>
      <c r="AJ20" s="21">
        <f t="shared" si="6"/>
        <v>215.3</v>
      </c>
      <c r="AK20" s="21">
        <v>109.3</v>
      </c>
    </row>
    <row r="21" spans="1:37">
      <c r="A21" s="21" t="s">
        <v>30</v>
      </c>
      <c r="B21" s="26">
        <v>2013</v>
      </c>
      <c r="C21" s="21" t="s">
        <v>40</v>
      </c>
      <c r="D21" s="21" t="str">
        <f t="shared" si="0"/>
        <v>No</v>
      </c>
      <c r="E21" s="27">
        <v>113.4</v>
      </c>
      <c r="F21" s="27">
        <v>114.9</v>
      </c>
      <c r="G21" s="27">
        <v>110.5</v>
      </c>
      <c r="H21" s="27">
        <v>109.3</v>
      </c>
      <c r="I21" s="27">
        <v>106.2</v>
      </c>
      <c r="J21" s="27">
        <v>110.3</v>
      </c>
      <c r="K21" s="27">
        <v>129.19999999999999</v>
      </c>
      <c r="L21" s="27">
        <v>107.1</v>
      </c>
      <c r="M21" s="27">
        <v>104.3</v>
      </c>
      <c r="N21" s="27">
        <v>106.4</v>
      </c>
      <c r="O21" s="27">
        <v>109.1</v>
      </c>
      <c r="P21" s="27">
        <v>112.1</v>
      </c>
      <c r="Q21" s="27">
        <v>113.1</v>
      </c>
      <c r="R21" s="21">
        <f t="shared" si="1"/>
        <v>1445.8999999999996</v>
      </c>
      <c r="S21" s="21">
        <v>110.5</v>
      </c>
      <c r="T21" s="21">
        <v>109.5</v>
      </c>
      <c r="U21" s="21">
        <v>110.3</v>
      </c>
      <c r="V21" s="21">
        <f t="shared" si="2"/>
        <v>330.3</v>
      </c>
      <c r="W21" s="22">
        <v>139.25</v>
      </c>
      <c r="X21" s="21">
        <v>109.5</v>
      </c>
      <c r="Y21" s="21">
        <v>108.3</v>
      </c>
      <c r="Z21" s="22">
        <f t="shared" si="3"/>
        <v>357.05</v>
      </c>
      <c r="AA21" s="21">
        <v>106.9</v>
      </c>
      <c r="AB21" s="21">
        <v>102.5</v>
      </c>
      <c r="AC21" s="21">
        <f t="shared" si="4"/>
        <v>209.4</v>
      </c>
      <c r="AD21" s="27">
        <v>106.8</v>
      </c>
      <c r="AE21" s="27">
        <v>106.4</v>
      </c>
      <c r="AF21" s="27">
        <v>107.8</v>
      </c>
      <c r="AG21" s="21">
        <f t="shared" si="5"/>
        <v>214.2</v>
      </c>
      <c r="AH21" s="27">
        <v>109.8</v>
      </c>
      <c r="AI21" s="27">
        <v>106.5</v>
      </c>
      <c r="AJ21" s="21">
        <f t="shared" si="6"/>
        <v>216.3</v>
      </c>
      <c r="AK21" s="21">
        <v>110.7</v>
      </c>
    </row>
    <row r="22" spans="1:37">
      <c r="A22" s="21" t="s">
        <v>33</v>
      </c>
      <c r="B22" s="26">
        <v>2013</v>
      </c>
      <c r="C22" s="21" t="s">
        <v>40</v>
      </c>
      <c r="D22" s="21" t="str">
        <f t="shared" si="0"/>
        <v>No</v>
      </c>
      <c r="E22" s="27">
        <v>117.8</v>
      </c>
      <c r="F22" s="27">
        <v>119.2</v>
      </c>
      <c r="G22" s="27">
        <v>114</v>
      </c>
      <c r="H22" s="27">
        <v>108.3</v>
      </c>
      <c r="I22" s="27">
        <v>101.1</v>
      </c>
      <c r="J22" s="27">
        <v>113.2</v>
      </c>
      <c r="K22" s="27">
        <v>160.9</v>
      </c>
      <c r="L22" s="27">
        <v>105.1</v>
      </c>
      <c r="M22" s="27">
        <v>101.3</v>
      </c>
      <c r="N22" s="27">
        <v>107.5</v>
      </c>
      <c r="O22" s="27">
        <v>110.4</v>
      </c>
      <c r="P22" s="27">
        <v>113.1</v>
      </c>
      <c r="Q22" s="27">
        <v>117.5</v>
      </c>
      <c r="R22" s="21">
        <f t="shared" si="1"/>
        <v>1489.4</v>
      </c>
      <c r="S22" s="21">
        <v>109.8</v>
      </c>
      <c r="T22" s="21">
        <v>107.8</v>
      </c>
      <c r="U22" s="21">
        <v>109.5</v>
      </c>
      <c r="V22" s="21">
        <f t="shared" si="2"/>
        <v>327.10000000000002</v>
      </c>
      <c r="W22" s="22">
        <v>107.7</v>
      </c>
      <c r="X22" s="21">
        <v>108.6</v>
      </c>
      <c r="Y22" s="21">
        <v>108.1</v>
      </c>
      <c r="Z22" s="22">
        <f t="shared" si="3"/>
        <v>324.39999999999998</v>
      </c>
      <c r="AA22" s="21">
        <v>107.1</v>
      </c>
      <c r="AB22" s="21">
        <v>103.2</v>
      </c>
      <c r="AC22" s="21">
        <f t="shared" si="4"/>
        <v>210.3</v>
      </c>
      <c r="AD22" s="27">
        <v>107.3</v>
      </c>
      <c r="AE22" s="27">
        <v>105.9</v>
      </c>
      <c r="AF22" s="27">
        <v>110.1</v>
      </c>
      <c r="AG22" s="21">
        <f t="shared" si="5"/>
        <v>216</v>
      </c>
      <c r="AH22" s="27">
        <v>111.7</v>
      </c>
      <c r="AI22" s="27">
        <v>107.3</v>
      </c>
      <c r="AJ22" s="21">
        <f t="shared" si="6"/>
        <v>219</v>
      </c>
      <c r="AK22" s="21">
        <v>111.4</v>
      </c>
    </row>
    <row r="23" spans="1:37">
      <c r="A23" s="21" t="s">
        <v>34</v>
      </c>
      <c r="B23" s="26">
        <v>2013</v>
      </c>
      <c r="C23" s="21" t="s">
        <v>40</v>
      </c>
      <c r="D23" s="21" t="str">
        <f t="shared" si="0"/>
        <v>No</v>
      </c>
      <c r="E23" s="27">
        <v>114.8</v>
      </c>
      <c r="F23" s="27">
        <v>116.4</v>
      </c>
      <c r="G23" s="27">
        <v>111.9</v>
      </c>
      <c r="H23" s="27">
        <v>108.9</v>
      </c>
      <c r="I23" s="27">
        <v>104.3</v>
      </c>
      <c r="J23" s="27">
        <v>111.7</v>
      </c>
      <c r="K23" s="27">
        <v>140</v>
      </c>
      <c r="L23" s="27">
        <v>106.4</v>
      </c>
      <c r="M23" s="27">
        <v>103.3</v>
      </c>
      <c r="N23" s="27">
        <v>106.8</v>
      </c>
      <c r="O23" s="27">
        <v>109.6</v>
      </c>
      <c r="P23" s="27">
        <v>112.6</v>
      </c>
      <c r="Q23" s="27">
        <v>114.7</v>
      </c>
      <c r="R23" s="21">
        <f t="shared" si="1"/>
        <v>1461.3999999999999</v>
      </c>
      <c r="S23" s="21">
        <v>110.2</v>
      </c>
      <c r="T23" s="21">
        <v>108.8</v>
      </c>
      <c r="U23" s="21">
        <v>110</v>
      </c>
      <c r="V23" s="21">
        <f t="shared" si="2"/>
        <v>329</v>
      </c>
      <c r="W23" s="22">
        <v>107.7</v>
      </c>
      <c r="X23" s="21">
        <v>109.2</v>
      </c>
      <c r="Y23" s="21">
        <v>108.2</v>
      </c>
      <c r="Z23" s="22">
        <f t="shared" si="3"/>
        <v>325.10000000000002</v>
      </c>
      <c r="AA23" s="21">
        <v>107</v>
      </c>
      <c r="AB23" s="21">
        <v>102.8</v>
      </c>
      <c r="AC23" s="21">
        <f t="shared" si="4"/>
        <v>209.8</v>
      </c>
      <c r="AD23" s="27">
        <v>107.1</v>
      </c>
      <c r="AE23" s="27">
        <v>106.1</v>
      </c>
      <c r="AF23" s="27">
        <v>109.1</v>
      </c>
      <c r="AG23" s="21">
        <f t="shared" si="5"/>
        <v>215.2</v>
      </c>
      <c r="AH23" s="27">
        <v>110.3</v>
      </c>
      <c r="AI23" s="27">
        <v>106.9</v>
      </c>
      <c r="AJ23" s="21">
        <f t="shared" si="6"/>
        <v>217.2</v>
      </c>
      <c r="AK23" s="21">
        <v>111</v>
      </c>
    </row>
    <row r="24" spans="1:37">
      <c r="A24" s="21" t="s">
        <v>30</v>
      </c>
      <c r="B24" s="26">
        <v>2013</v>
      </c>
      <c r="C24" s="21" t="s">
        <v>41</v>
      </c>
      <c r="D24" s="21" t="str">
        <f t="shared" si="0"/>
        <v>No</v>
      </c>
      <c r="E24" s="27">
        <v>114.3</v>
      </c>
      <c r="F24" s="27">
        <v>115.4</v>
      </c>
      <c r="G24" s="27">
        <v>111.1</v>
      </c>
      <c r="H24" s="27">
        <v>110</v>
      </c>
      <c r="I24" s="27">
        <v>106.4</v>
      </c>
      <c r="J24" s="27">
        <v>110.8</v>
      </c>
      <c r="K24" s="27">
        <v>138.9</v>
      </c>
      <c r="L24" s="27">
        <v>107.4</v>
      </c>
      <c r="M24" s="27">
        <v>104.1</v>
      </c>
      <c r="N24" s="27">
        <v>106.9</v>
      </c>
      <c r="O24" s="27">
        <v>109.7</v>
      </c>
      <c r="P24" s="27">
        <v>112.6</v>
      </c>
      <c r="Q24" s="27">
        <v>114.9</v>
      </c>
      <c r="R24" s="21">
        <f t="shared" si="1"/>
        <v>1462.5</v>
      </c>
      <c r="S24" s="21">
        <v>111.3</v>
      </c>
      <c r="T24" s="21">
        <v>110.2</v>
      </c>
      <c r="U24" s="21">
        <v>111.1</v>
      </c>
      <c r="V24" s="21">
        <f t="shared" si="2"/>
        <v>332.6</v>
      </c>
      <c r="W24" s="22">
        <v>139.25</v>
      </c>
      <c r="X24" s="21">
        <v>109.9</v>
      </c>
      <c r="Y24" s="21">
        <v>108.7</v>
      </c>
      <c r="Z24" s="22">
        <f t="shared" si="3"/>
        <v>357.85</v>
      </c>
      <c r="AA24" s="21">
        <v>107.5</v>
      </c>
      <c r="AB24" s="21">
        <v>105</v>
      </c>
      <c r="AC24" s="21">
        <f t="shared" si="4"/>
        <v>212.5</v>
      </c>
      <c r="AD24" s="27">
        <v>107.8</v>
      </c>
      <c r="AE24" s="27">
        <v>106.8</v>
      </c>
      <c r="AF24" s="27">
        <v>108.7</v>
      </c>
      <c r="AG24" s="21">
        <f t="shared" si="5"/>
        <v>215.5</v>
      </c>
      <c r="AH24" s="27">
        <v>110.7</v>
      </c>
      <c r="AI24" s="27">
        <v>107.5</v>
      </c>
      <c r="AJ24" s="21">
        <f t="shared" si="6"/>
        <v>218.2</v>
      </c>
      <c r="AK24" s="21">
        <v>112.1</v>
      </c>
    </row>
    <row r="25" spans="1:37">
      <c r="A25" s="21" t="s">
        <v>33</v>
      </c>
      <c r="B25" s="26">
        <v>2013</v>
      </c>
      <c r="C25" s="21" t="s">
        <v>41</v>
      </c>
      <c r="D25" s="21" t="str">
        <f t="shared" si="0"/>
        <v>No</v>
      </c>
      <c r="E25" s="27">
        <v>118.3</v>
      </c>
      <c r="F25" s="27">
        <v>120.4</v>
      </c>
      <c r="G25" s="27">
        <v>112.7</v>
      </c>
      <c r="H25" s="27">
        <v>108.9</v>
      </c>
      <c r="I25" s="27">
        <v>101.1</v>
      </c>
      <c r="J25" s="27">
        <v>108.7</v>
      </c>
      <c r="K25" s="27">
        <v>177</v>
      </c>
      <c r="L25" s="27">
        <v>104.7</v>
      </c>
      <c r="M25" s="27">
        <v>101</v>
      </c>
      <c r="N25" s="27">
        <v>108.5</v>
      </c>
      <c r="O25" s="27">
        <v>110.9</v>
      </c>
      <c r="P25" s="27">
        <v>114.3</v>
      </c>
      <c r="Q25" s="27">
        <v>119.6</v>
      </c>
      <c r="R25" s="21">
        <f t="shared" si="1"/>
        <v>1506.1000000000001</v>
      </c>
      <c r="S25" s="21">
        <v>110.6</v>
      </c>
      <c r="T25" s="21">
        <v>108.3</v>
      </c>
      <c r="U25" s="21">
        <v>110.2</v>
      </c>
      <c r="V25" s="21">
        <f t="shared" si="2"/>
        <v>329.09999999999997</v>
      </c>
      <c r="W25" s="22">
        <v>108.9</v>
      </c>
      <c r="X25" s="21">
        <v>109.3</v>
      </c>
      <c r="Y25" s="21">
        <v>108.7</v>
      </c>
      <c r="Z25" s="22">
        <f t="shared" si="3"/>
        <v>326.89999999999998</v>
      </c>
      <c r="AA25" s="21">
        <v>107.6</v>
      </c>
      <c r="AB25" s="21">
        <v>106</v>
      </c>
      <c r="AC25" s="21">
        <f t="shared" si="4"/>
        <v>213.6</v>
      </c>
      <c r="AD25" s="27">
        <v>108.1</v>
      </c>
      <c r="AE25" s="27">
        <v>106.5</v>
      </c>
      <c r="AF25" s="27">
        <v>110.8</v>
      </c>
      <c r="AG25" s="21">
        <f t="shared" si="5"/>
        <v>217.3</v>
      </c>
      <c r="AH25" s="27">
        <v>112.4</v>
      </c>
      <c r="AI25" s="27">
        <v>108.3</v>
      </c>
      <c r="AJ25" s="21">
        <f t="shared" si="6"/>
        <v>220.7</v>
      </c>
      <c r="AK25" s="21">
        <v>112.7</v>
      </c>
    </row>
    <row r="26" spans="1:37">
      <c r="A26" s="21" t="s">
        <v>34</v>
      </c>
      <c r="B26" s="26">
        <v>2013</v>
      </c>
      <c r="C26" s="21" t="s">
        <v>41</v>
      </c>
      <c r="D26" s="21" t="str">
        <f t="shared" si="0"/>
        <v>No</v>
      </c>
      <c r="E26" s="27">
        <v>115.6</v>
      </c>
      <c r="F26" s="27">
        <v>117.2</v>
      </c>
      <c r="G26" s="27">
        <v>111.7</v>
      </c>
      <c r="H26" s="27">
        <v>109.6</v>
      </c>
      <c r="I26" s="27">
        <v>104.5</v>
      </c>
      <c r="J26" s="27">
        <v>109.8</v>
      </c>
      <c r="K26" s="27">
        <v>151.80000000000001</v>
      </c>
      <c r="L26" s="27">
        <v>106.5</v>
      </c>
      <c r="M26" s="27">
        <v>103.1</v>
      </c>
      <c r="N26" s="27">
        <v>107.4</v>
      </c>
      <c r="O26" s="27">
        <v>110.2</v>
      </c>
      <c r="P26" s="27">
        <v>113.4</v>
      </c>
      <c r="Q26" s="27">
        <v>116.6</v>
      </c>
      <c r="R26" s="21">
        <f t="shared" si="1"/>
        <v>1477.4</v>
      </c>
      <c r="S26" s="21">
        <v>111</v>
      </c>
      <c r="T26" s="21">
        <v>109.4</v>
      </c>
      <c r="U26" s="21">
        <v>110.7</v>
      </c>
      <c r="V26" s="21">
        <f t="shared" si="2"/>
        <v>331.1</v>
      </c>
      <c r="W26" s="22">
        <v>108.9</v>
      </c>
      <c r="X26" s="21">
        <v>109.7</v>
      </c>
      <c r="Y26" s="21">
        <v>108.7</v>
      </c>
      <c r="Z26" s="22">
        <f t="shared" si="3"/>
        <v>327.3</v>
      </c>
      <c r="AA26" s="21">
        <v>107.5</v>
      </c>
      <c r="AB26" s="21">
        <v>105.4</v>
      </c>
      <c r="AC26" s="21">
        <f t="shared" si="4"/>
        <v>212.9</v>
      </c>
      <c r="AD26" s="27">
        <v>108</v>
      </c>
      <c r="AE26" s="27">
        <v>106.6</v>
      </c>
      <c r="AF26" s="27">
        <v>109.9</v>
      </c>
      <c r="AG26" s="21">
        <f t="shared" si="5"/>
        <v>216.5</v>
      </c>
      <c r="AH26" s="27">
        <v>111.2</v>
      </c>
      <c r="AI26" s="27">
        <v>107.9</v>
      </c>
      <c r="AJ26" s="21">
        <f t="shared" si="6"/>
        <v>219.10000000000002</v>
      </c>
      <c r="AK26" s="21">
        <v>112.4</v>
      </c>
    </row>
    <row r="27" spans="1:37">
      <c r="A27" s="21" t="s">
        <v>30</v>
      </c>
      <c r="B27" s="26">
        <v>2013</v>
      </c>
      <c r="C27" s="21" t="s">
        <v>42</v>
      </c>
      <c r="D27" s="21" t="str">
        <f t="shared" si="0"/>
        <v>No</v>
      </c>
      <c r="E27" s="27">
        <v>115.4</v>
      </c>
      <c r="F27" s="27">
        <v>115.7</v>
      </c>
      <c r="G27" s="27">
        <v>111.7</v>
      </c>
      <c r="H27" s="27">
        <v>111</v>
      </c>
      <c r="I27" s="27">
        <v>107.4</v>
      </c>
      <c r="J27" s="27">
        <v>110.9</v>
      </c>
      <c r="K27" s="27">
        <v>154</v>
      </c>
      <c r="L27" s="27">
        <v>108.1</v>
      </c>
      <c r="M27" s="27">
        <v>104.2</v>
      </c>
      <c r="N27" s="27">
        <v>107.9</v>
      </c>
      <c r="O27" s="27">
        <v>110.4</v>
      </c>
      <c r="P27" s="27">
        <v>114</v>
      </c>
      <c r="Q27" s="27">
        <v>117.8</v>
      </c>
      <c r="R27" s="21">
        <f t="shared" si="1"/>
        <v>1488.5000000000002</v>
      </c>
      <c r="S27" s="21">
        <v>112.7</v>
      </c>
      <c r="T27" s="21">
        <v>111.4</v>
      </c>
      <c r="U27" s="21">
        <v>112.5</v>
      </c>
      <c r="V27" s="21">
        <f t="shared" si="2"/>
        <v>336.6</v>
      </c>
      <c r="W27" s="22">
        <v>139.25</v>
      </c>
      <c r="X27" s="21">
        <v>111.1</v>
      </c>
      <c r="Y27" s="21">
        <v>109.6</v>
      </c>
      <c r="Z27" s="22">
        <f t="shared" si="3"/>
        <v>359.95</v>
      </c>
      <c r="AA27" s="21">
        <v>108.3</v>
      </c>
      <c r="AB27" s="21">
        <v>106.7</v>
      </c>
      <c r="AC27" s="21">
        <f t="shared" si="4"/>
        <v>215</v>
      </c>
      <c r="AD27" s="27">
        <v>109.3</v>
      </c>
      <c r="AE27" s="27">
        <v>107.7</v>
      </c>
      <c r="AF27" s="27">
        <v>109.8</v>
      </c>
      <c r="AG27" s="21">
        <f t="shared" si="5"/>
        <v>217.5</v>
      </c>
      <c r="AH27" s="27">
        <v>111.7</v>
      </c>
      <c r="AI27" s="27">
        <v>108.7</v>
      </c>
      <c r="AJ27" s="21">
        <f t="shared" si="6"/>
        <v>220.4</v>
      </c>
      <c r="AK27" s="21">
        <v>114.2</v>
      </c>
    </row>
    <row r="28" spans="1:37">
      <c r="A28" s="21" t="s">
        <v>33</v>
      </c>
      <c r="B28" s="26">
        <v>2013</v>
      </c>
      <c r="C28" s="21" t="s">
        <v>42</v>
      </c>
      <c r="D28" s="21" t="str">
        <f t="shared" si="0"/>
        <v>No</v>
      </c>
      <c r="E28" s="27">
        <v>118.6</v>
      </c>
      <c r="F28" s="27">
        <v>119.1</v>
      </c>
      <c r="G28" s="27">
        <v>113.2</v>
      </c>
      <c r="H28" s="27">
        <v>109.6</v>
      </c>
      <c r="I28" s="27">
        <v>101.7</v>
      </c>
      <c r="J28" s="27">
        <v>103.2</v>
      </c>
      <c r="K28" s="27">
        <v>174.3</v>
      </c>
      <c r="L28" s="27">
        <v>105.1</v>
      </c>
      <c r="M28" s="27">
        <v>100.8</v>
      </c>
      <c r="N28" s="27">
        <v>109.1</v>
      </c>
      <c r="O28" s="27">
        <v>111.1</v>
      </c>
      <c r="P28" s="27">
        <v>115.4</v>
      </c>
      <c r="Q28" s="27">
        <v>119.2</v>
      </c>
      <c r="R28" s="21">
        <f t="shared" si="1"/>
        <v>1500.4</v>
      </c>
      <c r="S28" s="21">
        <v>111.4</v>
      </c>
      <c r="T28" s="21">
        <v>109</v>
      </c>
      <c r="U28" s="21">
        <v>111.1</v>
      </c>
      <c r="V28" s="21">
        <f t="shared" si="2"/>
        <v>331.5</v>
      </c>
      <c r="W28" s="22">
        <v>109.7</v>
      </c>
      <c r="X28" s="21">
        <v>109.5</v>
      </c>
      <c r="Y28" s="21">
        <v>109.6</v>
      </c>
      <c r="Z28" s="22">
        <f t="shared" si="3"/>
        <v>328.79999999999995</v>
      </c>
      <c r="AA28" s="21">
        <v>107.9</v>
      </c>
      <c r="AB28" s="21">
        <v>106.9</v>
      </c>
      <c r="AC28" s="21">
        <f t="shared" si="4"/>
        <v>214.8</v>
      </c>
      <c r="AD28" s="27">
        <v>110.4</v>
      </c>
      <c r="AE28" s="27">
        <v>107.4</v>
      </c>
      <c r="AF28" s="27">
        <v>111.2</v>
      </c>
      <c r="AG28" s="21">
        <f t="shared" si="5"/>
        <v>218.60000000000002</v>
      </c>
      <c r="AH28" s="27">
        <v>112.9</v>
      </c>
      <c r="AI28" s="27">
        <v>109.4</v>
      </c>
      <c r="AJ28" s="21">
        <f t="shared" si="6"/>
        <v>222.3</v>
      </c>
      <c r="AK28" s="21">
        <v>113.2</v>
      </c>
    </row>
    <row r="29" spans="1:37">
      <c r="A29" s="21" t="s">
        <v>34</v>
      </c>
      <c r="B29" s="26">
        <v>2013</v>
      </c>
      <c r="C29" s="21" t="s">
        <v>42</v>
      </c>
      <c r="D29" s="21" t="str">
        <f t="shared" si="0"/>
        <v>No</v>
      </c>
      <c r="E29" s="27">
        <v>116.4</v>
      </c>
      <c r="F29" s="27">
        <v>116.9</v>
      </c>
      <c r="G29" s="27">
        <v>112.3</v>
      </c>
      <c r="H29" s="27">
        <v>110.5</v>
      </c>
      <c r="I29" s="27">
        <v>105.3</v>
      </c>
      <c r="J29" s="27">
        <v>107.3</v>
      </c>
      <c r="K29" s="27">
        <v>160.9</v>
      </c>
      <c r="L29" s="27">
        <v>107.1</v>
      </c>
      <c r="M29" s="27">
        <v>103.1</v>
      </c>
      <c r="N29" s="27">
        <v>108.3</v>
      </c>
      <c r="O29" s="27">
        <v>110.7</v>
      </c>
      <c r="P29" s="27">
        <v>114.6</v>
      </c>
      <c r="Q29" s="27">
        <v>118.3</v>
      </c>
      <c r="R29" s="21">
        <f t="shared" si="1"/>
        <v>1491.6999999999998</v>
      </c>
      <c r="S29" s="21">
        <v>112.2</v>
      </c>
      <c r="T29" s="21">
        <v>110.4</v>
      </c>
      <c r="U29" s="21">
        <v>111.9</v>
      </c>
      <c r="V29" s="21">
        <f t="shared" si="2"/>
        <v>334.5</v>
      </c>
      <c r="W29" s="22">
        <v>109.7</v>
      </c>
      <c r="X29" s="21">
        <v>110.5</v>
      </c>
      <c r="Y29" s="21">
        <v>109.6</v>
      </c>
      <c r="Z29" s="22">
        <f t="shared" si="3"/>
        <v>329.79999999999995</v>
      </c>
      <c r="AA29" s="21">
        <v>108.1</v>
      </c>
      <c r="AB29" s="21">
        <v>106.8</v>
      </c>
      <c r="AC29" s="21">
        <f t="shared" si="4"/>
        <v>214.89999999999998</v>
      </c>
      <c r="AD29" s="27">
        <v>109.9</v>
      </c>
      <c r="AE29" s="27">
        <v>107.5</v>
      </c>
      <c r="AF29" s="27">
        <v>110.6</v>
      </c>
      <c r="AG29" s="21">
        <f t="shared" si="5"/>
        <v>218.1</v>
      </c>
      <c r="AH29" s="27">
        <v>112</v>
      </c>
      <c r="AI29" s="27">
        <v>109</v>
      </c>
      <c r="AJ29" s="21">
        <f t="shared" si="6"/>
        <v>221</v>
      </c>
      <c r="AK29" s="21">
        <v>113.7</v>
      </c>
    </row>
    <row r="30" spans="1:37">
      <c r="A30" s="21" t="s">
        <v>30</v>
      </c>
      <c r="B30" s="26">
        <v>2013</v>
      </c>
      <c r="C30" s="21" t="s">
        <v>43</v>
      </c>
      <c r="D30" s="21" t="str">
        <f t="shared" si="0"/>
        <v>No</v>
      </c>
      <c r="E30" s="27">
        <v>116.3</v>
      </c>
      <c r="F30" s="27">
        <v>115.4</v>
      </c>
      <c r="G30" s="27">
        <v>112.6</v>
      </c>
      <c r="H30" s="27">
        <v>111.7</v>
      </c>
      <c r="I30" s="27">
        <v>107.7</v>
      </c>
      <c r="J30" s="27">
        <v>113.2</v>
      </c>
      <c r="K30" s="27">
        <v>164.9</v>
      </c>
      <c r="L30" s="27">
        <v>108.3</v>
      </c>
      <c r="M30" s="27">
        <v>103.9</v>
      </c>
      <c r="N30" s="27">
        <v>108.2</v>
      </c>
      <c r="O30" s="27">
        <v>111.1</v>
      </c>
      <c r="P30" s="27">
        <v>114.9</v>
      </c>
      <c r="Q30" s="27">
        <v>119.8</v>
      </c>
      <c r="R30" s="21">
        <f t="shared" si="1"/>
        <v>1508</v>
      </c>
      <c r="S30" s="21">
        <v>113.6</v>
      </c>
      <c r="T30" s="21">
        <v>112.3</v>
      </c>
      <c r="U30" s="21">
        <v>113.4</v>
      </c>
      <c r="V30" s="21">
        <f t="shared" si="2"/>
        <v>339.29999999999995</v>
      </c>
      <c r="W30" s="22">
        <v>139.25</v>
      </c>
      <c r="X30" s="21">
        <v>111.6</v>
      </c>
      <c r="Y30" s="21">
        <v>110.4</v>
      </c>
      <c r="Z30" s="22">
        <f t="shared" si="3"/>
        <v>361.25</v>
      </c>
      <c r="AA30" s="21">
        <v>108.9</v>
      </c>
      <c r="AB30" s="21">
        <v>107.5</v>
      </c>
      <c r="AC30" s="21">
        <f t="shared" si="4"/>
        <v>216.4</v>
      </c>
      <c r="AD30" s="27">
        <v>109.3</v>
      </c>
      <c r="AE30" s="27">
        <v>108.3</v>
      </c>
      <c r="AF30" s="27">
        <v>110.2</v>
      </c>
      <c r="AG30" s="21">
        <f t="shared" si="5"/>
        <v>218.5</v>
      </c>
      <c r="AH30" s="27">
        <v>112.2</v>
      </c>
      <c r="AI30" s="27">
        <v>109.1</v>
      </c>
      <c r="AJ30" s="21">
        <f t="shared" si="6"/>
        <v>221.3</v>
      </c>
      <c r="AK30" s="21">
        <v>115.5</v>
      </c>
    </row>
    <row r="31" spans="1:37">
      <c r="A31" s="21" t="s">
        <v>33</v>
      </c>
      <c r="B31" s="26">
        <v>2013</v>
      </c>
      <c r="C31" s="21" t="s">
        <v>43</v>
      </c>
      <c r="D31" s="21" t="str">
        <f t="shared" si="0"/>
        <v>No</v>
      </c>
      <c r="E31" s="27">
        <v>118.9</v>
      </c>
      <c r="F31" s="27">
        <v>118.1</v>
      </c>
      <c r="G31" s="27">
        <v>114.5</v>
      </c>
      <c r="H31" s="27">
        <v>110.4</v>
      </c>
      <c r="I31" s="27">
        <v>102.3</v>
      </c>
      <c r="J31" s="27">
        <v>106.2</v>
      </c>
      <c r="K31" s="27">
        <v>183.5</v>
      </c>
      <c r="L31" s="27">
        <v>105.3</v>
      </c>
      <c r="M31" s="27">
        <v>100.2</v>
      </c>
      <c r="N31" s="27">
        <v>109.6</v>
      </c>
      <c r="O31" s="27">
        <v>111.4</v>
      </c>
      <c r="P31" s="27">
        <v>116</v>
      </c>
      <c r="Q31" s="27">
        <v>120.8</v>
      </c>
      <c r="R31" s="21">
        <f t="shared" si="1"/>
        <v>1517.1999999999998</v>
      </c>
      <c r="S31" s="21">
        <v>112.5</v>
      </c>
      <c r="T31" s="21">
        <v>109.7</v>
      </c>
      <c r="U31" s="21">
        <v>112</v>
      </c>
      <c r="V31" s="21">
        <f t="shared" si="2"/>
        <v>334.2</v>
      </c>
      <c r="W31" s="22">
        <v>110.5</v>
      </c>
      <c r="X31" s="21">
        <v>109.7</v>
      </c>
      <c r="Y31" s="21">
        <v>110.2</v>
      </c>
      <c r="Z31" s="22">
        <f t="shared" si="3"/>
        <v>330.4</v>
      </c>
      <c r="AA31" s="21">
        <v>108.2</v>
      </c>
      <c r="AB31" s="21">
        <v>107.3</v>
      </c>
      <c r="AC31" s="21">
        <f t="shared" si="4"/>
        <v>215.5</v>
      </c>
      <c r="AD31" s="27">
        <v>109.7</v>
      </c>
      <c r="AE31" s="27">
        <v>108</v>
      </c>
      <c r="AF31" s="27">
        <v>111.3</v>
      </c>
      <c r="AG31" s="21">
        <f t="shared" si="5"/>
        <v>219.3</v>
      </c>
      <c r="AH31" s="27">
        <v>113.5</v>
      </c>
      <c r="AI31" s="27">
        <v>109.4</v>
      </c>
      <c r="AJ31" s="21">
        <f t="shared" si="6"/>
        <v>222.9</v>
      </c>
      <c r="AK31" s="21">
        <v>114</v>
      </c>
    </row>
    <row r="32" spans="1:37">
      <c r="A32" s="21" t="s">
        <v>34</v>
      </c>
      <c r="B32" s="26">
        <v>2013</v>
      </c>
      <c r="C32" s="21" t="s">
        <v>43</v>
      </c>
      <c r="D32" s="21" t="str">
        <f t="shared" si="0"/>
        <v>No</v>
      </c>
      <c r="E32" s="27">
        <v>117.1</v>
      </c>
      <c r="F32" s="27">
        <v>116.3</v>
      </c>
      <c r="G32" s="27">
        <v>113.3</v>
      </c>
      <c r="H32" s="27">
        <v>111.2</v>
      </c>
      <c r="I32" s="27">
        <v>105.7</v>
      </c>
      <c r="J32" s="27">
        <v>109.9</v>
      </c>
      <c r="K32" s="27">
        <v>171.2</v>
      </c>
      <c r="L32" s="27">
        <v>107.3</v>
      </c>
      <c r="M32" s="27">
        <v>102.7</v>
      </c>
      <c r="N32" s="27">
        <v>108.7</v>
      </c>
      <c r="O32" s="27">
        <v>111.2</v>
      </c>
      <c r="P32" s="27">
        <v>115.4</v>
      </c>
      <c r="Q32" s="27">
        <v>120.2</v>
      </c>
      <c r="R32" s="21">
        <f t="shared" si="1"/>
        <v>1510.2000000000003</v>
      </c>
      <c r="S32" s="21">
        <v>113.2</v>
      </c>
      <c r="T32" s="21">
        <v>111.2</v>
      </c>
      <c r="U32" s="21">
        <v>112.8</v>
      </c>
      <c r="V32" s="21">
        <f t="shared" si="2"/>
        <v>337.2</v>
      </c>
      <c r="W32" s="22">
        <v>110.5</v>
      </c>
      <c r="X32" s="21">
        <v>110.9</v>
      </c>
      <c r="Y32" s="21">
        <v>110.3</v>
      </c>
      <c r="Z32" s="22">
        <f t="shared" si="3"/>
        <v>331.7</v>
      </c>
      <c r="AA32" s="21">
        <v>108.6</v>
      </c>
      <c r="AB32" s="21">
        <v>107.4</v>
      </c>
      <c r="AC32" s="21">
        <f t="shared" si="4"/>
        <v>216</v>
      </c>
      <c r="AD32" s="27">
        <v>109.5</v>
      </c>
      <c r="AE32" s="27">
        <v>108.1</v>
      </c>
      <c r="AF32" s="27">
        <v>110.8</v>
      </c>
      <c r="AG32" s="21">
        <f t="shared" si="5"/>
        <v>218.89999999999998</v>
      </c>
      <c r="AH32" s="27">
        <v>112.5</v>
      </c>
      <c r="AI32" s="27">
        <v>109.2</v>
      </c>
      <c r="AJ32" s="21">
        <f t="shared" si="6"/>
        <v>221.7</v>
      </c>
      <c r="AK32" s="21">
        <v>114.8</v>
      </c>
    </row>
    <row r="33" spans="1:37">
      <c r="A33" s="21" t="s">
        <v>30</v>
      </c>
      <c r="B33" s="26">
        <v>2013</v>
      </c>
      <c r="C33" s="21" t="s">
        <v>44</v>
      </c>
      <c r="D33" s="21" t="str">
        <f t="shared" si="0"/>
        <v>No</v>
      </c>
      <c r="E33" s="27">
        <v>117.3</v>
      </c>
      <c r="F33" s="27">
        <v>114.9</v>
      </c>
      <c r="G33" s="27">
        <v>116.2</v>
      </c>
      <c r="H33" s="27">
        <v>112.8</v>
      </c>
      <c r="I33" s="27">
        <v>108.9</v>
      </c>
      <c r="J33" s="27">
        <v>116.6</v>
      </c>
      <c r="K33" s="27">
        <v>178.1</v>
      </c>
      <c r="L33" s="27">
        <v>109.1</v>
      </c>
      <c r="M33" s="27">
        <v>103.6</v>
      </c>
      <c r="N33" s="27">
        <v>109</v>
      </c>
      <c r="O33" s="27">
        <v>111.8</v>
      </c>
      <c r="P33" s="27">
        <v>116</v>
      </c>
      <c r="Q33" s="27">
        <v>122.5</v>
      </c>
      <c r="R33" s="21">
        <f t="shared" si="1"/>
        <v>1536.8</v>
      </c>
      <c r="S33" s="21">
        <v>114.6</v>
      </c>
      <c r="T33" s="21">
        <v>113.1</v>
      </c>
      <c r="U33" s="21">
        <v>114.4</v>
      </c>
      <c r="V33" s="21">
        <f t="shared" si="2"/>
        <v>342.1</v>
      </c>
      <c r="W33" s="22">
        <v>139.25</v>
      </c>
      <c r="X33" s="21">
        <v>112.6</v>
      </c>
      <c r="Y33" s="21">
        <v>111.3</v>
      </c>
      <c r="Z33" s="22">
        <f t="shared" si="3"/>
        <v>363.15</v>
      </c>
      <c r="AA33" s="21">
        <v>109.7</v>
      </c>
      <c r="AB33" s="21">
        <v>108.2</v>
      </c>
      <c r="AC33" s="21">
        <f t="shared" si="4"/>
        <v>217.9</v>
      </c>
      <c r="AD33" s="27">
        <v>109.6</v>
      </c>
      <c r="AE33" s="27">
        <v>108.7</v>
      </c>
      <c r="AF33" s="27">
        <v>111</v>
      </c>
      <c r="AG33" s="21">
        <f t="shared" si="5"/>
        <v>219.7</v>
      </c>
      <c r="AH33" s="27">
        <v>112.8</v>
      </c>
      <c r="AI33" s="27">
        <v>109.8</v>
      </c>
      <c r="AJ33" s="21">
        <f t="shared" si="6"/>
        <v>222.6</v>
      </c>
      <c r="AK33" s="21">
        <v>117.4</v>
      </c>
    </row>
    <row r="34" spans="1:37">
      <c r="A34" s="21" t="s">
        <v>33</v>
      </c>
      <c r="B34" s="26">
        <v>2013</v>
      </c>
      <c r="C34" s="21" t="s">
        <v>45</v>
      </c>
      <c r="D34" s="21" t="str">
        <f t="shared" si="0"/>
        <v>No</v>
      </c>
      <c r="E34" s="27">
        <v>119.8</v>
      </c>
      <c r="F34" s="27">
        <v>116.3</v>
      </c>
      <c r="G34" s="27">
        <v>122.6</v>
      </c>
      <c r="H34" s="27">
        <v>112</v>
      </c>
      <c r="I34" s="27">
        <v>103.2</v>
      </c>
      <c r="J34" s="27">
        <v>110</v>
      </c>
      <c r="K34" s="27">
        <v>192.8</v>
      </c>
      <c r="L34" s="27">
        <v>106.3</v>
      </c>
      <c r="M34" s="27">
        <v>99.5</v>
      </c>
      <c r="N34" s="27">
        <v>110.3</v>
      </c>
      <c r="O34" s="27">
        <v>111.8</v>
      </c>
      <c r="P34" s="27">
        <v>117.1</v>
      </c>
      <c r="Q34" s="27">
        <v>122.9</v>
      </c>
      <c r="R34" s="21">
        <f t="shared" si="1"/>
        <v>1544.6</v>
      </c>
      <c r="S34" s="21">
        <v>113.5</v>
      </c>
      <c r="T34" s="21">
        <v>110.3</v>
      </c>
      <c r="U34" s="21">
        <v>113</v>
      </c>
      <c r="V34" s="21">
        <f t="shared" si="2"/>
        <v>336.8</v>
      </c>
      <c r="W34" s="22">
        <v>111.1</v>
      </c>
      <c r="X34" s="21">
        <v>110</v>
      </c>
      <c r="Y34" s="21">
        <v>110.9</v>
      </c>
      <c r="Z34" s="22">
        <f t="shared" si="3"/>
        <v>332</v>
      </c>
      <c r="AA34" s="21">
        <v>108.6</v>
      </c>
      <c r="AB34" s="21">
        <v>107.9</v>
      </c>
      <c r="AC34" s="21">
        <f t="shared" si="4"/>
        <v>216.5</v>
      </c>
      <c r="AD34" s="27">
        <v>109.5</v>
      </c>
      <c r="AE34" s="27">
        <v>108.5</v>
      </c>
      <c r="AF34" s="27">
        <v>111.3</v>
      </c>
      <c r="AG34" s="21">
        <f t="shared" si="5"/>
        <v>219.8</v>
      </c>
      <c r="AH34" s="27">
        <v>114.1</v>
      </c>
      <c r="AI34" s="27">
        <v>109.6</v>
      </c>
      <c r="AJ34" s="21">
        <f t="shared" si="6"/>
        <v>223.7</v>
      </c>
      <c r="AK34" s="21">
        <v>115</v>
      </c>
    </row>
    <row r="35" spans="1:37">
      <c r="A35" s="21" t="s">
        <v>34</v>
      </c>
      <c r="B35" s="26">
        <v>2013</v>
      </c>
      <c r="C35" s="21" t="s">
        <v>45</v>
      </c>
      <c r="D35" s="21" t="str">
        <f t="shared" si="0"/>
        <v>No</v>
      </c>
      <c r="E35" s="27">
        <v>118.1</v>
      </c>
      <c r="F35" s="27">
        <v>115.4</v>
      </c>
      <c r="G35" s="27">
        <v>118.7</v>
      </c>
      <c r="H35" s="27">
        <v>112.5</v>
      </c>
      <c r="I35" s="27">
        <v>106.8</v>
      </c>
      <c r="J35" s="27">
        <v>113.5</v>
      </c>
      <c r="K35" s="27">
        <v>183.1</v>
      </c>
      <c r="L35" s="27">
        <v>108.2</v>
      </c>
      <c r="M35" s="27">
        <v>102.2</v>
      </c>
      <c r="N35" s="27">
        <v>109.4</v>
      </c>
      <c r="O35" s="27">
        <v>111.8</v>
      </c>
      <c r="P35" s="27">
        <v>116.5</v>
      </c>
      <c r="Q35" s="27">
        <v>122.6</v>
      </c>
      <c r="R35" s="21">
        <f t="shared" si="1"/>
        <v>1538.8</v>
      </c>
      <c r="S35" s="21">
        <v>114.2</v>
      </c>
      <c r="T35" s="21">
        <v>111.9</v>
      </c>
      <c r="U35" s="21">
        <v>113.8</v>
      </c>
      <c r="V35" s="21">
        <f t="shared" si="2"/>
        <v>339.90000000000003</v>
      </c>
      <c r="W35" s="22">
        <v>111.1</v>
      </c>
      <c r="X35" s="21">
        <v>111.6</v>
      </c>
      <c r="Y35" s="21">
        <v>111.1</v>
      </c>
      <c r="Z35" s="22">
        <f t="shared" si="3"/>
        <v>333.79999999999995</v>
      </c>
      <c r="AA35" s="21">
        <v>109.3</v>
      </c>
      <c r="AB35" s="21">
        <v>108.1</v>
      </c>
      <c r="AC35" s="21">
        <f t="shared" si="4"/>
        <v>217.39999999999998</v>
      </c>
      <c r="AD35" s="27">
        <v>109.5</v>
      </c>
      <c r="AE35" s="27">
        <v>108.6</v>
      </c>
      <c r="AF35" s="27">
        <v>111.2</v>
      </c>
      <c r="AG35" s="21">
        <f t="shared" si="5"/>
        <v>219.8</v>
      </c>
      <c r="AH35" s="27">
        <v>113.1</v>
      </c>
      <c r="AI35" s="27">
        <v>109.7</v>
      </c>
      <c r="AJ35" s="21">
        <f t="shared" si="6"/>
        <v>222.8</v>
      </c>
      <c r="AK35" s="21">
        <v>116.3</v>
      </c>
    </row>
    <row r="36" spans="1:37">
      <c r="A36" s="21" t="s">
        <v>30</v>
      </c>
      <c r="B36" s="26">
        <v>2013</v>
      </c>
      <c r="C36" s="21" t="s">
        <v>46</v>
      </c>
      <c r="D36" s="21" t="str">
        <f t="shared" si="0"/>
        <v>No</v>
      </c>
      <c r="E36" s="27">
        <v>118.4</v>
      </c>
      <c r="F36" s="27">
        <v>115.9</v>
      </c>
      <c r="G36" s="27">
        <v>120.4</v>
      </c>
      <c r="H36" s="27">
        <v>113.8</v>
      </c>
      <c r="I36" s="27">
        <v>109.5</v>
      </c>
      <c r="J36" s="27">
        <v>115.5</v>
      </c>
      <c r="K36" s="27">
        <v>145.69999999999999</v>
      </c>
      <c r="L36" s="27">
        <v>109.5</v>
      </c>
      <c r="M36" s="27">
        <v>102.9</v>
      </c>
      <c r="N36" s="27">
        <v>109.8</v>
      </c>
      <c r="O36" s="27">
        <v>112.1</v>
      </c>
      <c r="P36" s="27">
        <v>116.8</v>
      </c>
      <c r="Q36" s="27">
        <v>118.7</v>
      </c>
      <c r="R36" s="21">
        <f t="shared" si="1"/>
        <v>1509</v>
      </c>
      <c r="S36" s="21">
        <v>115.8</v>
      </c>
      <c r="T36" s="21">
        <v>114</v>
      </c>
      <c r="U36" s="21">
        <v>115.5</v>
      </c>
      <c r="V36" s="21">
        <f t="shared" si="2"/>
        <v>345.3</v>
      </c>
      <c r="W36" s="22">
        <v>139.25</v>
      </c>
      <c r="X36" s="21">
        <v>112.8</v>
      </c>
      <c r="Y36" s="21">
        <v>112.1</v>
      </c>
      <c r="Z36" s="22">
        <f t="shared" si="3"/>
        <v>364.15</v>
      </c>
      <c r="AA36" s="21">
        <v>110.1</v>
      </c>
      <c r="AB36" s="21">
        <v>108.1</v>
      </c>
      <c r="AC36" s="21">
        <f t="shared" si="4"/>
        <v>218.2</v>
      </c>
      <c r="AD36" s="27">
        <v>109.9</v>
      </c>
      <c r="AE36" s="27">
        <v>109.2</v>
      </c>
      <c r="AF36" s="27">
        <v>111.6</v>
      </c>
      <c r="AG36" s="21">
        <f t="shared" si="5"/>
        <v>220.8</v>
      </c>
      <c r="AH36" s="27">
        <v>113.6</v>
      </c>
      <c r="AI36" s="27">
        <v>110.1</v>
      </c>
      <c r="AJ36" s="21">
        <f t="shared" si="6"/>
        <v>223.7</v>
      </c>
      <c r="AK36" s="21">
        <v>115.5</v>
      </c>
    </row>
    <row r="37" spans="1:37">
      <c r="A37" s="21" t="s">
        <v>33</v>
      </c>
      <c r="B37" s="26">
        <v>2013</v>
      </c>
      <c r="C37" s="21" t="s">
        <v>46</v>
      </c>
      <c r="D37" s="21" t="str">
        <f t="shared" si="0"/>
        <v>No</v>
      </c>
      <c r="E37" s="27">
        <v>120.5</v>
      </c>
      <c r="F37" s="27">
        <v>118.1</v>
      </c>
      <c r="G37" s="27">
        <v>128.5</v>
      </c>
      <c r="H37" s="27">
        <v>112.8</v>
      </c>
      <c r="I37" s="27">
        <v>103.4</v>
      </c>
      <c r="J37" s="27">
        <v>110.7</v>
      </c>
      <c r="K37" s="27">
        <v>144.80000000000001</v>
      </c>
      <c r="L37" s="27">
        <v>107.1</v>
      </c>
      <c r="M37" s="27">
        <v>98.6</v>
      </c>
      <c r="N37" s="27">
        <v>111.9</v>
      </c>
      <c r="O37" s="27">
        <v>112.1</v>
      </c>
      <c r="P37" s="27">
        <v>118.1</v>
      </c>
      <c r="Q37" s="27">
        <v>117.8</v>
      </c>
      <c r="R37" s="21">
        <f t="shared" si="1"/>
        <v>1504.4</v>
      </c>
      <c r="S37" s="21">
        <v>114.2</v>
      </c>
      <c r="T37" s="21">
        <v>110.9</v>
      </c>
      <c r="U37" s="21">
        <v>113.7</v>
      </c>
      <c r="V37" s="21">
        <f t="shared" si="2"/>
        <v>338.8</v>
      </c>
      <c r="W37" s="22">
        <v>110.7</v>
      </c>
      <c r="X37" s="21">
        <v>110.4</v>
      </c>
      <c r="Y37" s="21">
        <v>111.3</v>
      </c>
      <c r="Z37" s="22">
        <f t="shared" si="3"/>
        <v>332.40000000000003</v>
      </c>
      <c r="AA37" s="21">
        <v>109</v>
      </c>
      <c r="AB37" s="21">
        <v>107.7</v>
      </c>
      <c r="AC37" s="21">
        <f t="shared" si="4"/>
        <v>216.7</v>
      </c>
      <c r="AD37" s="27">
        <v>109.7</v>
      </c>
      <c r="AE37" s="27">
        <v>108.9</v>
      </c>
      <c r="AF37" s="27">
        <v>111.4</v>
      </c>
      <c r="AG37" s="21">
        <f t="shared" si="5"/>
        <v>220.3</v>
      </c>
      <c r="AH37" s="27">
        <v>115</v>
      </c>
      <c r="AI37" s="27">
        <v>109.8</v>
      </c>
      <c r="AJ37" s="21">
        <f t="shared" si="6"/>
        <v>224.8</v>
      </c>
      <c r="AK37" s="21">
        <v>113.3</v>
      </c>
    </row>
    <row r="38" spans="1:37">
      <c r="A38" s="21" t="s">
        <v>34</v>
      </c>
      <c r="B38" s="26">
        <v>2013</v>
      </c>
      <c r="C38" s="21" t="s">
        <v>46</v>
      </c>
      <c r="D38" s="21" t="str">
        <f t="shared" si="0"/>
        <v>No</v>
      </c>
      <c r="E38" s="27">
        <v>119.1</v>
      </c>
      <c r="F38" s="27">
        <v>116.7</v>
      </c>
      <c r="G38" s="27">
        <v>123.5</v>
      </c>
      <c r="H38" s="27">
        <v>113.4</v>
      </c>
      <c r="I38" s="27">
        <v>107.3</v>
      </c>
      <c r="J38" s="27">
        <v>113.3</v>
      </c>
      <c r="K38" s="27">
        <v>145.4</v>
      </c>
      <c r="L38" s="27">
        <v>108.7</v>
      </c>
      <c r="M38" s="27">
        <v>101.5</v>
      </c>
      <c r="N38" s="27">
        <v>110.5</v>
      </c>
      <c r="O38" s="27">
        <v>112.1</v>
      </c>
      <c r="P38" s="27">
        <v>117.4</v>
      </c>
      <c r="Q38" s="27">
        <v>118.4</v>
      </c>
      <c r="R38" s="21">
        <f t="shared" si="1"/>
        <v>1507.3000000000002</v>
      </c>
      <c r="S38" s="21">
        <v>115.2</v>
      </c>
      <c r="T38" s="21">
        <v>112.7</v>
      </c>
      <c r="U38" s="21">
        <v>114.8</v>
      </c>
      <c r="V38" s="21">
        <f t="shared" si="2"/>
        <v>342.7</v>
      </c>
      <c r="W38" s="22">
        <v>110.7</v>
      </c>
      <c r="X38" s="21">
        <v>111.9</v>
      </c>
      <c r="Y38" s="21">
        <v>111.7</v>
      </c>
      <c r="Z38" s="22">
        <f t="shared" si="3"/>
        <v>334.3</v>
      </c>
      <c r="AA38" s="21">
        <v>109.7</v>
      </c>
      <c r="AB38" s="21">
        <v>107.9</v>
      </c>
      <c r="AC38" s="21">
        <f t="shared" si="4"/>
        <v>217.60000000000002</v>
      </c>
      <c r="AD38" s="27">
        <v>109.8</v>
      </c>
      <c r="AE38" s="27">
        <v>109</v>
      </c>
      <c r="AF38" s="27">
        <v>111.5</v>
      </c>
      <c r="AG38" s="21">
        <f t="shared" si="5"/>
        <v>220.5</v>
      </c>
      <c r="AH38" s="27">
        <v>114</v>
      </c>
      <c r="AI38" s="27">
        <v>110</v>
      </c>
      <c r="AJ38" s="21">
        <f t="shared" si="6"/>
        <v>224</v>
      </c>
      <c r="AK38" s="21">
        <v>114.5</v>
      </c>
    </row>
    <row r="39" spans="1:37">
      <c r="A39" s="21" t="s">
        <v>30</v>
      </c>
      <c r="B39" s="26">
        <v>2014</v>
      </c>
      <c r="C39" s="21" t="s">
        <v>31</v>
      </c>
      <c r="D39" s="21" t="str">
        <f t="shared" si="0"/>
        <v>No</v>
      </c>
      <c r="E39" s="27">
        <v>118.9</v>
      </c>
      <c r="F39" s="27">
        <v>117.1</v>
      </c>
      <c r="G39" s="27">
        <v>120.5</v>
      </c>
      <c r="H39" s="27">
        <v>114.4</v>
      </c>
      <c r="I39" s="27">
        <v>109</v>
      </c>
      <c r="J39" s="27">
        <v>115.5</v>
      </c>
      <c r="K39" s="27">
        <v>123.9</v>
      </c>
      <c r="L39" s="27">
        <v>109.6</v>
      </c>
      <c r="M39" s="27">
        <v>101.8</v>
      </c>
      <c r="N39" s="27">
        <v>110.2</v>
      </c>
      <c r="O39" s="27">
        <v>112.4</v>
      </c>
      <c r="P39" s="27">
        <v>117.3</v>
      </c>
      <c r="Q39" s="27">
        <v>116</v>
      </c>
      <c r="R39" s="21">
        <f t="shared" si="1"/>
        <v>1486.6000000000001</v>
      </c>
      <c r="S39" s="21">
        <v>116.5</v>
      </c>
      <c r="T39" s="21">
        <v>114.5</v>
      </c>
      <c r="U39" s="21">
        <v>116.2</v>
      </c>
      <c r="V39" s="21">
        <f t="shared" si="2"/>
        <v>347.2</v>
      </c>
      <c r="W39" s="22">
        <v>139.25</v>
      </c>
      <c r="X39" s="21">
        <v>113</v>
      </c>
      <c r="Y39" s="21">
        <v>112.6</v>
      </c>
      <c r="Z39" s="22">
        <f t="shared" si="3"/>
        <v>364.85</v>
      </c>
      <c r="AA39" s="21">
        <v>110.6</v>
      </c>
      <c r="AB39" s="21">
        <v>108.3</v>
      </c>
      <c r="AC39" s="21">
        <f t="shared" si="4"/>
        <v>218.89999999999998</v>
      </c>
      <c r="AD39" s="27">
        <v>110.5</v>
      </c>
      <c r="AE39" s="27">
        <v>109.6</v>
      </c>
      <c r="AF39" s="27">
        <v>111.8</v>
      </c>
      <c r="AG39" s="21">
        <f t="shared" si="5"/>
        <v>221.39999999999998</v>
      </c>
      <c r="AH39" s="27">
        <v>114</v>
      </c>
      <c r="AI39" s="27">
        <v>110.6</v>
      </c>
      <c r="AJ39" s="21">
        <f t="shared" si="6"/>
        <v>224.6</v>
      </c>
      <c r="AK39" s="21">
        <v>114.2</v>
      </c>
    </row>
    <row r="40" spans="1:37">
      <c r="A40" s="21" t="s">
        <v>33</v>
      </c>
      <c r="B40" s="26">
        <v>2014</v>
      </c>
      <c r="C40" s="21" t="s">
        <v>31</v>
      </c>
      <c r="D40" s="21" t="str">
        <f t="shared" si="0"/>
        <v>No</v>
      </c>
      <c r="E40" s="27">
        <v>121.2</v>
      </c>
      <c r="F40" s="27">
        <v>122</v>
      </c>
      <c r="G40" s="27">
        <v>129.9</v>
      </c>
      <c r="H40" s="27">
        <v>113.6</v>
      </c>
      <c r="I40" s="27">
        <v>102.9</v>
      </c>
      <c r="J40" s="27">
        <v>112.1</v>
      </c>
      <c r="K40" s="27">
        <v>118.9</v>
      </c>
      <c r="L40" s="27">
        <v>107.5</v>
      </c>
      <c r="M40" s="27">
        <v>96.9</v>
      </c>
      <c r="N40" s="27">
        <v>112.7</v>
      </c>
      <c r="O40" s="27">
        <v>112.1</v>
      </c>
      <c r="P40" s="27">
        <v>119</v>
      </c>
      <c r="Q40" s="27">
        <v>115.5</v>
      </c>
      <c r="R40" s="21">
        <f t="shared" si="1"/>
        <v>1484.3</v>
      </c>
      <c r="S40" s="21">
        <v>114.8</v>
      </c>
      <c r="T40" s="21">
        <v>111.3</v>
      </c>
      <c r="U40" s="21">
        <v>114.3</v>
      </c>
      <c r="V40" s="21">
        <f t="shared" si="2"/>
        <v>340.4</v>
      </c>
      <c r="W40" s="22">
        <v>111.6</v>
      </c>
      <c r="X40" s="21">
        <v>111</v>
      </c>
      <c r="Y40" s="21">
        <v>111.9</v>
      </c>
      <c r="Z40" s="22">
        <f t="shared" si="3"/>
        <v>334.5</v>
      </c>
      <c r="AA40" s="21">
        <v>109.7</v>
      </c>
      <c r="AB40" s="21">
        <v>108</v>
      </c>
      <c r="AC40" s="21">
        <f t="shared" si="4"/>
        <v>217.7</v>
      </c>
      <c r="AD40" s="27">
        <v>110.8</v>
      </c>
      <c r="AE40" s="27">
        <v>109.8</v>
      </c>
      <c r="AF40" s="27">
        <v>111.5</v>
      </c>
      <c r="AG40" s="21">
        <f t="shared" si="5"/>
        <v>221.3</v>
      </c>
      <c r="AH40" s="27">
        <v>115.7</v>
      </c>
      <c r="AI40" s="27">
        <v>110.5</v>
      </c>
      <c r="AJ40" s="21">
        <f t="shared" si="6"/>
        <v>226.2</v>
      </c>
      <c r="AK40" s="21">
        <v>112.9</v>
      </c>
    </row>
    <row r="41" spans="1:37">
      <c r="A41" s="21" t="s">
        <v>34</v>
      </c>
      <c r="B41" s="26">
        <v>2014</v>
      </c>
      <c r="C41" s="21" t="s">
        <v>31</v>
      </c>
      <c r="D41" s="21" t="str">
        <f t="shared" si="0"/>
        <v>No</v>
      </c>
      <c r="E41" s="27">
        <v>119.6</v>
      </c>
      <c r="F41" s="27">
        <v>118.8</v>
      </c>
      <c r="G41" s="27">
        <v>124.1</v>
      </c>
      <c r="H41" s="27">
        <v>114.1</v>
      </c>
      <c r="I41" s="27">
        <v>106.8</v>
      </c>
      <c r="J41" s="27">
        <v>113.9</v>
      </c>
      <c r="K41" s="27">
        <v>122.2</v>
      </c>
      <c r="L41" s="27">
        <v>108.9</v>
      </c>
      <c r="M41" s="27">
        <v>100.2</v>
      </c>
      <c r="N41" s="27">
        <v>111</v>
      </c>
      <c r="O41" s="27">
        <v>112.3</v>
      </c>
      <c r="P41" s="27">
        <v>118.1</v>
      </c>
      <c r="Q41" s="27">
        <v>115.8</v>
      </c>
      <c r="R41" s="21">
        <f t="shared" si="1"/>
        <v>1485.7999999999997</v>
      </c>
      <c r="S41" s="21">
        <v>115.8</v>
      </c>
      <c r="T41" s="21">
        <v>113.2</v>
      </c>
      <c r="U41" s="21">
        <v>115.4</v>
      </c>
      <c r="V41" s="21">
        <f t="shared" si="2"/>
        <v>344.4</v>
      </c>
      <c r="W41" s="22">
        <v>111.6</v>
      </c>
      <c r="X41" s="21">
        <v>112.2</v>
      </c>
      <c r="Y41" s="21">
        <v>112.3</v>
      </c>
      <c r="Z41" s="22">
        <f t="shared" si="3"/>
        <v>336.1</v>
      </c>
      <c r="AA41" s="21">
        <v>110.3</v>
      </c>
      <c r="AB41" s="21">
        <v>108.2</v>
      </c>
      <c r="AC41" s="21">
        <f t="shared" si="4"/>
        <v>218.5</v>
      </c>
      <c r="AD41" s="27">
        <v>110.7</v>
      </c>
      <c r="AE41" s="27">
        <v>109.7</v>
      </c>
      <c r="AF41" s="27">
        <v>111.6</v>
      </c>
      <c r="AG41" s="21">
        <f t="shared" si="5"/>
        <v>221.3</v>
      </c>
      <c r="AH41" s="27">
        <v>114.5</v>
      </c>
      <c r="AI41" s="27">
        <v>110.6</v>
      </c>
      <c r="AJ41" s="21">
        <f t="shared" si="6"/>
        <v>225.1</v>
      </c>
      <c r="AK41" s="21">
        <v>113.6</v>
      </c>
    </row>
    <row r="42" spans="1:37">
      <c r="A42" s="21" t="s">
        <v>30</v>
      </c>
      <c r="B42" s="26">
        <v>2014</v>
      </c>
      <c r="C42" s="21" t="s">
        <v>35</v>
      </c>
      <c r="D42" s="21" t="str">
        <f t="shared" si="0"/>
        <v>No</v>
      </c>
      <c r="E42" s="27">
        <v>119.4</v>
      </c>
      <c r="F42" s="27">
        <v>117.7</v>
      </c>
      <c r="G42" s="27">
        <v>121.2</v>
      </c>
      <c r="H42" s="27">
        <v>115</v>
      </c>
      <c r="I42" s="27">
        <v>109</v>
      </c>
      <c r="J42" s="27">
        <v>116.6</v>
      </c>
      <c r="K42" s="27">
        <v>116</v>
      </c>
      <c r="L42" s="27">
        <v>109.8</v>
      </c>
      <c r="M42" s="27">
        <v>101.1</v>
      </c>
      <c r="N42" s="27">
        <v>110.4</v>
      </c>
      <c r="O42" s="27">
        <v>112.9</v>
      </c>
      <c r="P42" s="27">
        <v>117.8</v>
      </c>
      <c r="Q42" s="27">
        <v>115.3</v>
      </c>
      <c r="R42" s="21">
        <f t="shared" si="1"/>
        <v>1482.2</v>
      </c>
      <c r="S42" s="21">
        <v>117.1</v>
      </c>
      <c r="T42" s="21">
        <v>114.5</v>
      </c>
      <c r="U42" s="21">
        <v>116.7</v>
      </c>
      <c r="V42" s="21">
        <f t="shared" si="2"/>
        <v>348.3</v>
      </c>
      <c r="W42" s="22">
        <v>139.25</v>
      </c>
      <c r="X42" s="21">
        <v>113.2</v>
      </c>
      <c r="Y42" s="21">
        <v>112.9</v>
      </c>
      <c r="Z42" s="22">
        <f t="shared" si="3"/>
        <v>365.35</v>
      </c>
      <c r="AA42" s="21">
        <v>110.9</v>
      </c>
      <c r="AB42" s="21">
        <v>108.7</v>
      </c>
      <c r="AC42" s="21">
        <f t="shared" si="4"/>
        <v>219.60000000000002</v>
      </c>
      <c r="AD42" s="27">
        <v>110.8</v>
      </c>
      <c r="AE42" s="27">
        <v>109.9</v>
      </c>
      <c r="AF42" s="27">
        <v>112</v>
      </c>
      <c r="AG42" s="21">
        <f t="shared" si="5"/>
        <v>221.9</v>
      </c>
      <c r="AH42" s="27">
        <v>114.2</v>
      </c>
      <c r="AI42" s="27">
        <v>110.9</v>
      </c>
      <c r="AJ42" s="21">
        <f t="shared" si="6"/>
        <v>225.10000000000002</v>
      </c>
      <c r="AK42" s="21">
        <v>114</v>
      </c>
    </row>
    <row r="43" spans="1:37">
      <c r="A43" s="21" t="s">
        <v>33</v>
      </c>
      <c r="B43" s="26">
        <v>2014</v>
      </c>
      <c r="C43" s="21" t="s">
        <v>35</v>
      </c>
      <c r="D43" s="21" t="str">
        <f t="shared" si="0"/>
        <v>No</v>
      </c>
      <c r="E43" s="27">
        <v>121.9</v>
      </c>
      <c r="F43" s="27">
        <v>122</v>
      </c>
      <c r="G43" s="27">
        <v>124.5</v>
      </c>
      <c r="H43" s="27">
        <v>115.2</v>
      </c>
      <c r="I43" s="27">
        <v>102.5</v>
      </c>
      <c r="J43" s="27">
        <v>114.1</v>
      </c>
      <c r="K43" s="27">
        <v>111.5</v>
      </c>
      <c r="L43" s="27">
        <v>108.2</v>
      </c>
      <c r="M43" s="27">
        <v>95.4</v>
      </c>
      <c r="N43" s="27">
        <v>113.5</v>
      </c>
      <c r="O43" s="27">
        <v>112.1</v>
      </c>
      <c r="P43" s="27">
        <v>119.9</v>
      </c>
      <c r="Q43" s="27">
        <v>115.2</v>
      </c>
      <c r="R43" s="21">
        <f t="shared" si="1"/>
        <v>1476</v>
      </c>
      <c r="S43" s="21">
        <v>115.3</v>
      </c>
      <c r="T43" s="21">
        <v>111.7</v>
      </c>
      <c r="U43" s="21">
        <v>114.7</v>
      </c>
      <c r="V43" s="21">
        <f t="shared" si="2"/>
        <v>341.7</v>
      </c>
      <c r="W43" s="22">
        <v>112.5</v>
      </c>
      <c r="X43" s="21">
        <v>111.1</v>
      </c>
      <c r="Y43" s="21">
        <v>112.6</v>
      </c>
      <c r="Z43" s="22">
        <f t="shared" si="3"/>
        <v>336.2</v>
      </c>
      <c r="AA43" s="21">
        <v>110.4</v>
      </c>
      <c r="AB43" s="21">
        <v>108.7</v>
      </c>
      <c r="AC43" s="21">
        <f t="shared" si="4"/>
        <v>219.10000000000002</v>
      </c>
      <c r="AD43" s="27">
        <v>111.3</v>
      </c>
      <c r="AE43" s="27">
        <v>110.3</v>
      </c>
      <c r="AF43" s="27">
        <v>111.6</v>
      </c>
      <c r="AG43" s="21">
        <f t="shared" si="5"/>
        <v>221.89999999999998</v>
      </c>
      <c r="AH43" s="27">
        <v>116.2</v>
      </c>
      <c r="AI43" s="27">
        <v>111</v>
      </c>
      <c r="AJ43" s="21">
        <f t="shared" si="6"/>
        <v>227.2</v>
      </c>
      <c r="AK43" s="21">
        <v>113.1</v>
      </c>
    </row>
    <row r="44" spans="1:37">
      <c r="A44" s="21" t="s">
        <v>34</v>
      </c>
      <c r="B44" s="26">
        <v>2014</v>
      </c>
      <c r="C44" s="21" t="s">
        <v>35</v>
      </c>
      <c r="D44" s="21" t="str">
        <f t="shared" si="0"/>
        <v>No</v>
      </c>
      <c r="E44" s="27">
        <v>120.2</v>
      </c>
      <c r="F44" s="27">
        <v>119.2</v>
      </c>
      <c r="G44" s="27">
        <v>122.5</v>
      </c>
      <c r="H44" s="27">
        <v>115.1</v>
      </c>
      <c r="I44" s="27">
        <v>106.6</v>
      </c>
      <c r="J44" s="27">
        <v>115.4</v>
      </c>
      <c r="K44" s="27">
        <v>114.5</v>
      </c>
      <c r="L44" s="27">
        <v>109.3</v>
      </c>
      <c r="M44" s="27">
        <v>99.2</v>
      </c>
      <c r="N44" s="27">
        <v>111.4</v>
      </c>
      <c r="O44" s="27">
        <v>112.6</v>
      </c>
      <c r="P44" s="27">
        <v>118.8</v>
      </c>
      <c r="Q44" s="27">
        <v>115.3</v>
      </c>
      <c r="R44" s="21">
        <f t="shared" si="1"/>
        <v>1480.1</v>
      </c>
      <c r="S44" s="21">
        <v>116.4</v>
      </c>
      <c r="T44" s="21">
        <v>113.3</v>
      </c>
      <c r="U44" s="21">
        <v>115.9</v>
      </c>
      <c r="V44" s="21">
        <f t="shared" si="2"/>
        <v>345.6</v>
      </c>
      <c r="W44" s="22">
        <v>112.5</v>
      </c>
      <c r="X44" s="21">
        <v>112.4</v>
      </c>
      <c r="Y44" s="21">
        <v>112.8</v>
      </c>
      <c r="Z44" s="22">
        <f t="shared" si="3"/>
        <v>337.7</v>
      </c>
      <c r="AA44" s="21">
        <v>110.7</v>
      </c>
      <c r="AB44" s="21">
        <v>108.7</v>
      </c>
      <c r="AC44" s="21">
        <f t="shared" si="4"/>
        <v>219.4</v>
      </c>
      <c r="AD44" s="27">
        <v>111.1</v>
      </c>
      <c r="AE44" s="27">
        <v>110.1</v>
      </c>
      <c r="AF44" s="27">
        <v>111.8</v>
      </c>
      <c r="AG44" s="21">
        <f t="shared" si="5"/>
        <v>221.89999999999998</v>
      </c>
      <c r="AH44" s="27">
        <v>114.7</v>
      </c>
      <c r="AI44" s="27">
        <v>110.9</v>
      </c>
      <c r="AJ44" s="21">
        <f t="shared" si="6"/>
        <v>225.60000000000002</v>
      </c>
      <c r="AK44" s="21">
        <v>113.6</v>
      </c>
    </row>
    <row r="45" spans="1:37">
      <c r="A45" s="21" t="s">
        <v>30</v>
      </c>
      <c r="B45" s="26">
        <v>2014</v>
      </c>
      <c r="C45" s="21" t="s">
        <v>36</v>
      </c>
      <c r="D45" s="21" t="str">
        <f t="shared" si="0"/>
        <v>No</v>
      </c>
      <c r="E45" s="27">
        <v>120.1</v>
      </c>
      <c r="F45" s="27">
        <v>118.1</v>
      </c>
      <c r="G45" s="27">
        <v>120.7</v>
      </c>
      <c r="H45" s="27">
        <v>116.1</v>
      </c>
      <c r="I45" s="27">
        <v>109.3</v>
      </c>
      <c r="J45" s="27">
        <v>119.6</v>
      </c>
      <c r="K45" s="27">
        <v>117.9</v>
      </c>
      <c r="L45" s="27">
        <v>110.2</v>
      </c>
      <c r="M45" s="27">
        <v>101.2</v>
      </c>
      <c r="N45" s="27">
        <v>110.7</v>
      </c>
      <c r="O45" s="27">
        <v>113</v>
      </c>
      <c r="P45" s="27">
        <v>118.3</v>
      </c>
      <c r="Q45" s="27">
        <v>116.2</v>
      </c>
      <c r="R45" s="21">
        <f t="shared" si="1"/>
        <v>1491.4</v>
      </c>
      <c r="S45" s="21">
        <v>117.5</v>
      </c>
      <c r="T45" s="21">
        <v>114.9</v>
      </c>
      <c r="U45" s="21">
        <v>117.2</v>
      </c>
      <c r="V45" s="21">
        <f t="shared" si="2"/>
        <v>349.6</v>
      </c>
      <c r="W45" s="22">
        <v>139.25</v>
      </c>
      <c r="X45" s="21">
        <v>113.4</v>
      </c>
      <c r="Y45" s="21">
        <v>113.4</v>
      </c>
      <c r="Z45" s="22">
        <f t="shared" si="3"/>
        <v>366.05</v>
      </c>
      <c r="AA45" s="21">
        <v>111.4</v>
      </c>
      <c r="AB45" s="21">
        <v>108.9</v>
      </c>
      <c r="AC45" s="21">
        <f t="shared" si="4"/>
        <v>220.3</v>
      </c>
      <c r="AD45" s="27">
        <v>111.2</v>
      </c>
      <c r="AE45" s="27">
        <v>110.2</v>
      </c>
      <c r="AF45" s="27">
        <v>112.4</v>
      </c>
      <c r="AG45" s="21">
        <f t="shared" si="5"/>
        <v>222.60000000000002</v>
      </c>
      <c r="AH45" s="27">
        <v>114.6</v>
      </c>
      <c r="AI45" s="27">
        <v>111.3</v>
      </c>
      <c r="AJ45" s="21">
        <f t="shared" si="6"/>
        <v>225.89999999999998</v>
      </c>
      <c r="AK45" s="21">
        <v>114.6</v>
      </c>
    </row>
    <row r="46" spans="1:37">
      <c r="A46" s="21" t="s">
        <v>33</v>
      </c>
      <c r="B46" s="26">
        <v>2014</v>
      </c>
      <c r="C46" s="21" t="s">
        <v>36</v>
      </c>
      <c r="D46" s="21" t="str">
        <f t="shared" si="0"/>
        <v>No</v>
      </c>
      <c r="E46" s="27">
        <v>122.1</v>
      </c>
      <c r="F46" s="27">
        <v>121.4</v>
      </c>
      <c r="G46" s="27">
        <v>121.5</v>
      </c>
      <c r="H46" s="27">
        <v>116.2</v>
      </c>
      <c r="I46" s="27">
        <v>102.8</v>
      </c>
      <c r="J46" s="27">
        <v>117.7</v>
      </c>
      <c r="K46" s="27">
        <v>113.3</v>
      </c>
      <c r="L46" s="27">
        <v>108.9</v>
      </c>
      <c r="M46" s="27">
        <v>96.3</v>
      </c>
      <c r="N46" s="27">
        <v>114.1</v>
      </c>
      <c r="O46" s="27">
        <v>112.2</v>
      </c>
      <c r="P46" s="27">
        <v>120.5</v>
      </c>
      <c r="Q46" s="27">
        <v>116</v>
      </c>
      <c r="R46" s="21">
        <f t="shared" si="1"/>
        <v>1483</v>
      </c>
      <c r="S46" s="21">
        <v>115.8</v>
      </c>
      <c r="T46" s="21">
        <v>112.1</v>
      </c>
      <c r="U46" s="21">
        <v>115.2</v>
      </c>
      <c r="V46" s="21">
        <f t="shared" si="2"/>
        <v>343.09999999999997</v>
      </c>
      <c r="W46" s="22">
        <v>113.2</v>
      </c>
      <c r="X46" s="21">
        <v>110.9</v>
      </c>
      <c r="Y46" s="21">
        <v>113</v>
      </c>
      <c r="Z46" s="22">
        <f t="shared" si="3"/>
        <v>337.1</v>
      </c>
      <c r="AA46" s="21">
        <v>110.8</v>
      </c>
      <c r="AB46" s="21">
        <v>109.2</v>
      </c>
      <c r="AC46" s="21">
        <f t="shared" si="4"/>
        <v>220</v>
      </c>
      <c r="AD46" s="27">
        <v>111.6</v>
      </c>
      <c r="AE46" s="27">
        <v>110.9</v>
      </c>
      <c r="AF46" s="27">
        <v>111.8</v>
      </c>
      <c r="AG46" s="21">
        <f t="shared" si="5"/>
        <v>222.7</v>
      </c>
      <c r="AH46" s="27">
        <v>116.7</v>
      </c>
      <c r="AI46" s="27">
        <v>111.4</v>
      </c>
      <c r="AJ46" s="21">
        <f t="shared" si="6"/>
        <v>228.10000000000002</v>
      </c>
      <c r="AK46" s="21">
        <v>113.7</v>
      </c>
    </row>
    <row r="47" spans="1:37">
      <c r="A47" s="21" t="s">
        <v>34</v>
      </c>
      <c r="B47" s="26">
        <v>2014</v>
      </c>
      <c r="C47" s="51" t="s">
        <v>36</v>
      </c>
      <c r="D47" s="21" t="str">
        <f t="shared" si="0"/>
        <v>No</v>
      </c>
      <c r="E47" s="27">
        <v>120.7</v>
      </c>
      <c r="F47" s="27">
        <v>119.3</v>
      </c>
      <c r="G47" s="27">
        <v>121</v>
      </c>
      <c r="H47" s="27">
        <v>116.1</v>
      </c>
      <c r="I47" s="27">
        <v>106.9</v>
      </c>
      <c r="J47" s="27">
        <v>118.7</v>
      </c>
      <c r="K47" s="27">
        <v>116.3</v>
      </c>
      <c r="L47" s="27">
        <v>109.8</v>
      </c>
      <c r="M47" s="27">
        <v>99.6</v>
      </c>
      <c r="N47" s="27">
        <v>111.8</v>
      </c>
      <c r="O47" s="27">
        <v>112.7</v>
      </c>
      <c r="P47" s="27">
        <v>119.3</v>
      </c>
      <c r="Q47" s="27">
        <v>116.1</v>
      </c>
      <c r="R47" s="21">
        <f t="shared" si="1"/>
        <v>1488.2999999999997</v>
      </c>
      <c r="S47" s="21">
        <v>116.8</v>
      </c>
      <c r="T47" s="21">
        <v>113.7</v>
      </c>
      <c r="U47" s="21">
        <v>116.4</v>
      </c>
      <c r="V47" s="21">
        <f t="shared" si="2"/>
        <v>346.9</v>
      </c>
      <c r="W47" s="22">
        <v>113.2</v>
      </c>
      <c r="X47" s="21">
        <v>112.5</v>
      </c>
      <c r="Y47" s="21">
        <v>113.2</v>
      </c>
      <c r="Z47" s="22">
        <f t="shared" si="3"/>
        <v>338.9</v>
      </c>
      <c r="AA47" s="21">
        <v>111.2</v>
      </c>
      <c r="AB47" s="21">
        <v>109</v>
      </c>
      <c r="AC47" s="21">
        <f t="shared" si="4"/>
        <v>220.2</v>
      </c>
      <c r="AD47" s="27">
        <v>111.4</v>
      </c>
      <c r="AE47" s="27">
        <v>110.6</v>
      </c>
      <c r="AF47" s="27">
        <v>112</v>
      </c>
      <c r="AG47" s="21">
        <f t="shared" si="5"/>
        <v>222.6</v>
      </c>
      <c r="AH47" s="27">
        <v>115.2</v>
      </c>
      <c r="AI47" s="27">
        <v>111.3</v>
      </c>
      <c r="AJ47" s="21">
        <f t="shared" si="6"/>
        <v>226.5</v>
      </c>
      <c r="AK47" s="21">
        <v>114.2</v>
      </c>
    </row>
    <row r="48" spans="1:37">
      <c r="A48" s="21" t="s">
        <v>30</v>
      </c>
      <c r="B48" s="26">
        <v>2014</v>
      </c>
      <c r="C48" s="21" t="s">
        <v>37</v>
      </c>
      <c r="D48" s="21" t="str">
        <f t="shared" si="0"/>
        <v>No</v>
      </c>
      <c r="E48" s="27">
        <v>120.2</v>
      </c>
      <c r="F48" s="27">
        <v>118.9</v>
      </c>
      <c r="G48" s="27">
        <v>118.1</v>
      </c>
      <c r="H48" s="27">
        <v>117</v>
      </c>
      <c r="I48" s="27">
        <v>109.7</v>
      </c>
      <c r="J48" s="27">
        <v>125.5</v>
      </c>
      <c r="K48" s="27">
        <v>120.5</v>
      </c>
      <c r="L48" s="27">
        <v>111</v>
      </c>
      <c r="M48" s="27">
        <v>102.6</v>
      </c>
      <c r="N48" s="27">
        <v>111.2</v>
      </c>
      <c r="O48" s="27">
        <v>113.5</v>
      </c>
      <c r="P48" s="27">
        <v>118.7</v>
      </c>
      <c r="Q48" s="27">
        <v>117.2</v>
      </c>
      <c r="R48" s="21">
        <f t="shared" si="1"/>
        <v>1504.1000000000001</v>
      </c>
      <c r="S48" s="21">
        <v>118.1</v>
      </c>
      <c r="T48" s="21">
        <v>116.1</v>
      </c>
      <c r="U48" s="21">
        <v>117.8</v>
      </c>
      <c r="V48" s="21">
        <f t="shared" si="2"/>
        <v>352</v>
      </c>
      <c r="W48" s="22">
        <v>139.25</v>
      </c>
      <c r="X48" s="21">
        <v>113.4</v>
      </c>
      <c r="Y48" s="21">
        <v>113.7</v>
      </c>
      <c r="Z48" s="22">
        <f t="shared" si="3"/>
        <v>366.35</v>
      </c>
      <c r="AA48" s="21">
        <v>111.8</v>
      </c>
      <c r="AB48" s="21">
        <v>108.9</v>
      </c>
      <c r="AC48" s="21">
        <f t="shared" si="4"/>
        <v>220.7</v>
      </c>
      <c r="AD48" s="27">
        <v>111.2</v>
      </c>
      <c r="AE48" s="27">
        <v>110.5</v>
      </c>
      <c r="AF48" s="27">
        <v>113</v>
      </c>
      <c r="AG48" s="21">
        <f t="shared" si="5"/>
        <v>223.5</v>
      </c>
      <c r="AH48" s="27">
        <v>115.4</v>
      </c>
      <c r="AI48" s="27">
        <v>111.5</v>
      </c>
      <c r="AJ48" s="21">
        <f t="shared" si="6"/>
        <v>226.9</v>
      </c>
      <c r="AK48" s="21">
        <v>115.4</v>
      </c>
    </row>
    <row r="49" spans="1:37">
      <c r="A49" s="21" t="s">
        <v>33</v>
      </c>
      <c r="B49" s="26">
        <v>2014</v>
      </c>
      <c r="C49" s="21" t="s">
        <v>37</v>
      </c>
      <c r="D49" s="21" t="str">
        <f t="shared" si="0"/>
        <v>No</v>
      </c>
      <c r="E49" s="27">
        <v>122.5</v>
      </c>
      <c r="F49" s="27">
        <v>121.7</v>
      </c>
      <c r="G49" s="27">
        <v>113.3</v>
      </c>
      <c r="H49" s="27">
        <v>117</v>
      </c>
      <c r="I49" s="27">
        <v>103.1</v>
      </c>
      <c r="J49" s="27">
        <v>126.7</v>
      </c>
      <c r="K49" s="27">
        <v>121.2</v>
      </c>
      <c r="L49" s="27">
        <v>111</v>
      </c>
      <c r="M49" s="27">
        <v>100.3</v>
      </c>
      <c r="N49" s="27">
        <v>115.3</v>
      </c>
      <c r="O49" s="27">
        <v>112.7</v>
      </c>
      <c r="P49" s="27">
        <v>121</v>
      </c>
      <c r="Q49" s="27">
        <v>118.2</v>
      </c>
      <c r="R49" s="21">
        <f t="shared" si="1"/>
        <v>1504.0000000000002</v>
      </c>
      <c r="S49" s="21">
        <v>116.3</v>
      </c>
      <c r="T49" s="21">
        <v>112.5</v>
      </c>
      <c r="U49" s="21">
        <v>115.7</v>
      </c>
      <c r="V49" s="21">
        <f t="shared" si="2"/>
        <v>344.5</v>
      </c>
      <c r="W49" s="22">
        <v>113.9</v>
      </c>
      <c r="X49" s="21">
        <v>110.9</v>
      </c>
      <c r="Y49" s="21">
        <v>113.4</v>
      </c>
      <c r="Z49" s="22">
        <f t="shared" si="3"/>
        <v>338.20000000000005</v>
      </c>
      <c r="AA49" s="21">
        <v>111</v>
      </c>
      <c r="AB49" s="21">
        <v>109.1</v>
      </c>
      <c r="AC49" s="21">
        <f t="shared" si="4"/>
        <v>220.1</v>
      </c>
      <c r="AD49" s="27">
        <v>111.2</v>
      </c>
      <c r="AE49" s="27">
        <v>111.2</v>
      </c>
      <c r="AF49" s="27">
        <v>112.5</v>
      </c>
      <c r="AG49" s="21">
        <f t="shared" si="5"/>
        <v>223.7</v>
      </c>
      <c r="AH49" s="27">
        <v>117.6</v>
      </c>
      <c r="AI49" s="27">
        <v>111.4</v>
      </c>
      <c r="AJ49" s="21">
        <f t="shared" si="6"/>
        <v>229</v>
      </c>
      <c r="AK49" s="21">
        <v>114.7</v>
      </c>
    </row>
    <row r="50" spans="1:37">
      <c r="A50" s="21" t="s">
        <v>34</v>
      </c>
      <c r="B50" s="26">
        <v>2014</v>
      </c>
      <c r="C50" s="21" t="s">
        <v>37</v>
      </c>
      <c r="D50" s="21" t="str">
        <f t="shared" si="0"/>
        <v>No</v>
      </c>
      <c r="E50" s="27">
        <v>120.9</v>
      </c>
      <c r="F50" s="27">
        <v>119.9</v>
      </c>
      <c r="G50" s="27">
        <v>116.2</v>
      </c>
      <c r="H50" s="27">
        <v>117</v>
      </c>
      <c r="I50" s="27">
        <v>107.3</v>
      </c>
      <c r="J50" s="27">
        <v>126.1</v>
      </c>
      <c r="K50" s="27">
        <v>120.7</v>
      </c>
      <c r="L50" s="27">
        <v>111</v>
      </c>
      <c r="M50" s="27">
        <v>101.8</v>
      </c>
      <c r="N50" s="27">
        <v>112.6</v>
      </c>
      <c r="O50" s="27">
        <v>113.2</v>
      </c>
      <c r="P50" s="27">
        <v>119.8</v>
      </c>
      <c r="Q50" s="27">
        <v>117.6</v>
      </c>
      <c r="R50" s="21">
        <f t="shared" si="1"/>
        <v>1504.1</v>
      </c>
      <c r="S50" s="21">
        <v>117.4</v>
      </c>
      <c r="T50" s="21">
        <v>114.6</v>
      </c>
      <c r="U50" s="21">
        <v>117</v>
      </c>
      <c r="V50" s="21">
        <f t="shared" si="2"/>
        <v>349</v>
      </c>
      <c r="W50" s="22">
        <v>113.9</v>
      </c>
      <c r="X50" s="21">
        <v>112.5</v>
      </c>
      <c r="Y50" s="21">
        <v>113.6</v>
      </c>
      <c r="Z50" s="22">
        <f t="shared" si="3"/>
        <v>340</v>
      </c>
      <c r="AA50" s="21">
        <v>111.5</v>
      </c>
      <c r="AB50" s="21">
        <v>109</v>
      </c>
      <c r="AC50" s="21">
        <f t="shared" si="4"/>
        <v>220.5</v>
      </c>
      <c r="AD50" s="27">
        <v>111.2</v>
      </c>
      <c r="AE50" s="27">
        <v>110.9</v>
      </c>
      <c r="AF50" s="27">
        <v>112.7</v>
      </c>
      <c r="AG50" s="21">
        <f t="shared" si="5"/>
        <v>223.60000000000002</v>
      </c>
      <c r="AH50" s="27">
        <v>116</v>
      </c>
      <c r="AI50" s="27">
        <v>111.5</v>
      </c>
      <c r="AJ50" s="21">
        <f t="shared" si="6"/>
        <v>227.5</v>
      </c>
      <c r="AK50" s="21">
        <v>115.1</v>
      </c>
    </row>
    <row r="51" spans="1:37">
      <c r="A51" s="21" t="s">
        <v>30</v>
      </c>
      <c r="B51" s="26">
        <v>2014</v>
      </c>
      <c r="C51" s="21" t="s">
        <v>38</v>
      </c>
      <c r="D51" s="21" t="str">
        <f t="shared" si="0"/>
        <v>No</v>
      </c>
      <c r="E51" s="27">
        <v>120.3</v>
      </c>
      <c r="F51" s="27">
        <v>120.2</v>
      </c>
      <c r="G51" s="27">
        <v>116.9</v>
      </c>
      <c r="H51" s="27">
        <v>118</v>
      </c>
      <c r="I51" s="27">
        <v>110.1</v>
      </c>
      <c r="J51" s="27">
        <v>126.3</v>
      </c>
      <c r="K51" s="27">
        <v>123.9</v>
      </c>
      <c r="L51" s="27">
        <v>111.5</v>
      </c>
      <c r="M51" s="27">
        <v>103.5</v>
      </c>
      <c r="N51" s="27">
        <v>111.6</v>
      </c>
      <c r="O51" s="27">
        <v>114.2</v>
      </c>
      <c r="P51" s="27">
        <v>119.2</v>
      </c>
      <c r="Q51" s="27">
        <v>118.2</v>
      </c>
      <c r="R51" s="21">
        <f t="shared" si="1"/>
        <v>1513.8999999999999</v>
      </c>
      <c r="S51" s="21">
        <v>118.7</v>
      </c>
      <c r="T51" s="21">
        <v>116.8</v>
      </c>
      <c r="U51" s="21">
        <v>118.5</v>
      </c>
      <c r="V51" s="21">
        <f t="shared" si="2"/>
        <v>354</v>
      </c>
      <c r="W51" s="22">
        <v>139.25</v>
      </c>
      <c r="X51" s="21">
        <v>113.4</v>
      </c>
      <c r="Y51" s="21">
        <v>114.1</v>
      </c>
      <c r="Z51" s="22">
        <f t="shared" si="3"/>
        <v>366.75</v>
      </c>
      <c r="AA51" s="21">
        <v>112.1</v>
      </c>
      <c r="AB51" s="21">
        <v>108.9</v>
      </c>
      <c r="AC51" s="21">
        <f t="shared" si="4"/>
        <v>221</v>
      </c>
      <c r="AD51" s="27">
        <v>111.4</v>
      </c>
      <c r="AE51" s="27">
        <v>110.9</v>
      </c>
      <c r="AF51" s="27">
        <v>113.1</v>
      </c>
      <c r="AG51" s="21">
        <f t="shared" si="5"/>
        <v>224</v>
      </c>
      <c r="AH51" s="27">
        <v>116.3</v>
      </c>
      <c r="AI51" s="27">
        <v>111.8</v>
      </c>
      <c r="AJ51" s="21">
        <f t="shared" si="6"/>
        <v>228.1</v>
      </c>
      <c r="AK51" s="21">
        <v>116</v>
      </c>
    </row>
    <row r="52" spans="1:37">
      <c r="A52" s="21" t="s">
        <v>33</v>
      </c>
      <c r="B52" s="26">
        <v>2014</v>
      </c>
      <c r="C52" s="21" t="s">
        <v>38</v>
      </c>
      <c r="D52" s="21" t="str">
        <f t="shared" si="0"/>
        <v>No</v>
      </c>
      <c r="E52" s="27">
        <v>122.7</v>
      </c>
      <c r="F52" s="27">
        <v>124.1</v>
      </c>
      <c r="G52" s="27">
        <v>114.2</v>
      </c>
      <c r="H52" s="27">
        <v>119.1</v>
      </c>
      <c r="I52" s="27">
        <v>103.5</v>
      </c>
      <c r="J52" s="27">
        <v>129.19999999999999</v>
      </c>
      <c r="K52" s="27">
        <v>127</v>
      </c>
      <c r="L52" s="27">
        <v>112.6</v>
      </c>
      <c r="M52" s="27">
        <v>101.3</v>
      </c>
      <c r="N52" s="27">
        <v>117</v>
      </c>
      <c r="O52" s="27">
        <v>112.9</v>
      </c>
      <c r="P52" s="27">
        <v>121.7</v>
      </c>
      <c r="Q52" s="27">
        <v>120</v>
      </c>
      <c r="R52" s="21">
        <f t="shared" si="1"/>
        <v>1525.3000000000002</v>
      </c>
      <c r="S52" s="21">
        <v>116.8</v>
      </c>
      <c r="T52" s="21">
        <v>112.9</v>
      </c>
      <c r="U52" s="21">
        <v>116.2</v>
      </c>
      <c r="V52" s="21">
        <f t="shared" si="2"/>
        <v>345.9</v>
      </c>
      <c r="W52" s="22">
        <v>114.3</v>
      </c>
      <c r="X52" s="21">
        <v>111.1</v>
      </c>
      <c r="Y52" s="21">
        <v>114.1</v>
      </c>
      <c r="Z52" s="22">
        <f t="shared" si="3"/>
        <v>339.5</v>
      </c>
      <c r="AA52" s="21">
        <v>111.2</v>
      </c>
      <c r="AB52" s="21">
        <v>109.3</v>
      </c>
      <c r="AC52" s="21">
        <f t="shared" si="4"/>
        <v>220.5</v>
      </c>
      <c r="AD52" s="27">
        <v>111.3</v>
      </c>
      <c r="AE52" s="27">
        <v>111.5</v>
      </c>
      <c r="AF52" s="27">
        <v>112.9</v>
      </c>
      <c r="AG52" s="21">
        <f t="shared" si="5"/>
        <v>224.4</v>
      </c>
      <c r="AH52" s="27">
        <v>118.3</v>
      </c>
      <c r="AI52" s="27">
        <v>111.7</v>
      </c>
      <c r="AJ52" s="21">
        <f t="shared" si="6"/>
        <v>230</v>
      </c>
      <c r="AK52" s="21">
        <v>115.6</v>
      </c>
    </row>
    <row r="53" spans="1:37">
      <c r="A53" s="21" t="s">
        <v>34</v>
      </c>
      <c r="B53" s="26">
        <v>2014</v>
      </c>
      <c r="C53" s="21" t="s">
        <v>38</v>
      </c>
      <c r="D53" s="21" t="str">
        <f t="shared" si="0"/>
        <v>No</v>
      </c>
      <c r="E53" s="27">
        <v>121.1</v>
      </c>
      <c r="F53" s="27">
        <v>121.6</v>
      </c>
      <c r="G53" s="27">
        <v>115.9</v>
      </c>
      <c r="H53" s="27">
        <v>118.4</v>
      </c>
      <c r="I53" s="27">
        <v>107.7</v>
      </c>
      <c r="J53" s="27">
        <v>127.7</v>
      </c>
      <c r="K53" s="27">
        <v>125</v>
      </c>
      <c r="L53" s="27">
        <v>111.9</v>
      </c>
      <c r="M53" s="27">
        <v>102.8</v>
      </c>
      <c r="N53" s="27">
        <v>113.4</v>
      </c>
      <c r="O53" s="27">
        <v>113.7</v>
      </c>
      <c r="P53" s="27">
        <v>120.4</v>
      </c>
      <c r="Q53" s="27">
        <v>118.9</v>
      </c>
      <c r="R53" s="21">
        <f t="shared" si="1"/>
        <v>1518.5000000000005</v>
      </c>
      <c r="S53" s="21">
        <v>118</v>
      </c>
      <c r="T53" s="21">
        <v>115.2</v>
      </c>
      <c r="U53" s="21">
        <v>117.6</v>
      </c>
      <c r="V53" s="21">
        <f t="shared" si="2"/>
        <v>350.79999999999995</v>
      </c>
      <c r="W53" s="22">
        <v>114.3</v>
      </c>
      <c r="X53" s="21">
        <v>112.5</v>
      </c>
      <c r="Y53" s="21">
        <v>114.1</v>
      </c>
      <c r="Z53" s="22">
        <f t="shared" si="3"/>
        <v>340.9</v>
      </c>
      <c r="AA53" s="21">
        <v>111.8</v>
      </c>
      <c r="AB53" s="21">
        <v>109.1</v>
      </c>
      <c r="AC53" s="21">
        <f t="shared" si="4"/>
        <v>220.89999999999998</v>
      </c>
      <c r="AD53" s="27">
        <v>111.3</v>
      </c>
      <c r="AE53" s="27">
        <v>111.2</v>
      </c>
      <c r="AF53" s="27">
        <v>113</v>
      </c>
      <c r="AG53" s="21">
        <f t="shared" si="5"/>
        <v>224.2</v>
      </c>
      <c r="AH53" s="27">
        <v>116.8</v>
      </c>
      <c r="AI53" s="27">
        <v>111.8</v>
      </c>
      <c r="AJ53" s="21">
        <f t="shared" si="6"/>
        <v>228.6</v>
      </c>
      <c r="AK53" s="21">
        <v>115.8</v>
      </c>
    </row>
    <row r="54" spans="1:37">
      <c r="A54" s="21" t="s">
        <v>30</v>
      </c>
      <c r="B54" s="26">
        <v>2014</v>
      </c>
      <c r="C54" s="21" t="s">
        <v>39</v>
      </c>
      <c r="D54" s="21" t="str">
        <f t="shared" si="0"/>
        <v>No</v>
      </c>
      <c r="E54" s="27">
        <v>120.7</v>
      </c>
      <c r="F54" s="27">
        <v>121.6</v>
      </c>
      <c r="G54" s="27">
        <v>116.1</v>
      </c>
      <c r="H54" s="27">
        <v>119.3</v>
      </c>
      <c r="I54" s="27">
        <v>110.3</v>
      </c>
      <c r="J54" s="27">
        <v>125.8</v>
      </c>
      <c r="K54" s="27">
        <v>129.30000000000001</v>
      </c>
      <c r="L54" s="27">
        <v>112.2</v>
      </c>
      <c r="M54" s="27">
        <v>103.6</v>
      </c>
      <c r="N54" s="27">
        <v>112.3</v>
      </c>
      <c r="O54" s="27">
        <v>114.9</v>
      </c>
      <c r="P54" s="27">
        <v>120.1</v>
      </c>
      <c r="Q54" s="27">
        <v>119.5</v>
      </c>
      <c r="R54" s="21">
        <f t="shared" si="1"/>
        <v>1525.6999999999998</v>
      </c>
      <c r="S54" s="21">
        <v>119.7</v>
      </c>
      <c r="T54" s="21">
        <v>117.3</v>
      </c>
      <c r="U54" s="21">
        <v>119.3</v>
      </c>
      <c r="V54" s="21">
        <f t="shared" si="2"/>
        <v>356.3</v>
      </c>
      <c r="W54" s="22">
        <v>139.25</v>
      </c>
      <c r="X54" s="21">
        <v>114.4</v>
      </c>
      <c r="Y54" s="21">
        <v>114.9</v>
      </c>
      <c r="Z54" s="22">
        <f t="shared" si="3"/>
        <v>368.55</v>
      </c>
      <c r="AA54" s="21">
        <v>112.8</v>
      </c>
      <c r="AB54" s="21">
        <v>108</v>
      </c>
      <c r="AC54" s="21">
        <f t="shared" si="4"/>
        <v>220.8</v>
      </c>
      <c r="AD54" s="27">
        <v>112.2</v>
      </c>
      <c r="AE54" s="27">
        <v>111.4</v>
      </c>
      <c r="AF54" s="27">
        <v>114.3</v>
      </c>
      <c r="AG54" s="21">
        <f t="shared" si="5"/>
        <v>225.7</v>
      </c>
      <c r="AH54" s="27">
        <v>117.3</v>
      </c>
      <c r="AI54" s="27">
        <v>112.3</v>
      </c>
      <c r="AJ54" s="21">
        <f t="shared" si="6"/>
        <v>229.6</v>
      </c>
      <c r="AK54" s="21">
        <v>117</v>
      </c>
    </row>
    <row r="55" spans="1:37">
      <c r="A55" s="21" t="s">
        <v>33</v>
      </c>
      <c r="B55" s="26">
        <v>2014</v>
      </c>
      <c r="C55" s="21" t="s">
        <v>39</v>
      </c>
      <c r="D55" s="21" t="str">
        <f t="shared" si="0"/>
        <v>No</v>
      </c>
      <c r="E55" s="27">
        <v>123.1</v>
      </c>
      <c r="F55" s="27">
        <v>125.9</v>
      </c>
      <c r="G55" s="27">
        <v>115.4</v>
      </c>
      <c r="H55" s="27">
        <v>120.4</v>
      </c>
      <c r="I55" s="27">
        <v>103.4</v>
      </c>
      <c r="J55" s="27">
        <v>131.19999999999999</v>
      </c>
      <c r="K55" s="27">
        <v>137.5</v>
      </c>
      <c r="L55" s="27">
        <v>112.8</v>
      </c>
      <c r="M55" s="27">
        <v>101.4</v>
      </c>
      <c r="N55" s="27">
        <v>118.3</v>
      </c>
      <c r="O55" s="27">
        <v>113.2</v>
      </c>
      <c r="P55" s="27">
        <v>122.4</v>
      </c>
      <c r="Q55" s="27">
        <v>122</v>
      </c>
      <c r="R55" s="21">
        <f t="shared" si="1"/>
        <v>1547</v>
      </c>
      <c r="S55" s="21">
        <v>117.4</v>
      </c>
      <c r="T55" s="21">
        <v>113.2</v>
      </c>
      <c r="U55" s="21">
        <v>116.7</v>
      </c>
      <c r="V55" s="21">
        <f t="shared" si="2"/>
        <v>347.3</v>
      </c>
      <c r="W55" s="22">
        <v>113.9</v>
      </c>
      <c r="X55" s="21">
        <v>111.2</v>
      </c>
      <c r="Y55" s="21">
        <v>114.3</v>
      </c>
      <c r="Z55" s="22">
        <f t="shared" si="3"/>
        <v>339.40000000000003</v>
      </c>
      <c r="AA55" s="21">
        <v>111.4</v>
      </c>
      <c r="AB55" s="21">
        <v>108.7</v>
      </c>
      <c r="AC55" s="21">
        <f t="shared" si="4"/>
        <v>220.10000000000002</v>
      </c>
      <c r="AD55" s="27">
        <v>111.5</v>
      </c>
      <c r="AE55" s="27">
        <v>111.8</v>
      </c>
      <c r="AF55" s="27">
        <v>115.1</v>
      </c>
      <c r="AG55" s="21">
        <f t="shared" si="5"/>
        <v>226.89999999999998</v>
      </c>
      <c r="AH55" s="27">
        <v>119</v>
      </c>
      <c r="AI55" s="27">
        <v>112.2</v>
      </c>
      <c r="AJ55" s="21">
        <f t="shared" si="6"/>
        <v>231.2</v>
      </c>
      <c r="AK55" s="21">
        <v>116.4</v>
      </c>
    </row>
    <row r="56" spans="1:37">
      <c r="A56" s="21" t="s">
        <v>34</v>
      </c>
      <c r="B56" s="26">
        <v>2014</v>
      </c>
      <c r="C56" s="21" t="s">
        <v>39</v>
      </c>
      <c r="D56" s="21" t="str">
        <f t="shared" si="0"/>
        <v>No</v>
      </c>
      <c r="E56" s="27">
        <v>121.5</v>
      </c>
      <c r="F56" s="27">
        <v>123.1</v>
      </c>
      <c r="G56" s="27">
        <v>115.8</v>
      </c>
      <c r="H56" s="27">
        <v>119.7</v>
      </c>
      <c r="I56" s="27">
        <v>107.8</v>
      </c>
      <c r="J56" s="27">
        <v>128.30000000000001</v>
      </c>
      <c r="K56" s="27">
        <v>132.1</v>
      </c>
      <c r="L56" s="27">
        <v>112.4</v>
      </c>
      <c r="M56" s="27">
        <v>102.9</v>
      </c>
      <c r="N56" s="27">
        <v>114.3</v>
      </c>
      <c r="O56" s="27">
        <v>114.2</v>
      </c>
      <c r="P56" s="27">
        <v>121.2</v>
      </c>
      <c r="Q56" s="27">
        <v>120.4</v>
      </c>
      <c r="R56" s="21">
        <f t="shared" si="1"/>
        <v>1533.7000000000003</v>
      </c>
      <c r="S56" s="21">
        <v>118.8</v>
      </c>
      <c r="T56" s="21">
        <v>115.6</v>
      </c>
      <c r="U56" s="21">
        <v>118.3</v>
      </c>
      <c r="V56" s="21">
        <f t="shared" si="2"/>
        <v>352.7</v>
      </c>
      <c r="W56" s="22">
        <v>113.9</v>
      </c>
      <c r="X56" s="21">
        <v>113.2</v>
      </c>
      <c r="Y56" s="21">
        <v>114.6</v>
      </c>
      <c r="Z56" s="22">
        <f t="shared" si="3"/>
        <v>341.70000000000005</v>
      </c>
      <c r="AA56" s="21">
        <v>112.3</v>
      </c>
      <c r="AB56" s="21">
        <v>108.3</v>
      </c>
      <c r="AC56" s="21">
        <f t="shared" si="4"/>
        <v>220.6</v>
      </c>
      <c r="AD56" s="27">
        <v>111.8</v>
      </c>
      <c r="AE56" s="27">
        <v>111.6</v>
      </c>
      <c r="AF56" s="27">
        <v>114.8</v>
      </c>
      <c r="AG56" s="21">
        <f t="shared" si="5"/>
        <v>226.39999999999998</v>
      </c>
      <c r="AH56" s="27">
        <v>117.8</v>
      </c>
      <c r="AI56" s="27">
        <v>112.3</v>
      </c>
      <c r="AJ56" s="21">
        <f t="shared" si="6"/>
        <v>230.1</v>
      </c>
      <c r="AK56" s="21">
        <v>116.7</v>
      </c>
    </row>
    <row r="57" spans="1:37">
      <c r="A57" s="21" t="s">
        <v>30</v>
      </c>
      <c r="B57" s="26">
        <v>2014</v>
      </c>
      <c r="C57" s="21" t="s">
        <v>40</v>
      </c>
      <c r="D57" s="21" t="str">
        <f t="shared" si="0"/>
        <v>No</v>
      </c>
      <c r="E57" s="27">
        <v>121.7</v>
      </c>
      <c r="F57" s="27">
        <v>122.5</v>
      </c>
      <c r="G57" s="27">
        <v>117.7</v>
      </c>
      <c r="H57" s="27">
        <v>120.6</v>
      </c>
      <c r="I57" s="27">
        <v>110.4</v>
      </c>
      <c r="J57" s="27">
        <v>129.1</v>
      </c>
      <c r="K57" s="27">
        <v>150.1</v>
      </c>
      <c r="L57" s="27">
        <v>113.2</v>
      </c>
      <c r="M57" s="27">
        <v>104.8</v>
      </c>
      <c r="N57" s="27">
        <v>113.3</v>
      </c>
      <c r="O57" s="27">
        <v>115.6</v>
      </c>
      <c r="P57" s="27">
        <v>120.9</v>
      </c>
      <c r="Q57" s="27">
        <v>123.3</v>
      </c>
      <c r="R57" s="21">
        <f t="shared" si="1"/>
        <v>1563.2</v>
      </c>
      <c r="S57" s="21">
        <v>120.7</v>
      </c>
      <c r="T57" s="21">
        <v>118.3</v>
      </c>
      <c r="U57" s="21">
        <v>120.3</v>
      </c>
      <c r="V57" s="21">
        <f t="shared" si="2"/>
        <v>359.3</v>
      </c>
      <c r="W57" s="22">
        <v>139.25</v>
      </c>
      <c r="X57" s="21">
        <v>115.3</v>
      </c>
      <c r="Y57" s="21">
        <v>115.4</v>
      </c>
      <c r="Z57" s="22">
        <f t="shared" si="3"/>
        <v>369.95000000000005</v>
      </c>
      <c r="AA57" s="21">
        <v>113.4</v>
      </c>
      <c r="AB57" s="21">
        <v>108.8</v>
      </c>
      <c r="AC57" s="21">
        <f t="shared" si="4"/>
        <v>222.2</v>
      </c>
      <c r="AD57" s="27">
        <v>113.2</v>
      </c>
      <c r="AE57" s="27">
        <v>111.8</v>
      </c>
      <c r="AF57" s="27">
        <v>115.5</v>
      </c>
      <c r="AG57" s="21">
        <f t="shared" si="5"/>
        <v>227.3</v>
      </c>
      <c r="AH57" s="27">
        <v>118</v>
      </c>
      <c r="AI57" s="27">
        <v>113.1</v>
      </c>
      <c r="AJ57" s="21">
        <f t="shared" si="6"/>
        <v>231.1</v>
      </c>
      <c r="AK57" s="21">
        <v>119.5</v>
      </c>
    </row>
    <row r="58" spans="1:37">
      <c r="A58" s="21" t="s">
        <v>33</v>
      </c>
      <c r="B58" s="26">
        <v>2014</v>
      </c>
      <c r="C58" s="21" t="s">
        <v>40</v>
      </c>
      <c r="D58" s="21" t="str">
        <f t="shared" si="0"/>
        <v>No</v>
      </c>
      <c r="E58" s="27">
        <v>123.8</v>
      </c>
      <c r="F58" s="27">
        <v>126.4</v>
      </c>
      <c r="G58" s="27">
        <v>118</v>
      </c>
      <c r="H58" s="27">
        <v>121.6</v>
      </c>
      <c r="I58" s="27">
        <v>103.5</v>
      </c>
      <c r="J58" s="27">
        <v>133.69999999999999</v>
      </c>
      <c r="K58" s="27">
        <v>172.4</v>
      </c>
      <c r="L58" s="27">
        <v>113.1</v>
      </c>
      <c r="M58" s="27">
        <v>102.7</v>
      </c>
      <c r="N58" s="27">
        <v>120</v>
      </c>
      <c r="O58" s="27">
        <v>113.8</v>
      </c>
      <c r="P58" s="27">
        <v>123.4</v>
      </c>
      <c r="Q58" s="27">
        <v>127.1</v>
      </c>
      <c r="R58" s="21">
        <f t="shared" si="1"/>
        <v>1599.5</v>
      </c>
      <c r="S58" s="21">
        <v>118</v>
      </c>
      <c r="T58" s="21">
        <v>113.6</v>
      </c>
      <c r="U58" s="21">
        <v>117.4</v>
      </c>
      <c r="V58" s="21">
        <f t="shared" si="2"/>
        <v>349</v>
      </c>
      <c r="W58" s="22">
        <v>114.8</v>
      </c>
      <c r="X58" s="21">
        <v>111.6</v>
      </c>
      <c r="Y58" s="21">
        <v>114.9</v>
      </c>
      <c r="Z58" s="22">
        <f t="shared" si="3"/>
        <v>341.29999999999995</v>
      </c>
      <c r="AA58" s="21">
        <v>111.5</v>
      </c>
      <c r="AB58" s="21">
        <v>109.7</v>
      </c>
      <c r="AC58" s="21">
        <f t="shared" si="4"/>
        <v>221.2</v>
      </c>
      <c r="AD58" s="27">
        <v>113</v>
      </c>
      <c r="AE58" s="27">
        <v>112.4</v>
      </c>
      <c r="AF58" s="27">
        <v>117.8</v>
      </c>
      <c r="AG58" s="21">
        <f t="shared" si="5"/>
        <v>230.2</v>
      </c>
      <c r="AH58" s="27">
        <v>121</v>
      </c>
      <c r="AI58" s="27">
        <v>113.5</v>
      </c>
      <c r="AJ58" s="21">
        <f t="shared" si="6"/>
        <v>234.5</v>
      </c>
      <c r="AK58" s="21">
        <v>118.9</v>
      </c>
    </row>
    <row r="59" spans="1:37">
      <c r="A59" s="21" t="s">
        <v>34</v>
      </c>
      <c r="B59" s="26">
        <v>2014</v>
      </c>
      <c r="C59" s="21" t="s">
        <v>40</v>
      </c>
      <c r="D59" s="21" t="str">
        <f t="shared" si="0"/>
        <v>No</v>
      </c>
      <c r="E59" s="27">
        <v>122.4</v>
      </c>
      <c r="F59" s="27">
        <v>123.9</v>
      </c>
      <c r="G59" s="27">
        <v>117.8</v>
      </c>
      <c r="H59" s="27">
        <v>121</v>
      </c>
      <c r="I59" s="27">
        <v>107.9</v>
      </c>
      <c r="J59" s="27">
        <v>131.19999999999999</v>
      </c>
      <c r="K59" s="27">
        <v>157.69999999999999</v>
      </c>
      <c r="L59" s="27">
        <v>113.2</v>
      </c>
      <c r="M59" s="27">
        <v>104.1</v>
      </c>
      <c r="N59" s="27">
        <v>115.5</v>
      </c>
      <c r="O59" s="27">
        <v>114.8</v>
      </c>
      <c r="P59" s="27">
        <v>122.1</v>
      </c>
      <c r="Q59" s="27">
        <v>124.7</v>
      </c>
      <c r="R59" s="21">
        <f t="shared" si="1"/>
        <v>1576.3</v>
      </c>
      <c r="S59" s="21">
        <v>119.6</v>
      </c>
      <c r="T59" s="21">
        <v>116.3</v>
      </c>
      <c r="U59" s="21">
        <v>119.1</v>
      </c>
      <c r="V59" s="21">
        <f t="shared" si="2"/>
        <v>355</v>
      </c>
      <c r="W59" s="22">
        <v>114.8</v>
      </c>
      <c r="X59" s="21">
        <v>113.9</v>
      </c>
      <c r="Y59" s="21">
        <v>115.2</v>
      </c>
      <c r="Z59" s="22">
        <f t="shared" si="3"/>
        <v>343.9</v>
      </c>
      <c r="AA59" s="21">
        <v>112.7</v>
      </c>
      <c r="AB59" s="21">
        <v>109.2</v>
      </c>
      <c r="AC59" s="21">
        <f t="shared" si="4"/>
        <v>221.9</v>
      </c>
      <c r="AD59" s="27">
        <v>113.1</v>
      </c>
      <c r="AE59" s="27">
        <v>112.1</v>
      </c>
      <c r="AF59" s="27">
        <v>116.8</v>
      </c>
      <c r="AG59" s="21">
        <f t="shared" si="5"/>
        <v>228.89999999999998</v>
      </c>
      <c r="AH59" s="27">
        <v>118.8</v>
      </c>
      <c r="AI59" s="27">
        <v>113.3</v>
      </c>
      <c r="AJ59" s="21">
        <f t="shared" si="6"/>
        <v>232.1</v>
      </c>
      <c r="AK59" s="21">
        <v>119.2</v>
      </c>
    </row>
    <row r="60" spans="1:37">
      <c r="A60" s="21" t="s">
        <v>30</v>
      </c>
      <c r="B60" s="26">
        <v>2014</v>
      </c>
      <c r="C60" s="21" t="s">
        <v>41</v>
      </c>
      <c r="D60" s="21" t="str">
        <f t="shared" si="0"/>
        <v>No</v>
      </c>
      <c r="E60" s="27">
        <v>121.8</v>
      </c>
      <c r="F60" s="27">
        <v>122.8</v>
      </c>
      <c r="G60" s="27">
        <v>117.8</v>
      </c>
      <c r="H60" s="27">
        <v>121.9</v>
      </c>
      <c r="I60" s="27">
        <v>110.6</v>
      </c>
      <c r="J60" s="27">
        <v>129.69999999999999</v>
      </c>
      <c r="K60" s="27">
        <v>161.1</v>
      </c>
      <c r="L60" s="27">
        <v>114.1</v>
      </c>
      <c r="M60" s="27">
        <v>105.1</v>
      </c>
      <c r="N60" s="27">
        <v>114.6</v>
      </c>
      <c r="O60" s="27">
        <v>115.8</v>
      </c>
      <c r="P60" s="27">
        <v>121.7</v>
      </c>
      <c r="Q60" s="27">
        <v>125.3</v>
      </c>
      <c r="R60" s="21">
        <f t="shared" si="1"/>
        <v>1582.2999999999997</v>
      </c>
      <c r="S60" s="21">
        <v>120.9</v>
      </c>
      <c r="T60" s="21">
        <v>118.8</v>
      </c>
      <c r="U60" s="21">
        <v>120.7</v>
      </c>
      <c r="V60" s="21">
        <f t="shared" si="2"/>
        <v>360.4</v>
      </c>
      <c r="W60" s="22">
        <v>139.25</v>
      </c>
      <c r="X60" s="21">
        <v>115.4</v>
      </c>
      <c r="Y60" s="21">
        <v>115.9</v>
      </c>
      <c r="Z60" s="22">
        <f t="shared" si="3"/>
        <v>370.55</v>
      </c>
      <c r="AA60" s="21">
        <v>114</v>
      </c>
      <c r="AB60" s="21">
        <v>109.4</v>
      </c>
      <c r="AC60" s="21">
        <f t="shared" si="4"/>
        <v>223.4</v>
      </c>
      <c r="AD60" s="27">
        <v>113.2</v>
      </c>
      <c r="AE60" s="27">
        <v>112.2</v>
      </c>
      <c r="AF60" s="27">
        <v>116.2</v>
      </c>
      <c r="AG60" s="21">
        <f t="shared" si="5"/>
        <v>228.4</v>
      </c>
      <c r="AH60" s="27">
        <v>118.8</v>
      </c>
      <c r="AI60" s="27">
        <v>113.5</v>
      </c>
      <c r="AJ60" s="21">
        <f t="shared" si="6"/>
        <v>232.3</v>
      </c>
      <c r="AK60" s="21">
        <v>120.7</v>
      </c>
    </row>
    <row r="61" spans="1:37">
      <c r="A61" s="21" t="s">
        <v>33</v>
      </c>
      <c r="B61" s="26">
        <v>2014</v>
      </c>
      <c r="C61" s="21" t="s">
        <v>41</v>
      </c>
      <c r="D61" s="21" t="str">
        <f t="shared" si="0"/>
        <v>No</v>
      </c>
      <c r="E61" s="27">
        <v>124.8</v>
      </c>
      <c r="F61" s="27">
        <v>127.3</v>
      </c>
      <c r="G61" s="27">
        <v>116.5</v>
      </c>
      <c r="H61" s="27">
        <v>122.2</v>
      </c>
      <c r="I61" s="27">
        <v>103.6</v>
      </c>
      <c r="J61" s="27">
        <v>132.69999999999999</v>
      </c>
      <c r="K61" s="27">
        <v>181.9</v>
      </c>
      <c r="L61" s="27">
        <v>115.2</v>
      </c>
      <c r="M61" s="27">
        <v>102.7</v>
      </c>
      <c r="N61" s="27">
        <v>122.1</v>
      </c>
      <c r="O61" s="27">
        <v>114.4</v>
      </c>
      <c r="P61" s="27">
        <v>124.7</v>
      </c>
      <c r="Q61" s="27">
        <v>128.9</v>
      </c>
      <c r="R61" s="21">
        <f t="shared" si="1"/>
        <v>1617</v>
      </c>
      <c r="S61" s="21">
        <v>118.6</v>
      </c>
      <c r="T61" s="21">
        <v>114.1</v>
      </c>
      <c r="U61" s="21">
        <v>117.9</v>
      </c>
      <c r="V61" s="21">
        <f t="shared" si="2"/>
        <v>350.6</v>
      </c>
      <c r="W61" s="22">
        <v>115.5</v>
      </c>
      <c r="X61" s="21">
        <v>111.8</v>
      </c>
      <c r="Y61" s="21">
        <v>115.3</v>
      </c>
      <c r="Z61" s="22">
        <f t="shared" si="3"/>
        <v>342.6</v>
      </c>
      <c r="AA61" s="21">
        <v>112.2</v>
      </c>
      <c r="AB61" s="21">
        <v>110.5</v>
      </c>
      <c r="AC61" s="21">
        <f t="shared" si="4"/>
        <v>222.7</v>
      </c>
      <c r="AD61" s="27">
        <v>112.5</v>
      </c>
      <c r="AE61" s="27">
        <v>112.9</v>
      </c>
      <c r="AF61" s="27">
        <v>119.2</v>
      </c>
      <c r="AG61" s="21">
        <f t="shared" si="5"/>
        <v>232.10000000000002</v>
      </c>
      <c r="AH61" s="27">
        <v>123</v>
      </c>
      <c r="AI61" s="27">
        <v>113.9</v>
      </c>
      <c r="AJ61" s="21">
        <f t="shared" si="6"/>
        <v>236.9</v>
      </c>
      <c r="AK61" s="21">
        <v>119.9</v>
      </c>
    </row>
    <row r="62" spans="1:37">
      <c r="A62" s="21" t="s">
        <v>34</v>
      </c>
      <c r="B62" s="26">
        <v>2014</v>
      </c>
      <c r="C62" s="21" t="s">
        <v>41</v>
      </c>
      <c r="D62" s="21" t="str">
        <f t="shared" si="0"/>
        <v>No</v>
      </c>
      <c r="E62" s="27">
        <v>122.7</v>
      </c>
      <c r="F62" s="27">
        <v>124.4</v>
      </c>
      <c r="G62" s="27">
        <v>117.3</v>
      </c>
      <c r="H62" s="27">
        <v>122</v>
      </c>
      <c r="I62" s="27">
        <v>108</v>
      </c>
      <c r="J62" s="27">
        <v>131.1</v>
      </c>
      <c r="K62" s="27">
        <v>168.2</v>
      </c>
      <c r="L62" s="27">
        <v>114.5</v>
      </c>
      <c r="M62" s="27">
        <v>104.3</v>
      </c>
      <c r="N62" s="27">
        <v>117.1</v>
      </c>
      <c r="O62" s="27">
        <v>115.2</v>
      </c>
      <c r="P62" s="27">
        <v>123.1</v>
      </c>
      <c r="Q62" s="27">
        <v>126.6</v>
      </c>
      <c r="R62" s="21">
        <f t="shared" si="1"/>
        <v>1594.4999999999998</v>
      </c>
      <c r="S62" s="21">
        <v>120</v>
      </c>
      <c r="T62" s="21">
        <v>116.8</v>
      </c>
      <c r="U62" s="21">
        <v>119.6</v>
      </c>
      <c r="V62" s="21">
        <f t="shared" si="2"/>
        <v>356.4</v>
      </c>
      <c r="W62" s="22">
        <v>115.5</v>
      </c>
      <c r="X62" s="21">
        <v>114</v>
      </c>
      <c r="Y62" s="21">
        <v>115.6</v>
      </c>
      <c r="Z62" s="22">
        <f t="shared" si="3"/>
        <v>345.1</v>
      </c>
      <c r="AA62" s="21">
        <v>113.3</v>
      </c>
      <c r="AB62" s="21">
        <v>109.9</v>
      </c>
      <c r="AC62" s="21">
        <f t="shared" si="4"/>
        <v>223.2</v>
      </c>
      <c r="AD62" s="27">
        <v>112.8</v>
      </c>
      <c r="AE62" s="27">
        <v>112.6</v>
      </c>
      <c r="AF62" s="27">
        <v>118</v>
      </c>
      <c r="AG62" s="21">
        <f t="shared" si="5"/>
        <v>230.6</v>
      </c>
      <c r="AH62" s="27">
        <v>119.9</v>
      </c>
      <c r="AI62" s="27">
        <v>113.7</v>
      </c>
      <c r="AJ62" s="21">
        <f t="shared" si="6"/>
        <v>233.60000000000002</v>
      </c>
      <c r="AK62" s="21">
        <v>120.3</v>
      </c>
    </row>
    <row r="63" spans="1:37">
      <c r="A63" s="21" t="s">
        <v>30</v>
      </c>
      <c r="B63" s="26">
        <v>2014</v>
      </c>
      <c r="C63" s="21" t="s">
        <v>42</v>
      </c>
      <c r="D63" s="21" t="str">
        <f t="shared" si="0"/>
        <v>No</v>
      </c>
      <c r="E63" s="27">
        <v>122.3</v>
      </c>
      <c r="F63" s="27">
        <v>122.4</v>
      </c>
      <c r="G63" s="27">
        <v>117.8</v>
      </c>
      <c r="H63" s="27">
        <v>122.7</v>
      </c>
      <c r="I63" s="27">
        <v>110.4</v>
      </c>
      <c r="J63" s="27">
        <v>129.80000000000001</v>
      </c>
      <c r="K63" s="27">
        <v>158.80000000000001</v>
      </c>
      <c r="L63" s="27">
        <v>115</v>
      </c>
      <c r="M63" s="27">
        <v>104.7</v>
      </c>
      <c r="N63" s="27">
        <v>114.9</v>
      </c>
      <c r="O63" s="27">
        <v>116.5</v>
      </c>
      <c r="P63" s="27">
        <v>122.6</v>
      </c>
      <c r="Q63" s="27">
        <v>125.3</v>
      </c>
      <c r="R63" s="21">
        <f t="shared" si="1"/>
        <v>1583.2</v>
      </c>
      <c r="S63" s="21">
        <v>121.7</v>
      </c>
      <c r="T63" s="21">
        <v>119.2</v>
      </c>
      <c r="U63" s="21">
        <v>121.3</v>
      </c>
      <c r="V63" s="21">
        <f t="shared" si="2"/>
        <v>362.2</v>
      </c>
      <c r="W63" s="22">
        <v>139.25</v>
      </c>
      <c r="X63" s="21">
        <v>115.8</v>
      </c>
      <c r="Y63" s="21">
        <v>116.7</v>
      </c>
      <c r="Z63" s="22">
        <f t="shared" si="3"/>
        <v>371.75</v>
      </c>
      <c r="AA63" s="21">
        <v>114.5</v>
      </c>
      <c r="AB63" s="21">
        <v>109.1</v>
      </c>
      <c r="AC63" s="21">
        <f t="shared" si="4"/>
        <v>223.6</v>
      </c>
      <c r="AD63" s="27">
        <v>112.8</v>
      </c>
      <c r="AE63" s="27">
        <v>112.6</v>
      </c>
      <c r="AF63" s="27">
        <v>116.6</v>
      </c>
      <c r="AG63" s="21">
        <f t="shared" si="5"/>
        <v>229.2</v>
      </c>
      <c r="AH63" s="27">
        <v>119.5</v>
      </c>
      <c r="AI63" s="27">
        <v>113.7</v>
      </c>
      <c r="AJ63" s="21">
        <f t="shared" si="6"/>
        <v>233.2</v>
      </c>
      <c r="AK63" s="21">
        <v>120.9</v>
      </c>
    </row>
    <row r="64" spans="1:37">
      <c r="A64" s="21" t="s">
        <v>33</v>
      </c>
      <c r="B64" s="26">
        <v>2014</v>
      </c>
      <c r="C64" s="21" t="s">
        <v>42</v>
      </c>
      <c r="D64" s="21" t="str">
        <f t="shared" si="0"/>
        <v>No</v>
      </c>
      <c r="E64" s="27">
        <v>124.2</v>
      </c>
      <c r="F64" s="27">
        <v>125.4</v>
      </c>
      <c r="G64" s="27">
        <v>116.4</v>
      </c>
      <c r="H64" s="27">
        <v>122.7</v>
      </c>
      <c r="I64" s="27">
        <v>103.5</v>
      </c>
      <c r="J64" s="27">
        <v>124.5</v>
      </c>
      <c r="K64" s="27">
        <v>168.6</v>
      </c>
      <c r="L64" s="27">
        <v>116.9</v>
      </c>
      <c r="M64" s="27">
        <v>101.9</v>
      </c>
      <c r="N64" s="27">
        <v>122.9</v>
      </c>
      <c r="O64" s="27">
        <v>114.8</v>
      </c>
      <c r="P64" s="27">
        <v>125.2</v>
      </c>
      <c r="Q64" s="27">
        <v>126.7</v>
      </c>
      <c r="R64" s="21">
        <f t="shared" si="1"/>
        <v>1593.7000000000003</v>
      </c>
      <c r="S64" s="21">
        <v>119.2</v>
      </c>
      <c r="T64" s="21">
        <v>114.5</v>
      </c>
      <c r="U64" s="21">
        <v>118.4</v>
      </c>
      <c r="V64" s="21">
        <f t="shared" si="2"/>
        <v>352.1</v>
      </c>
      <c r="W64" s="22">
        <v>116.1</v>
      </c>
      <c r="X64" s="21">
        <v>111.8</v>
      </c>
      <c r="Y64" s="21">
        <v>115.5</v>
      </c>
      <c r="Z64" s="22">
        <f t="shared" si="3"/>
        <v>343.4</v>
      </c>
      <c r="AA64" s="21">
        <v>112.3</v>
      </c>
      <c r="AB64" s="21">
        <v>110</v>
      </c>
      <c r="AC64" s="21">
        <f t="shared" si="4"/>
        <v>222.3</v>
      </c>
      <c r="AD64" s="27">
        <v>111.2</v>
      </c>
      <c r="AE64" s="27">
        <v>113.4</v>
      </c>
      <c r="AF64" s="27">
        <v>120</v>
      </c>
      <c r="AG64" s="21">
        <f t="shared" si="5"/>
        <v>233.4</v>
      </c>
      <c r="AH64" s="27">
        <v>124.3</v>
      </c>
      <c r="AI64" s="27">
        <v>113.6</v>
      </c>
      <c r="AJ64" s="21">
        <f t="shared" si="6"/>
        <v>237.89999999999998</v>
      </c>
      <c r="AK64" s="21">
        <v>119.2</v>
      </c>
    </row>
    <row r="65" spans="1:37">
      <c r="A65" s="21" t="s">
        <v>34</v>
      </c>
      <c r="B65" s="26">
        <v>2014</v>
      </c>
      <c r="C65" s="21" t="s">
        <v>42</v>
      </c>
      <c r="D65" s="21" t="str">
        <f t="shared" si="0"/>
        <v>No</v>
      </c>
      <c r="E65" s="27">
        <v>122.9</v>
      </c>
      <c r="F65" s="27">
        <v>123.5</v>
      </c>
      <c r="G65" s="27">
        <v>117.3</v>
      </c>
      <c r="H65" s="27">
        <v>122.7</v>
      </c>
      <c r="I65" s="27">
        <v>107.9</v>
      </c>
      <c r="J65" s="27">
        <v>127.3</v>
      </c>
      <c r="K65" s="27">
        <v>162.1</v>
      </c>
      <c r="L65" s="27">
        <v>115.6</v>
      </c>
      <c r="M65" s="27">
        <v>103.8</v>
      </c>
      <c r="N65" s="27">
        <v>117.6</v>
      </c>
      <c r="O65" s="27">
        <v>115.8</v>
      </c>
      <c r="P65" s="27">
        <v>123.8</v>
      </c>
      <c r="Q65" s="27">
        <v>125.8</v>
      </c>
      <c r="R65" s="21">
        <f t="shared" si="1"/>
        <v>1586.0999999999997</v>
      </c>
      <c r="S65" s="21">
        <v>120.7</v>
      </c>
      <c r="T65" s="21">
        <v>117.2</v>
      </c>
      <c r="U65" s="21">
        <v>120.1</v>
      </c>
      <c r="V65" s="21">
        <f t="shared" si="2"/>
        <v>358</v>
      </c>
      <c r="W65" s="22">
        <v>116.1</v>
      </c>
      <c r="X65" s="21">
        <v>114.3</v>
      </c>
      <c r="Y65" s="21">
        <v>116.1</v>
      </c>
      <c r="Z65" s="22">
        <f t="shared" si="3"/>
        <v>346.5</v>
      </c>
      <c r="AA65" s="21">
        <v>113.7</v>
      </c>
      <c r="AB65" s="21">
        <v>109.5</v>
      </c>
      <c r="AC65" s="21">
        <f t="shared" si="4"/>
        <v>223.2</v>
      </c>
      <c r="AD65" s="27">
        <v>112</v>
      </c>
      <c r="AE65" s="27">
        <v>113.1</v>
      </c>
      <c r="AF65" s="27">
        <v>118.6</v>
      </c>
      <c r="AG65" s="21">
        <f t="shared" si="5"/>
        <v>231.7</v>
      </c>
      <c r="AH65" s="27">
        <v>120.8</v>
      </c>
      <c r="AI65" s="27">
        <v>113.7</v>
      </c>
      <c r="AJ65" s="21">
        <f t="shared" si="6"/>
        <v>234.5</v>
      </c>
      <c r="AK65" s="21">
        <v>120.1</v>
      </c>
    </row>
    <row r="66" spans="1:37">
      <c r="A66" s="21" t="s">
        <v>30</v>
      </c>
      <c r="B66" s="26">
        <v>2014</v>
      </c>
      <c r="C66" s="21" t="s">
        <v>43</v>
      </c>
      <c r="D66" s="21" t="str">
        <f t="shared" si="0"/>
        <v>No</v>
      </c>
      <c r="E66" s="27">
        <v>122.6</v>
      </c>
      <c r="F66" s="27">
        <v>122.5</v>
      </c>
      <c r="G66" s="27">
        <v>118.3</v>
      </c>
      <c r="H66" s="27">
        <v>123.2</v>
      </c>
      <c r="I66" s="27">
        <v>110.5</v>
      </c>
      <c r="J66" s="27">
        <v>128.9</v>
      </c>
      <c r="K66" s="27">
        <v>155.30000000000001</v>
      </c>
      <c r="L66" s="27">
        <v>115.5</v>
      </c>
      <c r="M66" s="27">
        <v>104</v>
      </c>
      <c r="N66" s="27">
        <v>115.3</v>
      </c>
      <c r="O66" s="27">
        <v>116.8</v>
      </c>
      <c r="P66" s="27">
        <v>123.2</v>
      </c>
      <c r="Q66" s="27">
        <v>125.1</v>
      </c>
      <c r="R66" s="21">
        <f t="shared" si="1"/>
        <v>1581.1999999999998</v>
      </c>
      <c r="S66" s="21">
        <v>122.7</v>
      </c>
      <c r="T66" s="21">
        <v>120.3</v>
      </c>
      <c r="U66" s="21">
        <v>122.3</v>
      </c>
      <c r="V66" s="21">
        <f t="shared" si="2"/>
        <v>365.3</v>
      </c>
      <c r="W66" s="22">
        <v>139.25</v>
      </c>
      <c r="X66" s="21">
        <v>116.4</v>
      </c>
      <c r="Y66" s="21">
        <v>117.5</v>
      </c>
      <c r="Z66" s="22">
        <f t="shared" si="3"/>
        <v>373.15</v>
      </c>
      <c r="AA66" s="21">
        <v>115.3</v>
      </c>
      <c r="AB66" s="21">
        <v>109.3</v>
      </c>
      <c r="AC66" s="21">
        <f t="shared" si="4"/>
        <v>224.6</v>
      </c>
      <c r="AD66" s="27">
        <v>112.6</v>
      </c>
      <c r="AE66" s="27">
        <v>113</v>
      </c>
      <c r="AF66" s="27">
        <v>116.9</v>
      </c>
      <c r="AG66" s="21">
        <f t="shared" si="5"/>
        <v>229.9</v>
      </c>
      <c r="AH66" s="27">
        <v>120</v>
      </c>
      <c r="AI66" s="27">
        <v>114</v>
      </c>
      <c r="AJ66" s="21">
        <f t="shared" si="6"/>
        <v>234</v>
      </c>
      <c r="AK66" s="21">
        <v>121</v>
      </c>
    </row>
    <row r="67" spans="1:37">
      <c r="A67" s="21" t="s">
        <v>33</v>
      </c>
      <c r="B67" s="26">
        <v>2014</v>
      </c>
      <c r="C67" s="21" t="s">
        <v>43</v>
      </c>
      <c r="D67" s="21" t="str">
        <f t="shared" si="0"/>
        <v>No</v>
      </c>
      <c r="E67" s="27">
        <v>124.6</v>
      </c>
      <c r="F67" s="27">
        <v>126.1</v>
      </c>
      <c r="G67" s="27">
        <v>117.8</v>
      </c>
      <c r="H67" s="27">
        <v>123.1</v>
      </c>
      <c r="I67" s="27">
        <v>103.5</v>
      </c>
      <c r="J67" s="27">
        <v>123.5</v>
      </c>
      <c r="K67" s="27">
        <v>159.6</v>
      </c>
      <c r="L67" s="27">
        <v>117.4</v>
      </c>
      <c r="M67" s="27">
        <v>101.2</v>
      </c>
      <c r="N67" s="27">
        <v>123.8</v>
      </c>
      <c r="O67" s="27">
        <v>115.2</v>
      </c>
      <c r="P67" s="27">
        <v>125.9</v>
      </c>
      <c r="Q67" s="27">
        <v>125.8</v>
      </c>
      <c r="R67" s="21">
        <f t="shared" si="1"/>
        <v>1587.5</v>
      </c>
      <c r="S67" s="21">
        <v>119.6</v>
      </c>
      <c r="T67" s="21">
        <v>114.9</v>
      </c>
      <c r="U67" s="21">
        <v>118.9</v>
      </c>
      <c r="V67" s="21">
        <f t="shared" si="2"/>
        <v>353.4</v>
      </c>
      <c r="W67" s="22">
        <v>116.7</v>
      </c>
      <c r="X67" s="21">
        <v>112</v>
      </c>
      <c r="Y67" s="21">
        <v>115.8</v>
      </c>
      <c r="Z67" s="22">
        <f t="shared" si="3"/>
        <v>344.5</v>
      </c>
      <c r="AA67" s="21">
        <v>112.6</v>
      </c>
      <c r="AB67" s="21">
        <v>110.1</v>
      </c>
      <c r="AC67" s="21">
        <f t="shared" si="4"/>
        <v>222.7</v>
      </c>
      <c r="AD67" s="27">
        <v>111</v>
      </c>
      <c r="AE67" s="27">
        <v>113.6</v>
      </c>
      <c r="AF67" s="27">
        <v>120.2</v>
      </c>
      <c r="AG67" s="21">
        <f t="shared" si="5"/>
        <v>233.8</v>
      </c>
      <c r="AH67" s="27">
        <v>124.3</v>
      </c>
      <c r="AI67" s="27">
        <v>113.7</v>
      </c>
      <c r="AJ67" s="21">
        <f t="shared" si="6"/>
        <v>238</v>
      </c>
      <c r="AK67" s="21">
        <v>119.1</v>
      </c>
    </row>
    <row r="68" spans="1:37">
      <c r="A68" s="21" t="s">
        <v>34</v>
      </c>
      <c r="B68" s="26">
        <v>2014</v>
      </c>
      <c r="C68" s="21" t="s">
        <v>43</v>
      </c>
      <c r="D68" s="21" t="str">
        <f t="shared" ref="D68:D131" si="7">IF(H68&gt;120,IF(M68&gt;120,"Yes","No"),"No")</f>
        <v>No</v>
      </c>
      <c r="E68" s="27">
        <v>123.2</v>
      </c>
      <c r="F68" s="27">
        <v>123.8</v>
      </c>
      <c r="G68" s="27">
        <v>118.1</v>
      </c>
      <c r="H68" s="27">
        <v>123.2</v>
      </c>
      <c r="I68" s="27">
        <v>107.9</v>
      </c>
      <c r="J68" s="27">
        <v>126.4</v>
      </c>
      <c r="K68" s="27">
        <v>156.80000000000001</v>
      </c>
      <c r="L68" s="27">
        <v>116.1</v>
      </c>
      <c r="M68" s="27">
        <v>103.1</v>
      </c>
      <c r="N68" s="27">
        <v>118.1</v>
      </c>
      <c r="O68" s="27">
        <v>116.1</v>
      </c>
      <c r="P68" s="27">
        <v>124.5</v>
      </c>
      <c r="Q68" s="27">
        <v>125.4</v>
      </c>
      <c r="R68" s="21">
        <f t="shared" ref="R68:R131" si="8">SUM(E68:Q68)</f>
        <v>1582.7</v>
      </c>
      <c r="S68" s="21">
        <v>121.5</v>
      </c>
      <c r="T68" s="21">
        <v>118.1</v>
      </c>
      <c r="U68" s="21">
        <v>121</v>
      </c>
      <c r="V68" s="21">
        <f t="shared" ref="V68:V131" si="9">SUM(S68:U68)</f>
        <v>360.6</v>
      </c>
      <c r="W68" s="22">
        <v>116.7</v>
      </c>
      <c r="X68" s="21">
        <v>114.7</v>
      </c>
      <c r="Y68" s="21">
        <v>116.7</v>
      </c>
      <c r="Z68" s="22">
        <f t="shared" ref="Z68:Z131" si="10">SUM(W68:Y68)</f>
        <v>348.1</v>
      </c>
      <c r="AA68" s="21">
        <v>114.3</v>
      </c>
      <c r="AB68" s="21">
        <v>109.6</v>
      </c>
      <c r="AC68" s="21">
        <f t="shared" ref="AC68:AC131" si="11">SUM(AA68:AB68)</f>
        <v>223.89999999999998</v>
      </c>
      <c r="AD68" s="27">
        <v>111.8</v>
      </c>
      <c r="AE68" s="27">
        <v>113.3</v>
      </c>
      <c r="AF68" s="27">
        <v>118.8</v>
      </c>
      <c r="AG68" s="21">
        <f t="shared" ref="AG68:AG131" si="12">SUM(AE68:AF68)</f>
        <v>232.1</v>
      </c>
      <c r="AH68" s="27">
        <v>121.1</v>
      </c>
      <c r="AI68" s="27">
        <v>113.9</v>
      </c>
      <c r="AJ68" s="21">
        <f t="shared" ref="AJ68:AJ131" si="13">SUM(AH68:AI68)</f>
        <v>235</v>
      </c>
      <c r="AK68" s="21">
        <v>120.1</v>
      </c>
    </row>
    <row r="69" spans="1:37">
      <c r="A69" s="21" t="s">
        <v>30</v>
      </c>
      <c r="B69" s="26">
        <v>2014</v>
      </c>
      <c r="C69" s="21" t="s">
        <v>45</v>
      </c>
      <c r="D69" s="21" t="str">
        <f t="shared" si="7"/>
        <v>No</v>
      </c>
      <c r="E69" s="27">
        <v>122.7</v>
      </c>
      <c r="F69" s="27">
        <v>122.6</v>
      </c>
      <c r="G69" s="27">
        <v>119.9</v>
      </c>
      <c r="H69" s="27">
        <v>124</v>
      </c>
      <c r="I69" s="27">
        <v>110.5</v>
      </c>
      <c r="J69" s="27">
        <v>128.80000000000001</v>
      </c>
      <c r="K69" s="27">
        <v>152</v>
      </c>
      <c r="L69" s="27">
        <v>116.2</v>
      </c>
      <c r="M69" s="27">
        <v>103.3</v>
      </c>
      <c r="N69" s="27">
        <v>115.8</v>
      </c>
      <c r="O69" s="27">
        <v>116.8</v>
      </c>
      <c r="P69" s="27">
        <v>124.5</v>
      </c>
      <c r="Q69" s="27">
        <v>124.9</v>
      </c>
      <c r="R69" s="21">
        <f t="shared" si="8"/>
        <v>1582</v>
      </c>
      <c r="S69" s="21">
        <v>123.3</v>
      </c>
      <c r="T69" s="21">
        <v>120.5</v>
      </c>
      <c r="U69" s="21">
        <v>122.9</v>
      </c>
      <c r="V69" s="21">
        <f t="shared" si="9"/>
        <v>366.70000000000005</v>
      </c>
      <c r="W69" s="22">
        <v>139.25</v>
      </c>
      <c r="X69" s="21">
        <v>117.3</v>
      </c>
      <c r="Y69" s="21">
        <v>118.1</v>
      </c>
      <c r="Z69" s="22">
        <f t="shared" si="10"/>
        <v>374.65</v>
      </c>
      <c r="AA69" s="21">
        <v>115.9</v>
      </c>
      <c r="AB69" s="21">
        <v>108.8</v>
      </c>
      <c r="AC69" s="21">
        <f t="shared" si="11"/>
        <v>224.7</v>
      </c>
      <c r="AD69" s="27">
        <v>112</v>
      </c>
      <c r="AE69" s="27">
        <v>113.3</v>
      </c>
      <c r="AF69" s="27">
        <v>117.2</v>
      </c>
      <c r="AG69" s="21">
        <f t="shared" si="12"/>
        <v>230.5</v>
      </c>
      <c r="AH69" s="27">
        <v>120.8</v>
      </c>
      <c r="AI69" s="27">
        <v>114.1</v>
      </c>
      <c r="AJ69" s="21">
        <f t="shared" si="13"/>
        <v>234.89999999999998</v>
      </c>
      <c r="AK69" s="21">
        <v>121.1</v>
      </c>
    </row>
    <row r="70" spans="1:37">
      <c r="A70" s="21" t="s">
        <v>33</v>
      </c>
      <c r="B70" s="26">
        <v>2014</v>
      </c>
      <c r="C70" s="21" t="s">
        <v>45</v>
      </c>
      <c r="D70" s="21" t="str">
        <f t="shared" si="7"/>
        <v>No</v>
      </c>
      <c r="E70" s="27">
        <v>124.5</v>
      </c>
      <c r="F70" s="27">
        <v>125.6</v>
      </c>
      <c r="G70" s="27">
        <v>122.7</v>
      </c>
      <c r="H70" s="27">
        <v>124.6</v>
      </c>
      <c r="I70" s="27">
        <v>103.2</v>
      </c>
      <c r="J70" s="27">
        <v>122.2</v>
      </c>
      <c r="K70" s="27">
        <v>153.19999999999999</v>
      </c>
      <c r="L70" s="27">
        <v>119.3</v>
      </c>
      <c r="M70" s="27">
        <v>99.8</v>
      </c>
      <c r="N70" s="27">
        <v>124.6</v>
      </c>
      <c r="O70" s="27">
        <v>115.8</v>
      </c>
      <c r="P70" s="27">
        <v>126.9</v>
      </c>
      <c r="Q70" s="27">
        <v>125.4</v>
      </c>
      <c r="R70" s="21">
        <f t="shared" si="8"/>
        <v>1587.8</v>
      </c>
      <c r="S70" s="21">
        <v>120.3</v>
      </c>
      <c r="T70" s="21">
        <v>115.4</v>
      </c>
      <c r="U70" s="21">
        <v>119.5</v>
      </c>
      <c r="V70" s="21">
        <f t="shared" si="9"/>
        <v>355.2</v>
      </c>
      <c r="W70" s="22">
        <v>117.1</v>
      </c>
      <c r="X70" s="21">
        <v>112.6</v>
      </c>
      <c r="Y70" s="21">
        <v>116.4</v>
      </c>
      <c r="Z70" s="22">
        <f t="shared" si="10"/>
        <v>346.1</v>
      </c>
      <c r="AA70" s="21">
        <v>113</v>
      </c>
      <c r="AB70" s="21">
        <v>109.6</v>
      </c>
      <c r="AC70" s="21">
        <f t="shared" si="11"/>
        <v>222.6</v>
      </c>
      <c r="AD70" s="27">
        <v>109.7</v>
      </c>
      <c r="AE70" s="27">
        <v>114</v>
      </c>
      <c r="AF70" s="27">
        <v>120.3</v>
      </c>
      <c r="AG70" s="21">
        <f t="shared" si="12"/>
        <v>234.3</v>
      </c>
      <c r="AH70" s="27">
        <v>125.8</v>
      </c>
      <c r="AI70" s="27">
        <v>113.4</v>
      </c>
      <c r="AJ70" s="21">
        <f t="shared" si="13"/>
        <v>239.2</v>
      </c>
      <c r="AK70" s="21">
        <v>119</v>
      </c>
    </row>
    <row r="71" spans="1:37">
      <c r="A71" s="21" t="s">
        <v>34</v>
      </c>
      <c r="B71" s="26">
        <v>2014</v>
      </c>
      <c r="C71" s="21" t="s">
        <v>45</v>
      </c>
      <c r="D71" s="21" t="str">
        <f t="shared" si="7"/>
        <v>No</v>
      </c>
      <c r="E71" s="27">
        <v>123.3</v>
      </c>
      <c r="F71" s="27">
        <v>123.7</v>
      </c>
      <c r="G71" s="27">
        <v>121</v>
      </c>
      <c r="H71" s="27">
        <v>124.2</v>
      </c>
      <c r="I71" s="27">
        <v>107.8</v>
      </c>
      <c r="J71" s="27">
        <v>125.7</v>
      </c>
      <c r="K71" s="27">
        <v>152.4</v>
      </c>
      <c r="L71" s="27">
        <v>117.2</v>
      </c>
      <c r="M71" s="27">
        <v>102.1</v>
      </c>
      <c r="N71" s="27">
        <v>118.7</v>
      </c>
      <c r="O71" s="27">
        <v>116.4</v>
      </c>
      <c r="P71" s="27">
        <v>125.6</v>
      </c>
      <c r="Q71" s="27">
        <v>125.1</v>
      </c>
      <c r="R71" s="21">
        <f t="shared" si="8"/>
        <v>1583.2</v>
      </c>
      <c r="S71" s="21">
        <v>122.1</v>
      </c>
      <c r="T71" s="21">
        <v>118.4</v>
      </c>
      <c r="U71" s="21">
        <v>121.6</v>
      </c>
      <c r="V71" s="21">
        <f t="shared" si="9"/>
        <v>362.1</v>
      </c>
      <c r="W71" s="22">
        <v>117.1</v>
      </c>
      <c r="X71" s="21">
        <v>115.5</v>
      </c>
      <c r="Y71" s="21">
        <v>117.3</v>
      </c>
      <c r="Z71" s="22">
        <f t="shared" si="10"/>
        <v>349.9</v>
      </c>
      <c r="AA71" s="21">
        <v>114.8</v>
      </c>
      <c r="AB71" s="21">
        <v>109.1</v>
      </c>
      <c r="AC71" s="21">
        <f t="shared" si="11"/>
        <v>223.89999999999998</v>
      </c>
      <c r="AD71" s="27">
        <v>110.8</v>
      </c>
      <c r="AE71" s="27">
        <v>113.7</v>
      </c>
      <c r="AF71" s="27">
        <v>119</v>
      </c>
      <c r="AG71" s="21">
        <f t="shared" si="12"/>
        <v>232.7</v>
      </c>
      <c r="AH71" s="27">
        <v>122.1</v>
      </c>
      <c r="AI71" s="27">
        <v>113.8</v>
      </c>
      <c r="AJ71" s="21">
        <f t="shared" si="13"/>
        <v>235.89999999999998</v>
      </c>
      <c r="AK71" s="21">
        <v>120.1</v>
      </c>
    </row>
    <row r="72" spans="1:37">
      <c r="A72" s="21" t="s">
        <v>30</v>
      </c>
      <c r="B72" s="26">
        <v>2014</v>
      </c>
      <c r="C72" s="21" t="s">
        <v>46</v>
      </c>
      <c r="D72" s="21" t="str">
        <f t="shared" si="7"/>
        <v>No</v>
      </c>
      <c r="E72" s="27">
        <v>122.4</v>
      </c>
      <c r="F72" s="27">
        <v>122.4</v>
      </c>
      <c r="G72" s="27">
        <v>121.8</v>
      </c>
      <c r="H72" s="27">
        <v>124.2</v>
      </c>
      <c r="I72" s="27">
        <v>110.2</v>
      </c>
      <c r="J72" s="27">
        <v>128.6</v>
      </c>
      <c r="K72" s="27">
        <v>140.30000000000001</v>
      </c>
      <c r="L72" s="27">
        <v>116.3</v>
      </c>
      <c r="M72" s="27">
        <v>102</v>
      </c>
      <c r="N72" s="27">
        <v>116</v>
      </c>
      <c r="O72" s="27">
        <v>117.3</v>
      </c>
      <c r="P72" s="27">
        <v>124.8</v>
      </c>
      <c r="Q72" s="27">
        <v>123.3</v>
      </c>
      <c r="R72" s="21">
        <f t="shared" si="8"/>
        <v>1569.6</v>
      </c>
      <c r="S72" s="21">
        <v>123.8</v>
      </c>
      <c r="T72" s="21">
        <v>120.6</v>
      </c>
      <c r="U72" s="21">
        <v>123.3</v>
      </c>
      <c r="V72" s="21">
        <f t="shared" si="9"/>
        <v>367.7</v>
      </c>
      <c r="W72" s="22">
        <v>139.25</v>
      </c>
      <c r="X72" s="21">
        <v>117.4</v>
      </c>
      <c r="Y72" s="21">
        <v>118.2</v>
      </c>
      <c r="Z72" s="22">
        <f t="shared" si="10"/>
        <v>374.84999999999997</v>
      </c>
      <c r="AA72" s="21">
        <v>116.2</v>
      </c>
      <c r="AB72" s="21">
        <v>109.4</v>
      </c>
      <c r="AC72" s="21">
        <f t="shared" si="11"/>
        <v>225.60000000000002</v>
      </c>
      <c r="AD72" s="27">
        <v>111.5</v>
      </c>
      <c r="AE72" s="27">
        <v>113.3</v>
      </c>
      <c r="AF72" s="27">
        <v>117.7</v>
      </c>
      <c r="AG72" s="21">
        <f t="shared" si="12"/>
        <v>231</v>
      </c>
      <c r="AH72" s="27">
        <v>121.7</v>
      </c>
      <c r="AI72" s="27">
        <v>114.2</v>
      </c>
      <c r="AJ72" s="21">
        <f t="shared" si="13"/>
        <v>235.9</v>
      </c>
      <c r="AK72" s="21">
        <v>120.3</v>
      </c>
    </row>
    <row r="73" spans="1:37">
      <c r="A73" s="21" t="s">
        <v>33</v>
      </c>
      <c r="B73" s="26">
        <v>2014</v>
      </c>
      <c r="C73" s="21" t="s">
        <v>46</v>
      </c>
      <c r="D73" s="21" t="str">
        <f t="shared" si="7"/>
        <v>No</v>
      </c>
      <c r="E73" s="27">
        <v>124</v>
      </c>
      <c r="F73" s="27">
        <v>124.7</v>
      </c>
      <c r="G73" s="27">
        <v>126.3</v>
      </c>
      <c r="H73" s="27">
        <v>124.9</v>
      </c>
      <c r="I73" s="27">
        <v>103</v>
      </c>
      <c r="J73" s="27">
        <v>122.3</v>
      </c>
      <c r="K73" s="27">
        <v>141</v>
      </c>
      <c r="L73" s="27">
        <v>120.1</v>
      </c>
      <c r="M73" s="27">
        <v>97.8</v>
      </c>
      <c r="N73" s="27">
        <v>125.4</v>
      </c>
      <c r="O73" s="27">
        <v>116.1</v>
      </c>
      <c r="P73" s="27">
        <v>127.6</v>
      </c>
      <c r="Q73" s="27">
        <v>124</v>
      </c>
      <c r="R73" s="21">
        <f t="shared" si="8"/>
        <v>1577.1999999999998</v>
      </c>
      <c r="S73" s="21">
        <v>120.7</v>
      </c>
      <c r="T73" s="21">
        <v>115.8</v>
      </c>
      <c r="U73" s="21">
        <v>120</v>
      </c>
      <c r="V73" s="21">
        <f t="shared" si="9"/>
        <v>356.5</v>
      </c>
      <c r="W73" s="22">
        <v>116.5</v>
      </c>
      <c r="X73" s="21">
        <v>113</v>
      </c>
      <c r="Y73" s="21">
        <v>116.8</v>
      </c>
      <c r="Z73" s="22">
        <f t="shared" si="10"/>
        <v>346.3</v>
      </c>
      <c r="AA73" s="21">
        <v>113.2</v>
      </c>
      <c r="AB73" s="21">
        <v>110.4</v>
      </c>
      <c r="AC73" s="21">
        <f t="shared" si="11"/>
        <v>223.60000000000002</v>
      </c>
      <c r="AD73" s="27">
        <v>108.8</v>
      </c>
      <c r="AE73" s="27">
        <v>114.3</v>
      </c>
      <c r="AF73" s="27">
        <v>120.7</v>
      </c>
      <c r="AG73" s="21">
        <f t="shared" si="12"/>
        <v>235</v>
      </c>
      <c r="AH73" s="27">
        <v>126.4</v>
      </c>
      <c r="AI73" s="27">
        <v>113.4</v>
      </c>
      <c r="AJ73" s="21">
        <f t="shared" si="13"/>
        <v>239.8</v>
      </c>
      <c r="AK73" s="21">
        <v>118.4</v>
      </c>
    </row>
    <row r="74" spans="1:37">
      <c r="A74" s="21" t="s">
        <v>34</v>
      </c>
      <c r="B74" s="26">
        <v>2014</v>
      </c>
      <c r="C74" s="21" t="s">
        <v>46</v>
      </c>
      <c r="D74" s="21" t="str">
        <f t="shared" si="7"/>
        <v>No</v>
      </c>
      <c r="E74" s="27">
        <v>122.9</v>
      </c>
      <c r="F74" s="27">
        <v>123.2</v>
      </c>
      <c r="G74" s="27">
        <v>123.5</v>
      </c>
      <c r="H74" s="27">
        <v>124.5</v>
      </c>
      <c r="I74" s="27">
        <v>107.6</v>
      </c>
      <c r="J74" s="27">
        <v>125.7</v>
      </c>
      <c r="K74" s="27">
        <v>140.5</v>
      </c>
      <c r="L74" s="27">
        <v>117.6</v>
      </c>
      <c r="M74" s="27">
        <v>100.6</v>
      </c>
      <c r="N74" s="27">
        <v>119.1</v>
      </c>
      <c r="O74" s="27">
        <v>116.8</v>
      </c>
      <c r="P74" s="27">
        <v>126.1</v>
      </c>
      <c r="Q74" s="27">
        <v>123.6</v>
      </c>
      <c r="R74" s="21">
        <f t="shared" si="8"/>
        <v>1571.6999999999998</v>
      </c>
      <c r="S74" s="21">
        <v>122.6</v>
      </c>
      <c r="T74" s="21">
        <v>118.6</v>
      </c>
      <c r="U74" s="21">
        <v>122</v>
      </c>
      <c r="V74" s="21">
        <f t="shared" si="9"/>
        <v>363.2</v>
      </c>
      <c r="W74" s="22">
        <v>116.5</v>
      </c>
      <c r="X74" s="21">
        <v>115.7</v>
      </c>
      <c r="Y74" s="21">
        <v>117.5</v>
      </c>
      <c r="Z74" s="22">
        <f t="shared" si="10"/>
        <v>349.7</v>
      </c>
      <c r="AA74" s="21">
        <v>115.1</v>
      </c>
      <c r="AB74" s="21">
        <v>109.8</v>
      </c>
      <c r="AC74" s="21">
        <f t="shared" si="11"/>
        <v>224.89999999999998</v>
      </c>
      <c r="AD74" s="27">
        <v>110.1</v>
      </c>
      <c r="AE74" s="27">
        <v>113.9</v>
      </c>
      <c r="AF74" s="27">
        <v>119.5</v>
      </c>
      <c r="AG74" s="21">
        <f t="shared" si="12"/>
        <v>233.4</v>
      </c>
      <c r="AH74" s="27">
        <v>123</v>
      </c>
      <c r="AI74" s="27">
        <v>113.8</v>
      </c>
      <c r="AJ74" s="21">
        <f t="shared" si="13"/>
        <v>236.8</v>
      </c>
      <c r="AK74" s="21">
        <v>119.4</v>
      </c>
    </row>
    <row r="75" spans="1:37">
      <c r="A75" s="21" t="s">
        <v>30</v>
      </c>
      <c r="B75" s="26">
        <v>2015</v>
      </c>
      <c r="C75" s="21" t="s">
        <v>31</v>
      </c>
      <c r="D75" s="21" t="str">
        <f t="shared" si="7"/>
        <v>No</v>
      </c>
      <c r="E75" s="27">
        <v>123.1</v>
      </c>
      <c r="F75" s="27">
        <v>123.1</v>
      </c>
      <c r="G75" s="27">
        <v>122.1</v>
      </c>
      <c r="H75" s="27">
        <v>124.9</v>
      </c>
      <c r="I75" s="27">
        <v>111</v>
      </c>
      <c r="J75" s="27">
        <v>130.4</v>
      </c>
      <c r="K75" s="27">
        <v>132.30000000000001</v>
      </c>
      <c r="L75" s="27">
        <v>117.2</v>
      </c>
      <c r="M75" s="27">
        <v>100.5</v>
      </c>
      <c r="N75" s="27">
        <v>117.2</v>
      </c>
      <c r="O75" s="27">
        <v>117.9</v>
      </c>
      <c r="P75" s="27">
        <v>125.6</v>
      </c>
      <c r="Q75" s="27">
        <v>122.8</v>
      </c>
      <c r="R75" s="21">
        <f t="shared" si="8"/>
        <v>1568.1</v>
      </c>
      <c r="S75" s="21">
        <v>124.4</v>
      </c>
      <c r="T75" s="21">
        <v>121.6</v>
      </c>
      <c r="U75" s="21">
        <v>124</v>
      </c>
      <c r="V75" s="21">
        <f t="shared" si="9"/>
        <v>370</v>
      </c>
      <c r="W75" s="22">
        <v>139.25</v>
      </c>
      <c r="X75" s="21">
        <v>118.4</v>
      </c>
      <c r="Y75" s="21">
        <v>118.9</v>
      </c>
      <c r="Z75" s="22">
        <f t="shared" si="10"/>
        <v>376.54999999999995</v>
      </c>
      <c r="AA75" s="21">
        <v>116.6</v>
      </c>
      <c r="AB75" s="21">
        <v>110.2</v>
      </c>
      <c r="AC75" s="21">
        <f t="shared" si="11"/>
        <v>226.8</v>
      </c>
      <c r="AD75" s="27">
        <v>111</v>
      </c>
      <c r="AE75" s="27">
        <v>114</v>
      </c>
      <c r="AF75" s="27">
        <v>118.2</v>
      </c>
      <c r="AG75" s="21">
        <f t="shared" si="12"/>
        <v>232.2</v>
      </c>
      <c r="AH75" s="27">
        <v>122.7</v>
      </c>
      <c r="AI75" s="27">
        <v>114.5</v>
      </c>
      <c r="AJ75" s="21">
        <f t="shared" si="13"/>
        <v>237.2</v>
      </c>
      <c r="AK75" s="21">
        <v>120.3</v>
      </c>
    </row>
    <row r="76" spans="1:37">
      <c r="A76" s="21" t="s">
        <v>33</v>
      </c>
      <c r="B76" s="26">
        <v>2015</v>
      </c>
      <c r="C76" s="21" t="s">
        <v>31</v>
      </c>
      <c r="D76" s="21" t="str">
        <f t="shared" si="7"/>
        <v>No</v>
      </c>
      <c r="E76" s="27">
        <v>124</v>
      </c>
      <c r="F76" s="27">
        <v>125.5</v>
      </c>
      <c r="G76" s="27">
        <v>126.6</v>
      </c>
      <c r="H76" s="27">
        <v>125.2</v>
      </c>
      <c r="I76" s="27">
        <v>104.3</v>
      </c>
      <c r="J76" s="27">
        <v>121.3</v>
      </c>
      <c r="K76" s="27">
        <v>134.4</v>
      </c>
      <c r="L76" s="27">
        <v>122.9</v>
      </c>
      <c r="M76" s="27">
        <v>96.1</v>
      </c>
      <c r="N76" s="27">
        <v>126.6</v>
      </c>
      <c r="O76" s="27">
        <v>116.5</v>
      </c>
      <c r="P76" s="27">
        <v>128</v>
      </c>
      <c r="Q76" s="27">
        <v>123.5</v>
      </c>
      <c r="R76" s="21">
        <f t="shared" si="8"/>
        <v>1574.8999999999999</v>
      </c>
      <c r="S76" s="21">
        <v>121</v>
      </c>
      <c r="T76" s="21">
        <v>116.1</v>
      </c>
      <c r="U76" s="21">
        <v>120.2</v>
      </c>
      <c r="V76" s="21">
        <f t="shared" si="9"/>
        <v>357.3</v>
      </c>
      <c r="W76" s="22">
        <v>117.3</v>
      </c>
      <c r="X76" s="21">
        <v>113.4</v>
      </c>
      <c r="Y76" s="21">
        <v>117.2</v>
      </c>
      <c r="Z76" s="22">
        <f t="shared" si="10"/>
        <v>347.9</v>
      </c>
      <c r="AA76" s="21">
        <v>113.7</v>
      </c>
      <c r="AB76" s="21">
        <v>111.4</v>
      </c>
      <c r="AC76" s="21">
        <f t="shared" si="11"/>
        <v>225.10000000000002</v>
      </c>
      <c r="AD76" s="27">
        <v>107.9</v>
      </c>
      <c r="AE76" s="27">
        <v>114.6</v>
      </c>
      <c r="AF76" s="27">
        <v>120.8</v>
      </c>
      <c r="AG76" s="21">
        <f t="shared" si="12"/>
        <v>235.39999999999998</v>
      </c>
      <c r="AH76" s="27">
        <v>127.4</v>
      </c>
      <c r="AI76" s="27">
        <v>113.4</v>
      </c>
      <c r="AJ76" s="21">
        <f t="shared" si="13"/>
        <v>240.8</v>
      </c>
      <c r="AK76" s="21">
        <v>118.5</v>
      </c>
    </row>
    <row r="77" spans="1:37">
      <c r="A77" s="21" t="s">
        <v>34</v>
      </c>
      <c r="B77" s="26">
        <v>2015</v>
      </c>
      <c r="C77" s="21" t="s">
        <v>31</v>
      </c>
      <c r="D77" s="21" t="str">
        <f t="shared" si="7"/>
        <v>No</v>
      </c>
      <c r="E77" s="27">
        <v>123.4</v>
      </c>
      <c r="F77" s="27">
        <v>123.9</v>
      </c>
      <c r="G77" s="27">
        <v>123.8</v>
      </c>
      <c r="H77" s="27">
        <v>125</v>
      </c>
      <c r="I77" s="27">
        <v>108.5</v>
      </c>
      <c r="J77" s="27">
        <v>126.2</v>
      </c>
      <c r="K77" s="27">
        <v>133</v>
      </c>
      <c r="L77" s="27">
        <v>119.1</v>
      </c>
      <c r="M77" s="27">
        <v>99</v>
      </c>
      <c r="N77" s="27">
        <v>120.3</v>
      </c>
      <c r="O77" s="27">
        <v>117.3</v>
      </c>
      <c r="P77" s="27">
        <v>126.7</v>
      </c>
      <c r="Q77" s="27">
        <v>123.1</v>
      </c>
      <c r="R77" s="21">
        <f t="shared" si="8"/>
        <v>1569.3</v>
      </c>
      <c r="S77" s="21">
        <v>123.1</v>
      </c>
      <c r="T77" s="21">
        <v>119.3</v>
      </c>
      <c r="U77" s="21">
        <v>122.5</v>
      </c>
      <c r="V77" s="21">
        <f t="shared" si="9"/>
        <v>364.9</v>
      </c>
      <c r="W77" s="22">
        <v>117.3</v>
      </c>
      <c r="X77" s="21">
        <v>116.5</v>
      </c>
      <c r="Y77" s="21">
        <v>118.1</v>
      </c>
      <c r="Z77" s="22">
        <f t="shared" si="10"/>
        <v>351.9</v>
      </c>
      <c r="AA77" s="21">
        <v>115.5</v>
      </c>
      <c r="AB77" s="21">
        <v>110.7</v>
      </c>
      <c r="AC77" s="21">
        <f t="shared" si="11"/>
        <v>226.2</v>
      </c>
      <c r="AD77" s="27">
        <v>109.4</v>
      </c>
      <c r="AE77" s="27">
        <v>114.3</v>
      </c>
      <c r="AF77" s="27">
        <v>119.7</v>
      </c>
      <c r="AG77" s="21">
        <f t="shared" si="12"/>
        <v>234</v>
      </c>
      <c r="AH77" s="27">
        <v>124</v>
      </c>
      <c r="AI77" s="27">
        <v>114</v>
      </c>
      <c r="AJ77" s="21">
        <f t="shared" si="13"/>
        <v>238</v>
      </c>
      <c r="AK77" s="21">
        <v>119.5</v>
      </c>
    </row>
    <row r="78" spans="1:37">
      <c r="A78" s="21" t="s">
        <v>30</v>
      </c>
      <c r="B78" s="26">
        <v>2015</v>
      </c>
      <c r="C78" s="21" t="s">
        <v>35</v>
      </c>
      <c r="D78" s="21" t="str">
        <f t="shared" si="7"/>
        <v>No</v>
      </c>
      <c r="E78" s="27">
        <v>123.4</v>
      </c>
      <c r="F78" s="27">
        <v>124.4</v>
      </c>
      <c r="G78" s="27">
        <v>122.1</v>
      </c>
      <c r="H78" s="27">
        <v>125.8</v>
      </c>
      <c r="I78" s="27">
        <v>111.5</v>
      </c>
      <c r="J78" s="27">
        <v>129.4</v>
      </c>
      <c r="K78" s="27">
        <v>128.19999999999999</v>
      </c>
      <c r="L78" s="27">
        <v>118.8</v>
      </c>
      <c r="M78" s="27">
        <v>100</v>
      </c>
      <c r="N78" s="27">
        <v>118.6</v>
      </c>
      <c r="O78" s="27">
        <v>118.8</v>
      </c>
      <c r="P78" s="27">
        <v>126.8</v>
      </c>
      <c r="Q78" s="27">
        <v>122.8</v>
      </c>
      <c r="R78" s="21">
        <f t="shared" si="8"/>
        <v>1570.5999999999997</v>
      </c>
      <c r="S78" s="21">
        <v>125.4</v>
      </c>
      <c r="T78" s="21">
        <v>122.7</v>
      </c>
      <c r="U78" s="21">
        <v>125</v>
      </c>
      <c r="V78" s="21">
        <f t="shared" si="9"/>
        <v>373.1</v>
      </c>
      <c r="W78" s="22">
        <v>139.25</v>
      </c>
      <c r="X78" s="21">
        <v>120</v>
      </c>
      <c r="Y78" s="21">
        <v>119.6</v>
      </c>
      <c r="Z78" s="22">
        <f t="shared" si="10"/>
        <v>378.85</v>
      </c>
      <c r="AA78" s="21">
        <v>117.7</v>
      </c>
      <c r="AB78" s="21">
        <v>110.8</v>
      </c>
      <c r="AC78" s="21">
        <f t="shared" si="11"/>
        <v>228.5</v>
      </c>
      <c r="AD78" s="27">
        <v>110.9</v>
      </c>
      <c r="AE78" s="27">
        <v>114.8</v>
      </c>
      <c r="AF78" s="27">
        <v>118.7</v>
      </c>
      <c r="AG78" s="21">
        <f t="shared" si="12"/>
        <v>233.5</v>
      </c>
      <c r="AH78" s="27">
        <v>124.2</v>
      </c>
      <c r="AI78" s="27">
        <v>115</v>
      </c>
      <c r="AJ78" s="21">
        <f t="shared" si="13"/>
        <v>239.2</v>
      </c>
      <c r="AK78" s="21">
        <v>120.6</v>
      </c>
    </row>
    <row r="79" spans="1:37">
      <c r="A79" s="21" t="s">
        <v>33</v>
      </c>
      <c r="B79" s="26">
        <v>2015</v>
      </c>
      <c r="C79" s="21" t="s">
        <v>35</v>
      </c>
      <c r="D79" s="21" t="str">
        <f t="shared" si="7"/>
        <v>No</v>
      </c>
      <c r="E79" s="27">
        <v>124.3</v>
      </c>
      <c r="F79" s="27">
        <v>126.5</v>
      </c>
      <c r="G79" s="27">
        <v>119.5</v>
      </c>
      <c r="H79" s="27">
        <v>125.6</v>
      </c>
      <c r="I79" s="27">
        <v>104.9</v>
      </c>
      <c r="J79" s="27">
        <v>121.6</v>
      </c>
      <c r="K79" s="27">
        <v>131.80000000000001</v>
      </c>
      <c r="L79" s="27">
        <v>125.1</v>
      </c>
      <c r="M79" s="27">
        <v>95</v>
      </c>
      <c r="N79" s="27">
        <v>127.7</v>
      </c>
      <c r="O79" s="27">
        <v>116.8</v>
      </c>
      <c r="P79" s="27">
        <v>128.6</v>
      </c>
      <c r="Q79" s="27">
        <v>123.7</v>
      </c>
      <c r="R79" s="21">
        <f t="shared" si="8"/>
        <v>1571.1000000000001</v>
      </c>
      <c r="S79" s="21">
        <v>121.3</v>
      </c>
      <c r="T79" s="21">
        <v>116.5</v>
      </c>
      <c r="U79" s="21">
        <v>120.6</v>
      </c>
      <c r="V79" s="21">
        <f t="shared" si="9"/>
        <v>358.4</v>
      </c>
      <c r="W79" s="22">
        <v>118.1</v>
      </c>
      <c r="X79" s="21">
        <v>114</v>
      </c>
      <c r="Y79" s="21">
        <v>117.7</v>
      </c>
      <c r="Z79" s="22">
        <f t="shared" si="10"/>
        <v>349.8</v>
      </c>
      <c r="AA79" s="21">
        <v>114.1</v>
      </c>
      <c r="AB79" s="21">
        <v>111.7</v>
      </c>
      <c r="AC79" s="21">
        <f t="shared" si="11"/>
        <v>225.8</v>
      </c>
      <c r="AD79" s="27">
        <v>106.8</v>
      </c>
      <c r="AE79" s="27">
        <v>114.9</v>
      </c>
      <c r="AF79" s="27">
        <v>120.4</v>
      </c>
      <c r="AG79" s="21">
        <f t="shared" si="12"/>
        <v>235.3</v>
      </c>
      <c r="AH79" s="27">
        <v>128.1</v>
      </c>
      <c r="AI79" s="27">
        <v>113.2</v>
      </c>
      <c r="AJ79" s="21">
        <f t="shared" si="13"/>
        <v>241.3</v>
      </c>
      <c r="AK79" s="21">
        <v>118.7</v>
      </c>
    </row>
    <row r="80" spans="1:37">
      <c r="A80" s="21" t="s">
        <v>34</v>
      </c>
      <c r="B80" s="26">
        <v>2015</v>
      </c>
      <c r="C80" s="21" t="s">
        <v>35</v>
      </c>
      <c r="D80" s="21" t="str">
        <f t="shared" si="7"/>
        <v>No</v>
      </c>
      <c r="E80" s="27">
        <v>123.7</v>
      </c>
      <c r="F80" s="27">
        <v>125.1</v>
      </c>
      <c r="G80" s="27">
        <v>121.1</v>
      </c>
      <c r="H80" s="27">
        <v>125.7</v>
      </c>
      <c r="I80" s="27">
        <v>109.1</v>
      </c>
      <c r="J80" s="27">
        <v>125.8</v>
      </c>
      <c r="K80" s="27">
        <v>129.4</v>
      </c>
      <c r="L80" s="27">
        <v>120.9</v>
      </c>
      <c r="M80" s="27">
        <v>98.3</v>
      </c>
      <c r="N80" s="27">
        <v>121.6</v>
      </c>
      <c r="O80" s="27">
        <v>118</v>
      </c>
      <c r="P80" s="27">
        <v>127.6</v>
      </c>
      <c r="Q80" s="27">
        <v>123.1</v>
      </c>
      <c r="R80" s="21">
        <f t="shared" si="8"/>
        <v>1569.3999999999996</v>
      </c>
      <c r="S80" s="21">
        <v>123.8</v>
      </c>
      <c r="T80" s="21">
        <v>120.1</v>
      </c>
      <c r="U80" s="21">
        <v>123.3</v>
      </c>
      <c r="V80" s="21">
        <f t="shared" si="9"/>
        <v>367.2</v>
      </c>
      <c r="W80" s="22">
        <v>118.1</v>
      </c>
      <c r="X80" s="21">
        <v>117.7</v>
      </c>
      <c r="Y80" s="21">
        <v>118.7</v>
      </c>
      <c r="Z80" s="22">
        <f t="shared" si="10"/>
        <v>354.5</v>
      </c>
      <c r="AA80" s="21">
        <v>116.3</v>
      </c>
      <c r="AB80" s="21">
        <v>111.2</v>
      </c>
      <c r="AC80" s="21">
        <f t="shared" si="11"/>
        <v>227.5</v>
      </c>
      <c r="AD80" s="27">
        <v>108.7</v>
      </c>
      <c r="AE80" s="27">
        <v>114.9</v>
      </c>
      <c r="AF80" s="27">
        <v>119.7</v>
      </c>
      <c r="AG80" s="21">
        <f t="shared" si="12"/>
        <v>234.60000000000002</v>
      </c>
      <c r="AH80" s="27">
        <v>125.2</v>
      </c>
      <c r="AI80" s="27">
        <v>114.1</v>
      </c>
      <c r="AJ80" s="21">
        <f t="shared" si="13"/>
        <v>239.3</v>
      </c>
      <c r="AK80" s="21">
        <v>119.7</v>
      </c>
    </row>
    <row r="81" spans="1:37">
      <c r="A81" s="21" t="s">
        <v>30</v>
      </c>
      <c r="B81" s="26">
        <v>2015</v>
      </c>
      <c r="C81" s="21" t="s">
        <v>36</v>
      </c>
      <c r="D81" s="21" t="str">
        <f t="shared" si="7"/>
        <v>No</v>
      </c>
      <c r="E81" s="27">
        <v>123.3</v>
      </c>
      <c r="F81" s="27">
        <v>124.7</v>
      </c>
      <c r="G81" s="27">
        <v>118.9</v>
      </c>
      <c r="H81" s="27">
        <v>126</v>
      </c>
      <c r="I81" s="27">
        <v>111.8</v>
      </c>
      <c r="J81" s="27">
        <v>130.9</v>
      </c>
      <c r="K81" s="27">
        <v>128</v>
      </c>
      <c r="L81" s="27">
        <v>119.9</v>
      </c>
      <c r="M81" s="27">
        <v>98.9</v>
      </c>
      <c r="N81" s="27">
        <v>119.4</v>
      </c>
      <c r="O81" s="27">
        <v>118.9</v>
      </c>
      <c r="P81" s="27">
        <v>127.7</v>
      </c>
      <c r="Q81" s="27">
        <v>123.1</v>
      </c>
      <c r="R81" s="21">
        <f t="shared" si="8"/>
        <v>1571.5</v>
      </c>
      <c r="S81" s="21">
        <v>126</v>
      </c>
      <c r="T81" s="21">
        <v>122.9</v>
      </c>
      <c r="U81" s="21">
        <v>125.5</v>
      </c>
      <c r="V81" s="21">
        <f t="shared" si="9"/>
        <v>374.4</v>
      </c>
      <c r="W81" s="22">
        <v>139.25</v>
      </c>
      <c r="X81" s="21">
        <v>120.6</v>
      </c>
      <c r="Y81" s="21">
        <v>120.2</v>
      </c>
      <c r="Z81" s="22">
        <f t="shared" si="10"/>
        <v>380.05</v>
      </c>
      <c r="AA81" s="21">
        <v>118.2</v>
      </c>
      <c r="AB81" s="21">
        <v>110.8</v>
      </c>
      <c r="AC81" s="21">
        <f t="shared" si="11"/>
        <v>229</v>
      </c>
      <c r="AD81" s="27">
        <v>111.6</v>
      </c>
      <c r="AE81" s="27">
        <v>115.5</v>
      </c>
      <c r="AF81" s="27">
        <v>119.4</v>
      </c>
      <c r="AG81" s="21">
        <f t="shared" si="12"/>
        <v>234.9</v>
      </c>
      <c r="AH81" s="27">
        <v>124.7</v>
      </c>
      <c r="AI81" s="27">
        <v>115.5</v>
      </c>
      <c r="AJ81" s="21">
        <f t="shared" si="13"/>
        <v>240.2</v>
      </c>
      <c r="AK81" s="21">
        <v>121.1</v>
      </c>
    </row>
    <row r="82" spans="1:37">
      <c r="A82" s="21" t="s">
        <v>33</v>
      </c>
      <c r="B82" s="26">
        <v>2015</v>
      </c>
      <c r="C82" s="21" t="s">
        <v>36</v>
      </c>
      <c r="D82" s="21" t="str">
        <f t="shared" si="7"/>
        <v>No</v>
      </c>
      <c r="E82" s="27">
        <v>124</v>
      </c>
      <c r="F82" s="27">
        <v>126.7</v>
      </c>
      <c r="G82" s="27">
        <v>113.5</v>
      </c>
      <c r="H82" s="27">
        <v>125.9</v>
      </c>
      <c r="I82" s="27">
        <v>104.8</v>
      </c>
      <c r="J82" s="27">
        <v>123.8</v>
      </c>
      <c r="K82" s="27">
        <v>131.4</v>
      </c>
      <c r="L82" s="27">
        <v>127.2</v>
      </c>
      <c r="M82" s="27">
        <v>93.2</v>
      </c>
      <c r="N82" s="27">
        <v>127.4</v>
      </c>
      <c r="O82" s="27">
        <v>117</v>
      </c>
      <c r="P82" s="27">
        <v>129.19999999999999</v>
      </c>
      <c r="Q82" s="27">
        <v>123.9</v>
      </c>
      <c r="R82" s="21">
        <f t="shared" si="8"/>
        <v>1568.0000000000002</v>
      </c>
      <c r="S82" s="21">
        <v>121.7</v>
      </c>
      <c r="T82" s="21">
        <v>116.9</v>
      </c>
      <c r="U82" s="21">
        <v>120.9</v>
      </c>
      <c r="V82" s="21">
        <f t="shared" si="9"/>
        <v>359.5</v>
      </c>
      <c r="W82" s="22">
        <v>118.6</v>
      </c>
      <c r="X82" s="21">
        <v>114.4</v>
      </c>
      <c r="Y82" s="21">
        <v>118</v>
      </c>
      <c r="Z82" s="22">
        <f t="shared" si="10"/>
        <v>351</v>
      </c>
      <c r="AA82" s="21">
        <v>114.3</v>
      </c>
      <c r="AB82" s="21">
        <v>111.3</v>
      </c>
      <c r="AC82" s="21">
        <f t="shared" si="11"/>
        <v>225.6</v>
      </c>
      <c r="AD82" s="27">
        <v>108.4</v>
      </c>
      <c r="AE82" s="27">
        <v>115.4</v>
      </c>
      <c r="AF82" s="27">
        <v>120.6</v>
      </c>
      <c r="AG82" s="21">
        <f t="shared" si="12"/>
        <v>236</v>
      </c>
      <c r="AH82" s="27">
        <v>128.80000000000001</v>
      </c>
      <c r="AI82" s="27">
        <v>113.8</v>
      </c>
      <c r="AJ82" s="21">
        <f t="shared" si="13"/>
        <v>242.60000000000002</v>
      </c>
      <c r="AK82" s="21">
        <v>119.1</v>
      </c>
    </row>
    <row r="83" spans="1:37">
      <c r="A83" s="21" t="s">
        <v>34</v>
      </c>
      <c r="B83" s="26">
        <v>2015</v>
      </c>
      <c r="C83" s="21" t="s">
        <v>36</v>
      </c>
      <c r="D83" s="21" t="str">
        <f t="shared" si="7"/>
        <v>No</v>
      </c>
      <c r="E83" s="27">
        <v>123.5</v>
      </c>
      <c r="F83" s="27">
        <v>125.4</v>
      </c>
      <c r="G83" s="27">
        <v>116.8</v>
      </c>
      <c r="H83" s="27">
        <v>126</v>
      </c>
      <c r="I83" s="27">
        <v>109.2</v>
      </c>
      <c r="J83" s="27">
        <v>127.6</v>
      </c>
      <c r="K83" s="27">
        <v>129.19999999999999</v>
      </c>
      <c r="L83" s="27">
        <v>122.4</v>
      </c>
      <c r="M83" s="27">
        <v>97</v>
      </c>
      <c r="N83" s="27">
        <v>122.1</v>
      </c>
      <c r="O83" s="27">
        <v>118.1</v>
      </c>
      <c r="P83" s="27">
        <v>128.4</v>
      </c>
      <c r="Q83" s="27">
        <v>123.4</v>
      </c>
      <c r="R83" s="21">
        <f t="shared" si="8"/>
        <v>1569.1</v>
      </c>
      <c r="S83" s="21">
        <v>124.3</v>
      </c>
      <c r="T83" s="21">
        <v>120.4</v>
      </c>
      <c r="U83" s="21">
        <v>123.7</v>
      </c>
      <c r="V83" s="21">
        <f t="shared" si="9"/>
        <v>368.4</v>
      </c>
      <c r="W83" s="22">
        <v>118.6</v>
      </c>
      <c r="X83" s="21">
        <v>118.3</v>
      </c>
      <c r="Y83" s="21">
        <v>119.2</v>
      </c>
      <c r="Z83" s="22">
        <f t="shared" si="10"/>
        <v>356.09999999999997</v>
      </c>
      <c r="AA83" s="21">
        <v>116.7</v>
      </c>
      <c r="AB83" s="21">
        <v>111</v>
      </c>
      <c r="AC83" s="21">
        <f t="shared" si="11"/>
        <v>227.7</v>
      </c>
      <c r="AD83" s="27">
        <v>109.9</v>
      </c>
      <c r="AE83" s="27">
        <v>115.4</v>
      </c>
      <c r="AF83" s="27">
        <v>120.1</v>
      </c>
      <c r="AG83" s="21">
        <f t="shared" si="12"/>
        <v>235.5</v>
      </c>
      <c r="AH83" s="27">
        <v>125.8</v>
      </c>
      <c r="AI83" s="27">
        <v>114.7</v>
      </c>
      <c r="AJ83" s="21">
        <f t="shared" si="13"/>
        <v>240.5</v>
      </c>
      <c r="AK83" s="21">
        <v>120.2</v>
      </c>
    </row>
    <row r="84" spans="1:37">
      <c r="A84" s="21" t="s">
        <v>30</v>
      </c>
      <c r="B84" s="26">
        <v>2015</v>
      </c>
      <c r="C84" s="21" t="s">
        <v>37</v>
      </c>
      <c r="D84" s="21" t="str">
        <f t="shared" si="7"/>
        <v>No</v>
      </c>
      <c r="E84" s="27">
        <v>123.3</v>
      </c>
      <c r="F84" s="27">
        <v>125.5</v>
      </c>
      <c r="G84" s="27">
        <v>117.2</v>
      </c>
      <c r="H84" s="27">
        <v>126.8</v>
      </c>
      <c r="I84" s="27">
        <v>111.9</v>
      </c>
      <c r="J84" s="27">
        <v>134.19999999999999</v>
      </c>
      <c r="K84" s="27">
        <v>127.5</v>
      </c>
      <c r="L84" s="27">
        <v>121.5</v>
      </c>
      <c r="M84" s="27">
        <v>97.8</v>
      </c>
      <c r="N84" s="27">
        <v>119.8</v>
      </c>
      <c r="O84" s="27">
        <v>119.4</v>
      </c>
      <c r="P84" s="27">
        <v>128.69999999999999</v>
      </c>
      <c r="Q84" s="27">
        <v>123.6</v>
      </c>
      <c r="R84" s="21">
        <f t="shared" si="8"/>
        <v>1577.2</v>
      </c>
      <c r="S84" s="21">
        <v>126.4</v>
      </c>
      <c r="T84" s="21">
        <v>123.3</v>
      </c>
      <c r="U84" s="21">
        <v>126</v>
      </c>
      <c r="V84" s="21">
        <f t="shared" si="9"/>
        <v>375.7</v>
      </c>
      <c r="W84" s="22">
        <v>139.25</v>
      </c>
      <c r="X84" s="21">
        <v>121.2</v>
      </c>
      <c r="Y84" s="21">
        <v>120.9</v>
      </c>
      <c r="Z84" s="22">
        <f t="shared" si="10"/>
        <v>381.35</v>
      </c>
      <c r="AA84" s="21">
        <v>118.6</v>
      </c>
      <c r="AB84" s="21">
        <v>111.6</v>
      </c>
      <c r="AC84" s="21">
        <f t="shared" si="11"/>
        <v>230.2</v>
      </c>
      <c r="AD84" s="27">
        <v>111.9</v>
      </c>
      <c r="AE84" s="27">
        <v>116.2</v>
      </c>
      <c r="AF84" s="27">
        <v>119.9</v>
      </c>
      <c r="AG84" s="21">
        <f t="shared" si="12"/>
        <v>236.10000000000002</v>
      </c>
      <c r="AH84" s="27">
        <v>125.7</v>
      </c>
      <c r="AI84" s="27">
        <v>116</v>
      </c>
      <c r="AJ84" s="21">
        <f t="shared" si="13"/>
        <v>241.7</v>
      </c>
      <c r="AK84" s="21">
        <v>121.5</v>
      </c>
    </row>
    <row r="85" spans="1:37">
      <c r="A85" s="21" t="s">
        <v>33</v>
      </c>
      <c r="B85" s="26">
        <v>2015</v>
      </c>
      <c r="C85" s="21" t="s">
        <v>37</v>
      </c>
      <c r="D85" s="21" t="str">
        <f t="shared" si="7"/>
        <v>No</v>
      </c>
      <c r="E85" s="27">
        <v>123.8</v>
      </c>
      <c r="F85" s="27">
        <v>128.19999999999999</v>
      </c>
      <c r="G85" s="27">
        <v>110</v>
      </c>
      <c r="H85" s="27">
        <v>126.3</v>
      </c>
      <c r="I85" s="27">
        <v>104.5</v>
      </c>
      <c r="J85" s="27">
        <v>130.6</v>
      </c>
      <c r="K85" s="27">
        <v>130.80000000000001</v>
      </c>
      <c r="L85" s="27">
        <v>131.30000000000001</v>
      </c>
      <c r="M85" s="27">
        <v>91.6</v>
      </c>
      <c r="N85" s="27">
        <v>127.7</v>
      </c>
      <c r="O85" s="27">
        <v>117.2</v>
      </c>
      <c r="P85" s="27">
        <v>129.5</v>
      </c>
      <c r="Q85" s="27">
        <v>124.6</v>
      </c>
      <c r="R85" s="21">
        <f t="shared" si="8"/>
        <v>1576.1</v>
      </c>
      <c r="S85" s="21">
        <v>122.1</v>
      </c>
      <c r="T85" s="21">
        <v>117.2</v>
      </c>
      <c r="U85" s="21">
        <v>121.3</v>
      </c>
      <c r="V85" s="21">
        <f t="shared" si="9"/>
        <v>360.6</v>
      </c>
      <c r="W85" s="22">
        <v>119.2</v>
      </c>
      <c r="X85" s="21">
        <v>114.7</v>
      </c>
      <c r="Y85" s="21">
        <v>118.4</v>
      </c>
      <c r="Z85" s="22">
        <f t="shared" si="10"/>
        <v>352.3</v>
      </c>
      <c r="AA85" s="21">
        <v>114.6</v>
      </c>
      <c r="AB85" s="21">
        <v>111.8</v>
      </c>
      <c r="AC85" s="21">
        <f t="shared" si="11"/>
        <v>226.39999999999998</v>
      </c>
      <c r="AD85" s="27">
        <v>108.4</v>
      </c>
      <c r="AE85" s="27">
        <v>115.6</v>
      </c>
      <c r="AF85" s="27">
        <v>121.7</v>
      </c>
      <c r="AG85" s="21">
        <f t="shared" si="12"/>
        <v>237.3</v>
      </c>
      <c r="AH85" s="27">
        <v>130.1</v>
      </c>
      <c r="AI85" s="27">
        <v>114.2</v>
      </c>
      <c r="AJ85" s="21">
        <f t="shared" si="13"/>
        <v>244.3</v>
      </c>
      <c r="AK85" s="21">
        <v>119.7</v>
      </c>
    </row>
    <row r="86" spans="1:37">
      <c r="A86" s="21" t="s">
        <v>34</v>
      </c>
      <c r="B86" s="26">
        <v>2015</v>
      </c>
      <c r="C86" s="21" t="s">
        <v>37</v>
      </c>
      <c r="D86" s="21" t="str">
        <f t="shared" si="7"/>
        <v>No</v>
      </c>
      <c r="E86" s="27">
        <v>123.5</v>
      </c>
      <c r="F86" s="27">
        <v>126.4</v>
      </c>
      <c r="G86" s="27">
        <v>114.4</v>
      </c>
      <c r="H86" s="27">
        <v>126.6</v>
      </c>
      <c r="I86" s="27">
        <v>109.2</v>
      </c>
      <c r="J86" s="27">
        <v>132.5</v>
      </c>
      <c r="K86" s="27">
        <v>128.6</v>
      </c>
      <c r="L86" s="27">
        <v>124.8</v>
      </c>
      <c r="M86" s="27">
        <v>95.7</v>
      </c>
      <c r="N86" s="27">
        <v>122.4</v>
      </c>
      <c r="O86" s="27">
        <v>118.5</v>
      </c>
      <c r="P86" s="27">
        <v>129.1</v>
      </c>
      <c r="Q86" s="27">
        <v>124</v>
      </c>
      <c r="R86" s="21">
        <f t="shared" si="8"/>
        <v>1575.7</v>
      </c>
      <c r="S86" s="21">
        <v>124.7</v>
      </c>
      <c r="T86" s="21">
        <v>120.8</v>
      </c>
      <c r="U86" s="21">
        <v>124.1</v>
      </c>
      <c r="V86" s="21">
        <f t="shared" si="9"/>
        <v>369.6</v>
      </c>
      <c r="W86" s="22">
        <v>119.2</v>
      </c>
      <c r="X86" s="21">
        <v>118.7</v>
      </c>
      <c r="Y86" s="21">
        <v>119.7</v>
      </c>
      <c r="Z86" s="22">
        <f t="shared" si="10"/>
        <v>357.6</v>
      </c>
      <c r="AA86" s="21">
        <v>117.1</v>
      </c>
      <c r="AB86" s="21">
        <v>111.7</v>
      </c>
      <c r="AC86" s="21">
        <f t="shared" si="11"/>
        <v>228.8</v>
      </c>
      <c r="AD86" s="27">
        <v>110.1</v>
      </c>
      <c r="AE86" s="27">
        <v>115.9</v>
      </c>
      <c r="AF86" s="27">
        <v>121</v>
      </c>
      <c r="AG86" s="21">
        <f t="shared" si="12"/>
        <v>236.9</v>
      </c>
      <c r="AH86" s="27">
        <v>126.9</v>
      </c>
      <c r="AI86" s="27">
        <v>115.1</v>
      </c>
      <c r="AJ86" s="21">
        <f t="shared" si="13"/>
        <v>242</v>
      </c>
      <c r="AK86" s="21">
        <v>120.7</v>
      </c>
    </row>
    <row r="87" spans="1:37">
      <c r="A87" s="21" t="s">
        <v>30</v>
      </c>
      <c r="B87" s="26">
        <v>2015</v>
      </c>
      <c r="C87" s="21" t="s">
        <v>38</v>
      </c>
      <c r="D87" s="21" t="str">
        <f t="shared" si="7"/>
        <v>No</v>
      </c>
      <c r="E87" s="27">
        <v>123.5</v>
      </c>
      <c r="F87" s="27">
        <v>127.1</v>
      </c>
      <c r="G87" s="27">
        <v>117.3</v>
      </c>
      <c r="H87" s="27">
        <v>127.7</v>
      </c>
      <c r="I87" s="27">
        <v>112.5</v>
      </c>
      <c r="J87" s="27">
        <v>134.1</v>
      </c>
      <c r="K87" s="27">
        <v>128.5</v>
      </c>
      <c r="L87" s="27">
        <v>124.3</v>
      </c>
      <c r="M87" s="27">
        <v>97.6</v>
      </c>
      <c r="N87" s="27">
        <v>120.7</v>
      </c>
      <c r="O87" s="27">
        <v>120.2</v>
      </c>
      <c r="P87" s="27">
        <v>129.80000000000001</v>
      </c>
      <c r="Q87" s="27">
        <v>124.4</v>
      </c>
      <c r="R87" s="21">
        <f t="shared" si="8"/>
        <v>1587.7</v>
      </c>
      <c r="S87" s="21">
        <v>127.3</v>
      </c>
      <c r="T87" s="21">
        <v>124.1</v>
      </c>
      <c r="U87" s="21">
        <v>126.8</v>
      </c>
      <c r="V87" s="21">
        <f t="shared" si="9"/>
        <v>378.2</v>
      </c>
      <c r="W87" s="22">
        <v>139.25</v>
      </c>
      <c r="X87" s="21">
        <v>121.9</v>
      </c>
      <c r="Y87" s="21">
        <v>121.5</v>
      </c>
      <c r="Z87" s="22">
        <f t="shared" si="10"/>
        <v>382.65</v>
      </c>
      <c r="AA87" s="21">
        <v>119.4</v>
      </c>
      <c r="AB87" s="21">
        <v>112.3</v>
      </c>
      <c r="AC87" s="21">
        <f t="shared" si="11"/>
        <v>231.7</v>
      </c>
      <c r="AD87" s="27">
        <v>113.3</v>
      </c>
      <c r="AE87" s="27">
        <v>116.7</v>
      </c>
      <c r="AF87" s="27">
        <v>120.5</v>
      </c>
      <c r="AG87" s="21">
        <f t="shared" si="12"/>
        <v>237.2</v>
      </c>
      <c r="AH87" s="27">
        <v>126.7</v>
      </c>
      <c r="AI87" s="27">
        <v>116.9</v>
      </c>
      <c r="AJ87" s="21">
        <f t="shared" si="13"/>
        <v>243.60000000000002</v>
      </c>
      <c r="AK87" s="21">
        <v>122.4</v>
      </c>
    </row>
    <row r="88" spans="1:37">
      <c r="A88" s="21" t="s">
        <v>33</v>
      </c>
      <c r="B88" s="26">
        <v>2015</v>
      </c>
      <c r="C88" s="21" t="s">
        <v>38</v>
      </c>
      <c r="D88" s="21" t="str">
        <f t="shared" si="7"/>
        <v>No</v>
      </c>
      <c r="E88" s="27">
        <v>123.8</v>
      </c>
      <c r="F88" s="27">
        <v>129.69999999999999</v>
      </c>
      <c r="G88" s="27">
        <v>111.3</v>
      </c>
      <c r="H88" s="27">
        <v>126.6</v>
      </c>
      <c r="I88" s="27">
        <v>105.2</v>
      </c>
      <c r="J88" s="27">
        <v>130.80000000000001</v>
      </c>
      <c r="K88" s="27">
        <v>135.6</v>
      </c>
      <c r="L88" s="27">
        <v>142.6</v>
      </c>
      <c r="M88" s="27">
        <v>90.8</v>
      </c>
      <c r="N88" s="27">
        <v>128.80000000000001</v>
      </c>
      <c r="O88" s="27">
        <v>117.7</v>
      </c>
      <c r="P88" s="27">
        <v>129.9</v>
      </c>
      <c r="Q88" s="27">
        <v>126.1</v>
      </c>
      <c r="R88" s="21">
        <f t="shared" si="8"/>
        <v>1598.9</v>
      </c>
      <c r="S88" s="21">
        <v>122.4</v>
      </c>
      <c r="T88" s="21">
        <v>117.4</v>
      </c>
      <c r="U88" s="21">
        <v>121.6</v>
      </c>
      <c r="V88" s="21">
        <f t="shared" si="9"/>
        <v>361.4</v>
      </c>
      <c r="W88" s="22">
        <v>119.6</v>
      </c>
      <c r="X88" s="21">
        <v>114.9</v>
      </c>
      <c r="Y88" s="21">
        <v>118.7</v>
      </c>
      <c r="Z88" s="22">
        <f t="shared" si="10"/>
        <v>353.2</v>
      </c>
      <c r="AA88" s="21">
        <v>114.9</v>
      </c>
      <c r="AB88" s="21">
        <v>112.4</v>
      </c>
      <c r="AC88" s="21">
        <f t="shared" si="11"/>
        <v>227.3</v>
      </c>
      <c r="AD88" s="27">
        <v>110.8</v>
      </c>
      <c r="AE88" s="27">
        <v>116</v>
      </c>
      <c r="AF88" s="27">
        <v>122</v>
      </c>
      <c r="AG88" s="21">
        <f t="shared" si="12"/>
        <v>238</v>
      </c>
      <c r="AH88" s="27">
        <v>131.30000000000001</v>
      </c>
      <c r="AI88" s="27">
        <v>115.2</v>
      </c>
      <c r="AJ88" s="21">
        <f t="shared" si="13"/>
        <v>246.5</v>
      </c>
      <c r="AK88" s="21">
        <v>120.7</v>
      </c>
    </row>
    <row r="89" spans="1:37">
      <c r="A89" s="21" t="s">
        <v>34</v>
      </c>
      <c r="B89" s="26">
        <v>2015</v>
      </c>
      <c r="C89" s="21" t="s">
        <v>38</v>
      </c>
      <c r="D89" s="21" t="str">
        <f t="shared" si="7"/>
        <v>No</v>
      </c>
      <c r="E89" s="27">
        <v>123.6</v>
      </c>
      <c r="F89" s="27">
        <v>128</v>
      </c>
      <c r="G89" s="27">
        <v>115</v>
      </c>
      <c r="H89" s="27">
        <v>127.3</v>
      </c>
      <c r="I89" s="27">
        <v>109.8</v>
      </c>
      <c r="J89" s="27">
        <v>132.6</v>
      </c>
      <c r="K89" s="27">
        <v>130.9</v>
      </c>
      <c r="L89" s="27">
        <v>130.5</v>
      </c>
      <c r="M89" s="27">
        <v>95.3</v>
      </c>
      <c r="N89" s="27">
        <v>123.4</v>
      </c>
      <c r="O89" s="27">
        <v>119.2</v>
      </c>
      <c r="P89" s="27">
        <v>129.80000000000001</v>
      </c>
      <c r="Q89" s="27">
        <v>125</v>
      </c>
      <c r="R89" s="21">
        <f t="shared" si="8"/>
        <v>1590.4</v>
      </c>
      <c r="S89" s="21">
        <v>125.4</v>
      </c>
      <c r="T89" s="21">
        <v>121.3</v>
      </c>
      <c r="U89" s="21">
        <v>124.7</v>
      </c>
      <c r="V89" s="21">
        <f t="shared" si="9"/>
        <v>371.4</v>
      </c>
      <c r="W89" s="22">
        <v>119.6</v>
      </c>
      <c r="X89" s="21">
        <v>119.2</v>
      </c>
      <c r="Y89" s="21">
        <v>120.2</v>
      </c>
      <c r="Z89" s="22">
        <f t="shared" si="10"/>
        <v>359</v>
      </c>
      <c r="AA89" s="21">
        <v>117.7</v>
      </c>
      <c r="AB89" s="21">
        <v>112.3</v>
      </c>
      <c r="AC89" s="21">
        <f t="shared" si="11"/>
        <v>230</v>
      </c>
      <c r="AD89" s="27">
        <v>112</v>
      </c>
      <c r="AE89" s="27">
        <v>116.3</v>
      </c>
      <c r="AF89" s="27">
        <v>121.4</v>
      </c>
      <c r="AG89" s="21">
        <f t="shared" si="12"/>
        <v>237.7</v>
      </c>
      <c r="AH89" s="27">
        <v>127.9</v>
      </c>
      <c r="AI89" s="27">
        <v>116.1</v>
      </c>
      <c r="AJ89" s="21">
        <f t="shared" si="13"/>
        <v>244</v>
      </c>
      <c r="AK89" s="21">
        <v>121.6</v>
      </c>
    </row>
    <row r="90" spans="1:37">
      <c r="A90" s="21" t="s">
        <v>30</v>
      </c>
      <c r="B90" s="26">
        <v>2015</v>
      </c>
      <c r="C90" s="21" t="s">
        <v>39</v>
      </c>
      <c r="D90" s="21" t="str">
        <f t="shared" si="7"/>
        <v>No</v>
      </c>
      <c r="E90" s="27">
        <v>124.1</v>
      </c>
      <c r="F90" s="27">
        <v>130.4</v>
      </c>
      <c r="G90" s="27">
        <v>122.1</v>
      </c>
      <c r="H90" s="27">
        <v>128.69999999999999</v>
      </c>
      <c r="I90" s="27">
        <v>114.1</v>
      </c>
      <c r="J90" s="27">
        <v>133.19999999999999</v>
      </c>
      <c r="K90" s="27">
        <v>135.19999999999999</v>
      </c>
      <c r="L90" s="27">
        <v>131.9</v>
      </c>
      <c r="M90" s="27">
        <v>96.3</v>
      </c>
      <c r="N90" s="27">
        <v>123</v>
      </c>
      <c r="O90" s="27">
        <v>121.1</v>
      </c>
      <c r="P90" s="27">
        <v>131.19999999999999</v>
      </c>
      <c r="Q90" s="27">
        <v>126.6</v>
      </c>
      <c r="R90" s="21">
        <f t="shared" si="8"/>
        <v>1617.8999999999999</v>
      </c>
      <c r="S90" s="21">
        <v>128.4</v>
      </c>
      <c r="T90" s="21">
        <v>125.1</v>
      </c>
      <c r="U90" s="21">
        <v>128</v>
      </c>
      <c r="V90" s="21">
        <f t="shared" si="9"/>
        <v>381.5</v>
      </c>
      <c r="W90" s="22">
        <v>139.25</v>
      </c>
      <c r="X90" s="21">
        <v>122.6</v>
      </c>
      <c r="Y90" s="21">
        <v>122.8</v>
      </c>
      <c r="Z90" s="22">
        <f t="shared" si="10"/>
        <v>384.65000000000003</v>
      </c>
      <c r="AA90" s="21">
        <v>120.4</v>
      </c>
      <c r="AB90" s="21">
        <v>113</v>
      </c>
      <c r="AC90" s="21">
        <f t="shared" si="11"/>
        <v>233.4</v>
      </c>
      <c r="AD90" s="27">
        <v>114.2</v>
      </c>
      <c r="AE90" s="27">
        <v>117.9</v>
      </c>
      <c r="AF90" s="27">
        <v>122</v>
      </c>
      <c r="AG90" s="21">
        <f t="shared" si="12"/>
        <v>239.9</v>
      </c>
      <c r="AH90" s="27">
        <v>128.19999999999999</v>
      </c>
      <c r="AI90" s="27">
        <v>117.9</v>
      </c>
      <c r="AJ90" s="21">
        <f t="shared" si="13"/>
        <v>246.1</v>
      </c>
      <c r="AK90" s="21">
        <v>124.1</v>
      </c>
    </row>
    <row r="91" spans="1:37">
      <c r="A91" s="21" t="s">
        <v>33</v>
      </c>
      <c r="B91" s="26">
        <v>2015</v>
      </c>
      <c r="C91" s="21" t="s">
        <v>39</v>
      </c>
      <c r="D91" s="21" t="str">
        <f t="shared" si="7"/>
        <v>No</v>
      </c>
      <c r="E91" s="27">
        <v>123.6</v>
      </c>
      <c r="F91" s="27">
        <v>134.4</v>
      </c>
      <c r="G91" s="27">
        <v>120.9</v>
      </c>
      <c r="H91" s="27">
        <v>127.3</v>
      </c>
      <c r="I91" s="27">
        <v>106</v>
      </c>
      <c r="J91" s="27">
        <v>132.30000000000001</v>
      </c>
      <c r="K91" s="27">
        <v>146.69999999999999</v>
      </c>
      <c r="L91" s="27">
        <v>148.1</v>
      </c>
      <c r="M91" s="27">
        <v>89.8</v>
      </c>
      <c r="N91" s="27">
        <v>130.5</v>
      </c>
      <c r="O91" s="27">
        <v>118</v>
      </c>
      <c r="P91" s="27">
        <v>130.5</v>
      </c>
      <c r="Q91" s="27">
        <v>128.5</v>
      </c>
      <c r="R91" s="21">
        <f t="shared" si="8"/>
        <v>1636.6</v>
      </c>
      <c r="S91" s="21">
        <v>123.2</v>
      </c>
      <c r="T91" s="21">
        <v>117.6</v>
      </c>
      <c r="U91" s="21">
        <v>122.3</v>
      </c>
      <c r="V91" s="21">
        <f t="shared" si="9"/>
        <v>363.1</v>
      </c>
      <c r="W91" s="22">
        <v>119</v>
      </c>
      <c r="X91" s="21">
        <v>115.1</v>
      </c>
      <c r="Y91" s="21">
        <v>119.2</v>
      </c>
      <c r="Z91" s="22">
        <f t="shared" si="10"/>
        <v>353.3</v>
      </c>
      <c r="AA91" s="21">
        <v>115.4</v>
      </c>
      <c r="AB91" s="21">
        <v>112.5</v>
      </c>
      <c r="AC91" s="21">
        <f t="shared" si="11"/>
        <v>227.9</v>
      </c>
      <c r="AD91" s="27">
        <v>111.7</v>
      </c>
      <c r="AE91" s="27">
        <v>116.2</v>
      </c>
      <c r="AF91" s="27">
        <v>123.8</v>
      </c>
      <c r="AG91" s="21">
        <f t="shared" si="12"/>
        <v>240</v>
      </c>
      <c r="AH91" s="27">
        <v>132.1</v>
      </c>
      <c r="AI91" s="27">
        <v>116</v>
      </c>
      <c r="AJ91" s="21">
        <f t="shared" si="13"/>
        <v>248.1</v>
      </c>
      <c r="AK91" s="21">
        <v>121.7</v>
      </c>
    </row>
    <row r="92" spans="1:37">
      <c r="A92" s="21" t="s">
        <v>34</v>
      </c>
      <c r="B92" s="26">
        <v>2015</v>
      </c>
      <c r="C92" s="21" t="s">
        <v>39</v>
      </c>
      <c r="D92" s="21" t="str">
        <f t="shared" si="7"/>
        <v>No</v>
      </c>
      <c r="E92" s="27">
        <v>123.9</v>
      </c>
      <c r="F92" s="27">
        <v>131.80000000000001</v>
      </c>
      <c r="G92" s="27">
        <v>121.6</v>
      </c>
      <c r="H92" s="27">
        <v>128.19999999999999</v>
      </c>
      <c r="I92" s="27">
        <v>111.1</v>
      </c>
      <c r="J92" s="27">
        <v>132.80000000000001</v>
      </c>
      <c r="K92" s="27">
        <v>139.1</v>
      </c>
      <c r="L92" s="27">
        <v>137.4</v>
      </c>
      <c r="M92" s="27">
        <v>94.1</v>
      </c>
      <c r="N92" s="27">
        <v>125.5</v>
      </c>
      <c r="O92" s="27">
        <v>119.8</v>
      </c>
      <c r="P92" s="27">
        <v>130.9</v>
      </c>
      <c r="Q92" s="27">
        <v>127.3</v>
      </c>
      <c r="R92" s="21">
        <f t="shared" si="8"/>
        <v>1623.5</v>
      </c>
      <c r="S92" s="21">
        <v>126.4</v>
      </c>
      <c r="T92" s="21">
        <v>122</v>
      </c>
      <c r="U92" s="21">
        <v>125.7</v>
      </c>
      <c r="V92" s="21">
        <f t="shared" si="9"/>
        <v>374.1</v>
      </c>
      <c r="W92" s="22">
        <v>119</v>
      </c>
      <c r="X92" s="21">
        <v>119.8</v>
      </c>
      <c r="Y92" s="21">
        <v>121.1</v>
      </c>
      <c r="Z92" s="22">
        <f t="shared" si="10"/>
        <v>359.9</v>
      </c>
      <c r="AA92" s="21">
        <v>118.5</v>
      </c>
      <c r="AB92" s="21">
        <v>112.8</v>
      </c>
      <c r="AC92" s="21">
        <f t="shared" si="11"/>
        <v>231.3</v>
      </c>
      <c r="AD92" s="27">
        <v>112.9</v>
      </c>
      <c r="AE92" s="27">
        <v>116.9</v>
      </c>
      <c r="AF92" s="27">
        <v>123.1</v>
      </c>
      <c r="AG92" s="21">
        <f t="shared" si="12"/>
        <v>240</v>
      </c>
      <c r="AH92" s="27">
        <v>129.19999999999999</v>
      </c>
      <c r="AI92" s="27">
        <v>117</v>
      </c>
      <c r="AJ92" s="21">
        <f t="shared" si="13"/>
        <v>246.2</v>
      </c>
      <c r="AK92" s="21">
        <v>123</v>
      </c>
    </row>
    <row r="93" spans="1:37">
      <c r="A93" s="21" t="s">
        <v>30</v>
      </c>
      <c r="B93" s="26">
        <v>2015</v>
      </c>
      <c r="C93" s="21" t="s">
        <v>40</v>
      </c>
      <c r="D93" s="21" t="str">
        <f t="shared" si="7"/>
        <v>No</v>
      </c>
      <c r="E93" s="27">
        <v>124</v>
      </c>
      <c r="F93" s="27">
        <v>131.5</v>
      </c>
      <c r="G93" s="27">
        <v>122</v>
      </c>
      <c r="H93" s="27">
        <v>128.69999999999999</v>
      </c>
      <c r="I93" s="27">
        <v>113.5</v>
      </c>
      <c r="J93" s="27">
        <v>133.30000000000001</v>
      </c>
      <c r="K93" s="27">
        <v>140.80000000000001</v>
      </c>
      <c r="L93" s="27">
        <v>133.80000000000001</v>
      </c>
      <c r="M93" s="27">
        <v>94.1</v>
      </c>
      <c r="N93" s="27">
        <v>123.4</v>
      </c>
      <c r="O93" s="27">
        <v>121</v>
      </c>
      <c r="P93" s="27">
        <v>131.69999999999999</v>
      </c>
      <c r="Q93" s="27">
        <v>127.5</v>
      </c>
      <c r="R93" s="21">
        <f t="shared" si="8"/>
        <v>1625.3</v>
      </c>
      <c r="S93" s="21">
        <v>128.80000000000001</v>
      </c>
      <c r="T93" s="21">
        <v>125.5</v>
      </c>
      <c r="U93" s="21">
        <v>128.30000000000001</v>
      </c>
      <c r="V93" s="21">
        <f t="shared" si="9"/>
        <v>382.6</v>
      </c>
      <c r="W93" s="22">
        <v>139.25</v>
      </c>
      <c r="X93" s="21">
        <v>123</v>
      </c>
      <c r="Y93" s="21">
        <v>123</v>
      </c>
      <c r="Z93" s="22">
        <f t="shared" si="10"/>
        <v>385.25</v>
      </c>
      <c r="AA93" s="21">
        <v>120.8</v>
      </c>
      <c r="AB93" s="21">
        <v>112.7</v>
      </c>
      <c r="AC93" s="21">
        <f t="shared" si="11"/>
        <v>233.5</v>
      </c>
      <c r="AD93" s="27">
        <v>114.1</v>
      </c>
      <c r="AE93" s="27">
        <v>118</v>
      </c>
      <c r="AF93" s="27">
        <v>122.9</v>
      </c>
      <c r="AG93" s="21">
        <f t="shared" si="12"/>
        <v>240.9</v>
      </c>
      <c r="AH93" s="27">
        <v>129.4</v>
      </c>
      <c r="AI93" s="27">
        <v>118.1</v>
      </c>
      <c r="AJ93" s="21">
        <f t="shared" si="13"/>
        <v>247.5</v>
      </c>
      <c r="AK93" s="21">
        <v>124.7</v>
      </c>
    </row>
    <row r="94" spans="1:37">
      <c r="A94" s="21" t="s">
        <v>33</v>
      </c>
      <c r="B94" s="26">
        <v>2015</v>
      </c>
      <c r="C94" s="21" t="s">
        <v>40</v>
      </c>
      <c r="D94" s="21" t="str">
        <f t="shared" si="7"/>
        <v>No</v>
      </c>
      <c r="E94" s="27">
        <v>123.2</v>
      </c>
      <c r="F94" s="27">
        <v>134.30000000000001</v>
      </c>
      <c r="G94" s="27">
        <v>119.5</v>
      </c>
      <c r="H94" s="27">
        <v>127.7</v>
      </c>
      <c r="I94" s="27">
        <v>106.3</v>
      </c>
      <c r="J94" s="27">
        <v>132.80000000000001</v>
      </c>
      <c r="K94" s="27">
        <v>153.5</v>
      </c>
      <c r="L94" s="27">
        <v>149.5</v>
      </c>
      <c r="M94" s="27">
        <v>85.7</v>
      </c>
      <c r="N94" s="27">
        <v>131.5</v>
      </c>
      <c r="O94" s="27">
        <v>118.3</v>
      </c>
      <c r="P94" s="27">
        <v>131.1</v>
      </c>
      <c r="Q94" s="27">
        <v>129.5</v>
      </c>
      <c r="R94" s="21">
        <f t="shared" si="8"/>
        <v>1642.8999999999999</v>
      </c>
      <c r="S94" s="21">
        <v>123.5</v>
      </c>
      <c r="T94" s="21">
        <v>117.9</v>
      </c>
      <c r="U94" s="21">
        <v>122.7</v>
      </c>
      <c r="V94" s="21">
        <f t="shared" si="9"/>
        <v>364.1</v>
      </c>
      <c r="W94" s="22">
        <v>119.9</v>
      </c>
      <c r="X94" s="21">
        <v>115.3</v>
      </c>
      <c r="Y94" s="21">
        <v>119.5</v>
      </c>
      <c r="Z94" s="22">
        <f t="shared" si="10"/>
        <v>354.7</v>
      </c>
      <c r="AA94" s="21">
        <v>116</v>
      </c>
      <c r="AB94" s="21">
        <v>111.7</v>
      </c>
      <c r="AC94" s="21">
        <f t="shared" si="11"/>
        <v>227.7</v>
      </c>
      <c r="AD94" s="27">
        <v>111.5</v>
      </c>
      <c r="AE94" s="27">
        <v>116.6</v>
      </c>
      <c r="AF94" s="27">
        <v>125.4</v>
      </c>
      <c r="AG94" s="21">
        <f t="shared" si="12"/>
        <v>242</v>
      </c>
      <c r="AH94" s="27">
        <v>133.1</v>
      </c>
      <c r="AI94" s="27">
        <v>116.3</v>
      </c>
      <c r="AJ94" s="21">
        <f t="shared" si="13"/>
        <v>249.39999999999998</v>
      </c>
      <c r="AK94" s="21">
        <v>122.4</v>
      </c>
    </row>
    <row r="95" spans="1:37">
      <c r="A95" s="21" t="s">
        <v>34</v>
      </c>
      <c r="B95" s="26">
        <v>2015</v>
      </c>
      <c r="C95" s="21" t="s">
        <v>40</v>
      </c>
      <c r="D95" s="21" t="str">
        <f t="shared" si="7"/>
        <v>No</v>
      </c>
      <c r="E95" s="27">
        <v>123.7</v>
      </c>
      <c r="F95" s="27">
        <v>132.5</v>
      </c>
      <c r="G95" s="27">
        <v>121</v>
      </c>
      <c r="H95" s="27">
        <v>128.30000000000001</v>
      </c>
      <c r="I95" s="27">
        <v>110.9</v>
      </c>
      <c r="J95" s="27">
        <v>133.1</v>
      </c>
      <c r="K95" s="27">
        <v>145.1</v>
      </c>
      <c r="L95" s="27">
        <v>139.1</v>
      </c>
      <c r="M95" s="27">
        <v>91.3</v>
      </c>
      <c r="N95" s="27">
        <v>126.1</v>
      </c>
      <c r="O95" s="27">
        <v>119.9</v>
      </c>
      <c r="P95" s="27">
        <v>131.4</v>
      </c>
      <c r="Q95" s="27">
        <v>128.19999999999999</v>
      </c>
      <c r="R95" s="21">
        <f t="shared" si="8"/>
        <v>1630.6000000000001</v>
      </c>
      <c r="S95" s="21">
        <v>126.7</v>
      </c>
      <c r="T95" s="21">
        <v>122.3</v>
      </c>
      <c r="U95" s="21">
        <v>126.1</v>
      </c>
      <c r="V95" s="21">
        <f t="shared" si="9"/>
        <v>375.1</v>
      </c>
      <c r="W95" s="22">
        <v>119.9</v>
      </c>
      <c r="X95" s="21">
        <v>120.1</v>
      </c>
      <c r="Y95" s="21">
        <v>121.3</v>
      </c>
      <c r="Z95" s="22">
        <f t="shared" si="10"/>
        <v>361.3</v>
      </c>
      <c r="AA95" s="21">
        <v>119</v>
      </c>
      <c r="AB95" s="21">
        <v>112.3</v>
      </c>
      <c r="AC95" s="21">
        <f t="shared" si="11"/>
        <v>231.3</v>
      </c>
      <c r="AD95" s="27">
        <v>112.7</v>
      </c>
      <c r="AE95" s="27">
        <v>117.2</v>
      </c>
      <c r="AF95" s="27">
        <v>124.4</v>
      </c>
      <c r="AG95" s="21">
        <f t="shared" si="12"/>
        <v>241.60000000000002</v>
      </c>
      <c r="AH95" s="27">
        <v>130.4</v>
      </c>
      <c r="AI95" s="27">
        <v>117.2</v>
      </c>
      <c r="AJ95" s="21">
        <f t="shared" si="13"/>
        <v>247.60000000000002</v>
      </c>
      <c r="AK95" s="21">
        <v>123.6</v>
      </c>
    </row>
    <row r="96" spans="1:37">
      <c r="A96" s="21" t="s">
        <v>30</v>
      </c>
      <c r="B96" s="26">
        <v>2015</v>
      </c>
      <c r="C96" s="21" t="s">
        <v>41</v>
      </c>
      <c r="D96" s="21" t="str">
        <f t="shared" si="7"/>
        <v>No</v>
      </c>
      <c r="E96" s="27">
        <v>124.7</v>
      </c>
      <c r="F96" s="27">
        <v>131.30000000000001</v>
      </c>
      <c r="G96" s="27">
        <v>121.3</v>
      </c>
      <c r="H96" s="27">
        <v>128.80000000000001</v>
      </c>
      <c r="I96" s="27">
        <v>114</v>
      </c>
      <c r="J96" s="27">
        <v>134.19999999999999</v>
      </c>
      <c r="K96" s="27">
        <v>153.6</v>
      </c>
      <c r="L96" s="27">
        <v>137.9</v>
      </c>
      <c r="M96" s="27">
        <v>93.1</v>
      </c>
      <c r="N96" s="27">
        <v>123.9</v>
      </c>
      <c r="O96" s="27">
        <v>121.5</v>
      </c>
      <c r="P96" s="27">
        <v>132.5</v>
      </c>
      <c r="Q96" s="27">
        <v>129.80000000000001</v>
      </c>
      <c r="R96" s="21">
        <f t="shared" si="8"/>
        <v>1646.6</v>
      </c>
      <c r="S96" s="21">
        <v>129.5</v>
      </c>
      <c r="T96" s="21">
        <v>126.3</v>
      </c>
      <c r="U96" s="21">
        <v>129</v>
      </c>
      <c r="V96" s="21">
        <f t="shared" si="9"/>
        <v>384.8</v>
      </c>
      <c r="W96" s="22">
        <v>139.25</v>
      </c>
      <c r="X96" s="21">
        <v>123.8</v>
      </c>
      <c r="Y96" s="21">
        <v>123.7</v>
      </c>
      <c r="Z96" s="22">
        <f t="shared" si="10"/>
        <v>386.75</v>
      </c>
      <c r="AA96" s="21">
        <v>121.1</v>
      </c>
      <c r="AB96" s="21">
        <v>112.5</v>
      </c>
      <c r="AC96" s="21">
        <f t="shared" si="11"/>
        <v>233.6</v>
      </c>
      <c r="AD96" s="27">
        <v>113.6</v>
      </c>
      <c r="AE96" s="27">
        <v>118.5</v>
      </c>
      <c r="AF96" s="27">
        <v>123.6</v>
      </c>
      <c r="AG96" s="21">
        <f t="shared" si="12"/>
        <v>242.1</v>
      </c>
      <c r="AH96" s="27">
        <v>130.1</v>
      </c>
      <c r="AI96" s="27">
        <v>118.2</v>
      </c>
      <c r="AJ96" s="21">
        <f t="shared" si="13"/>
        <v>248.3</v>
      </c>
      <c r="AK96" s="21">
        <v>126.1</v>
      </c>
    </row>
    <row r="97" spans="1:37">
      <c r="A97" s="21" t="s">
        <v>33</v>
      </c>
      <c r="B97" s="26">
        <v>2015</v>
      </c>
      <c r="C97" s="21" t="s">
        <v>41</v>
      </c>
      <c r="D97" s="21" t="str">
        <f t="shared" si="7"/>
        <v>No</v>
      </c>
      <c r="E97" s="27">
        <v>123.1</v>
      </c>
      <c r="F97" s="27">
        <v>131.69999999999999</v>
      </c>
      <c r="G97" s="27">
        <v>118.1</v>
      </c>
      <c r="H97" s="27">
        <v>128</v>
      </c>
      <c r="I97" s="27">
        <v>106.8</v>
      </c>
      <c r="J97" s="27">
        <v>130.1</v>
      </c>
      <c r="K97" s="27">
        <v>165.5</v>
      </c>
      <c r="L97" s="27">
        <v>156</v>
      </c>
      <c r="M97" s="27">
        <v>85.3</v>
      </c>
      <c r="N97" s="27">
        <v>132.69999999999999</v>
      </c>
      <c r="O97" s="27">
        <v>118.8</v>
      </c>
      <c r="P97" s="27">
        <v>131.69999999999999</v>
      </c>
      <c r="Q97" s="27">
        <v>131.1</v>
      </c>
      <c r="R97" s="21">
        <f t="shared" si="8"/>
        <v>1658.8999999999999</v>
      </c>
      <c r="S97" s="21">
        <v>123.7</v>
      </c>
      <c r="T97" s="21">
        <v>118.2</v>
      </c>
      <c r="U97" s="21">
        <v>122.9</v>
      </c>
      <c r="V97" s="21">
        <f t="shared" si="9"/>
        <v>364.8</v>
      </c>
      <c r="W97" s="22">
        <v>120.9</v>
      </c>
      <c r="X97" s="21">
        <v>115.3</v>
      </c>
      <c r="Y97" s="21">
        <v>120</v>
      </c>
      <c r="Z97" s="22">
        <f t="shared" si="10"/>
        <v>356.2</v>
      </c>
      <c r="AA97" s="21">
        <v>116.6</v>
      </c>
      <c r="AB97" s="21">
        <v>112</v>
      </c>
      <c r="AC97" s="21">
        <f t="shared" si="11"/>
        <v>228.6</v>
      </c>
      <c r="AD97" s="27">
        <v>109.9</v>
      </c>
      <c r="AE97" s="27">
        <v>117.2</v>
      </c>
      <c r="AF97" s="27">
        <v>126.2</v>
      </c>
      <c r="AG97" s="21">
        <f t="shared" si="12"/>
        <v>243.4</v>
      </c>
      <c r="AH97" s="27">
        <v>134.19999999999999</v>
      </c>
      <c r="AI97" s="27">
        <v>116.2</v>
      </c>
      <c r="AJ97" s="21">
        <f t="shared" si="13"/>
        <v>250.39999999999998</v>
      </c>
      <c r="AK97" s="21">
        <v>123.2</v>
      </c>
    </row>
    <row r="98" spans="1:37">
      <c r="A98" s="21" t="s">
        <v>34</v>
      </c>
      <c r="B98" s="26">
        <v>2015</v>
      </c>
      <c r="C98" s="21" t="s">
        <v>41</v>
      </c>
      <c r="D98" s="21" t="str">
        <f t="shared" si="7"/>
        <v>No</v>
      </c>
      <c r="E98" s="27">
        <v>124.2</v>
      </c>
      <c r="F98" s="27">
        <v>131.4</v>
      </c>
      <c r="G98" s="27">
        <v>120.1</v>
      </c>
      <c r="H98" s="27">
        <v>128.5</v>
      </c>
      <c r="I98" s="27">
        <v>111.4</v>
      </c>
      <c r="J98" s="27">
        <v>132.30000000000001</v>
      </c>
      <c r="K98" s="27">
        <v>157.6</v>
      </c>
      <c r="L98" s="27">
        <v>144</v>
      </c>
      <c r="M98" s="27">
        <v>90.5</v>
      </c>
      <c r="N98" s="27">
        <v>126.8</v>
      </c>
      <c r="O98" s="27">
        <v>120.4</v>
      </c>
      <c r="P98" s="27">
        <v>132.1</v>
      </c>
      <c r="Q98" s="27">
        <v>130.30000000000001</v>
      </c>
      <c r="R98" s="21">
        <f t="shared" si="8"/>
        <v>1649.6</v>
      </c>
      <c r="S98" s="21">
        <v>127.2</v>
      </c>
      <c r="T98" s="21">
        <v>122.9</v>
      </c>
      <c r="U98" s="21">
        <v>126.6</v>
      </c>
      <c r="V98" s="21">
        <f t="shared" si="9"/>
        <v>376.70000000000005</v>
      </c>
      <c r="W98" s="22">
        <v>120.9</v>
      </c>
      <c r="X98" s="21">
        <v>120.6</v>
      </c>
      <c r="Y98" s="21">
        <v>122</v>
      </c>
      <c r="Z98" s="22">
        <f t="shared" si="10"/>
        <v>363.5</v>
      </c>
      <c r="AA98" s="21">
        <v>119.4</v>
      </c>
      <c r="AB98" s="21">
        <v>112.3</v>
      </c>
      <c r="AC98" s="21">
        <f t="shared" si="11"/>
        <v>231.7</v>
      </c>
      <c r="AD98" s="27">
        <v>111.7</v>
      </c>
      <c r="AE98" s="27">
        <v>117.8</v>
      </c>
      <c r="AF98" s="27">
        <v>125.1</v>
      </c>
      <c r="AG98" s="21">
        <f t="shared" si="12"/>
        <v>242.89999999999998</v>
      </c>
      <c r="AH98" s="27">
        <v>131.19999999999999</v>
      </c>
      <c r="AI98" s="27">
        <v>117.2</v>
      </c>
      <c r="AJ98" s="21">
        <f t="shared" si="13"/>
        <v>248.39999999999998</v>
      </c>
      <c r="AK98" s="21">
        <v>124.8</v>
      </c>
    </row>
    <row r="99" spans="1:37">
      <c r="A99" s="21" t="s">
        <v>30</v>
      </c>
      <c r="B99" s="26">
        <v>2015</v>
      </c>
      <c r="C99" s="21" t="s">
        <v>42</v>
      </c>
      <c r="D99" s="21" t="str">
        <f t="shared" si="7"/>
        <v>No</v>
      </c>
      <c r="E99" s="27">
        <v>125.1</v>
      </c>
      <c r="F99" s="27">
        <v>131.1</v>
      </c>
      <c r="G99" s="27">
        <v>120.7</v>
      </c>
      <c r="H99" s="27">
        <v>129.19999999999999</v>
      </c>
      <c r="I99" s="27">
        <v>114.7</v>
      </c>
      <c r="J99" s="27">
        <v>132.30000000000001</v>
      </c>
      <c r="K99" s="27">
        <v>158.9</v>
      </c>
      <c r="L99" s="27">
        <v>142.1</v>
      </c>
      <c r="M99" s="27">
        <v>92.5</v>
      </c>
      <c r="N99" s="27">
        <v>125.4</v>
      </c>
      <c r="O99" s="27">
        <v>121.9</v>
      </c>
      <c r="P99" s="27">
        <v>132.69999999999999</v>
      </c>
      <c r="Q99" s="27">
        <v>131</v>
      </c>
      <c r="R99" s="21">
        <f t="shared" si="8"/>
        <v>1657.6000000000001</v>
      </c>
      <c r="S99" s="21">
        <v>130.4</v>
      </c>
      <c r="T99" s="21">
        <v>126.8</v>
      </c>
      <c r="U99" s="21">
        <v>129.9</v>
      </c>
      <c r="V99" s="21">
        <f t="shared" si="9"/>
        <v>387.1</v>
      </c>
      <c r="W99" s="22">
        <v>139.25</v>
      </c>
      <c r="X99" s="21">
        <v>123.7</v>
      </c>
      <c r="Y99" s="21">
        <v>124.5</v>
      </c>
      <c r="Z99" s="22">
        <f t="shared" si="10"/>
        <v>387.45</v>
      </c>
      <c r="AA99" s="21">
        <v>121.4</v>
      </c>
      <c r="AB99" s="21">
        <v>113.7</v>
      </c>
      <c r="AC99" s="21">
        <f t="shared" si="11"/>
        <v>235.10000000000002</v>
      </c>
      <c r="AD99" s="27">
        <v>113.8</v>
      </c>
      <c r="AE99" s="27">
        <v>119.6</v>
      </c>
      <c r="AF99" s="27">
        <v>124.5</v>
      </c>
      <c r="AG99" s="21">
        <f t="shared" si="12"/>
        <v>244.1</v>
      </c>
      <c r="AH99" s="27">
        <v>131</v>
      </c>
      <c r="AI99" s="27">
        <v>118.8</v>
      </c>
      <c r="AJ99" s="21">
        <f t="shared" si="13"/>
        <v>249.8</v>
      </c>
      <c r="AK99" s="21">
        <v>127</v>
      </c>
    </row>
    <row r="100" spans="1:37">
      <c r="A100" s="21" t="s">
        <v>33</v>
      </c>
      <c r="B100" s="26">
        <v>2015</v>
      </c>
      <c r="C100" s="21" t="s">
        <v>42</v>
      </c>
      <c r="D100" s="21" t="str">
        <f t="shared" si="7"/>
        <v>No</v>
      </c>
      <c r="E100" s="27">
        <v>123.4</v>
      </c>
      <c r="F100" s="27">
        <v>129</v>
      </c>
      <c r="G100" s="27">
        <v>115.6</v>
      </c>
      <c r="H100" s="27">
        <v>128.30000000000001</v>
      </c>
      <c r="I100" s="27">
        <v>107</v>
      </c>
      <c r="J100" s="27">
        <v>124</v>
      </c>
      <c r="K100" s="27">
        <v>168.5</v>
      </c>
      <c r="L100" s="27">
        <v>165.4</v>
      </c>
      <c r="M100" s="27">
        <v>86.3</v>
      </c>
      <c r="N100" s="27">
        <v>134.4</v>
      </c>
      <c r="O100" s="27">
        <v>119.1</v>
      </c>
      <c r="P100" s="27">
        <v>132.30000000000001</v>
      </c>
      <c r="Q100" s="27">
        <v>131.5</v>
      </c>
      <c r="R100" s="21">
        <f t="shared" si="8"/>
        <v>1664.8</v>
      </c>
      <c r="S100" s="21">
        <v>124</v>
      </c>
      <c r="T100" s="21">
        <v>118.6</v>
      </c>
      <c r="U100" s="21">
        <v>123.2</v>
      </c>
      <c r="V100" s="21">
        <f t="shared" si="9"/>
        <v>365.8</v>
      </c>
      <c r="W100" s="22">
        <v>121.6</v>
      </c>
      <c r="X100" s="21">
        <v>115.1</v>
      </c>
      <c r="Y100" s="21">
        <v>120.4</v>
      </c>
      <c r="Z100" s="22">
        <f t="shared" si="10"/>
        <v>357.1</v>
      </c>
      <c r="AA100" s="21">
        <v>117.1</v>
      </c>
      <c r="AB100" s="21">
        <v>112.9</v>
      </c>
      <c r="AC100" s="21">
        <f t="shared" si="11"/>
        <v>230</v>
      </c>
      <c r="AD100" s="27">
        <v>109.1</v>
      </c>
      <c r="AE100" s="27">
        <v>117.3</v>
      </c>
      <c r="AF100" s="27">
        <v>126.5</v>
      </c>
      <c r="AG100" s="21">
        <f t="shared" si="12"/>
        <v>243.8</v>
      </c>
      <c r="AH100" s="27">
        <v>134.69999999999999</v>
      </c>
      <c r="AI100" s="27">
        <v>116.2</v>
      </c>
      <c r="AJ100" s="21">
        <f t="shared" si="13"/>
        <v>250.89999999999998</v>
      </c>
      <c r="AK100" s="21">
        <v>123.5</v>
      </c>
    </row>
    <row r="101" spans="1:37">
      <c r="A101" s="21" t="s">
        <v>34</v>
      </c>
      <c r="B101" s="26">
        <v>2015</v>
      </c>
      <c r="C101" s="21" t="s">
        <v>42</v>
      </c>
      <c r="D101" s="21" t="str">
        <f t="shared" si="7"/>
        <v>No</v>
      </c>
      <c r="E101" s="27">
        <v>124.6</v>
      </c>
      <c r="F101" s="27">
        <v>130.4</v>
      </c>
      <c r="G101" s="27">
        <v>118.7</v>
      </c>
      <c r="H101" s="27">
        <v>128.9</v>
      </c>
      <c r="I101" s="27">
        <v>111.9</v>
      </c>
      <c r="J101" s="27">
        <v>128.4</v>
      </c>
      <c r="K101" s="27">
        <v>162.19999999999999</v>
      </c>
      <c r="L101" s="27">
        <v>150</v>
      </c>
      <c r="M101" s="27">
        <v>90.4</v>
      </c>
      <c r="N101" s="27">
        <v>128.4</v>
      </c>
      <c r="O101" s="27">
        <v>120.7</v>
      </c>
      <c r="P101" s="27">
        <v>132.5</v>
      </c>
      <c r="Q101" s="27">
        <v>131.19999999999999</v>
      </c>
      <c r="R101" s="21">
        <f t="shared" si="8"/>
        <v>1658.3000000000002</v>
      </c>
      <c r="S101" s="21">
        <v>127.9</v>
      </c>
      <c r="T101" s="21">
        <v>123.4</v>
      </c>
      <c r="U101" s="21">
        <v>127.2</v>
      </c>
      <c r="V101" s="21">
        <f t="shared" si="9"/>
        <v>378.5</v>
      </c>
      <c r="W101" s="22">
        <v>121.6</v>
      </c>
      <c r="X101" s="21">
        <v>120.4</v>
      </c>
      <c r="Y101" s="21">
        <v>122.6</v>
      </c>
      <c r="Z101" s="22">
        <f t="shared" si="10"/>
        <v>364.6</v>
      </c>
      <c r="AA101" s="21">
        <v>119.8</v>
      </c>
      <c r="AB101" s="21">
        <v>113.4</v>
      </c>
      <c r="AC101" s="21">
        <f t="shared" si="11"/>
        <v>233.2</v>
      </c>
      <c r="AD101" s="27">
        <v>111.3</v>
      </c>
      <c r="AE101" s="27">
        <v>118.3</v>
      </c>
      <c r="AF101" s="27">
        <v>125.7</v>
      </c>
      <c r="AG101" s="21">
        <f t="shared" si="12"/>
        <v>244</v>
      </c>
      <c r="AH101" s="27">
        <v>132</v>
      </c>
      <c r="AI101" s="27">
        <v>117.5</v>
      </c>
      <c r="AJ101" s="21">
        <f t="shared" si="13"/>
        <v>249.5</v>
      </c>
      <c r="AK101" s="21">
        <v>125.4</v>
      </c>
    </row>
    <row r="102" spans="1:37">
      <c r="A102" s="21" t="s">
        <v>30</v>
      </c>
      <c r="B102" s="26">
        <v>2015</v>
      </c>
      <c r="C102" s="21" t="s">
        <v>43</v>
      </c>
      <c r="D102" s="21" t="str">
        <f t="shared" si="7"/>
        <v>No</v>
      </c>
      <c r="E102" s="27">
        <v>125.6</v>
      </c>
      <c r="F102" s="27">
        <v>130.4</v>
      </c>
      <c r="G102" s="27">
        <v>120.8</v>
      </c>
      <c r="H102" s="27">
        <v>129.4</v>
      </c>
      <c r="I102" s="27">
        <v>115.8</v>
      </c>
      <c r="J102" s="27">
        <v>133.19999999999999</v>
      </c>
      <c r="K102" s="27">
        <v>157.69999999999999</v>
      </c>
      <c r="L102" s="27">
        <v>154.19999999999999</v>
      </c>
      <c r="M102" s="27">
        <v>93.7</v>
      </c>
      <c r="N102" s="27">
        <v>126.6</v>
      </c>
      <c r="O102" s="27">
        <v>122.3</v>
      </c>
      <c r="P102" s="27">
        <v>133.1</v>
      </c>
      <c r="Q102" s="27">
        <v>131.80000000000001</v>
      </c>
      <c r="R102" s="21">
        <f t="shared" si="8"/>
        <v>1674.6</v>
      </c>
      <c r="S102" s="21">
        <v>131.1</v>
      </c>
      <c r="T102" s="21">
        <v>127.3</v>
      </c>
      <c r="U102" s="21">
        <v>130.6</v>
      </c>
      <c r="V102" s="21">
        <f t="shared" si="9"/>
        <v>389</v>
      </c>
      <c r="W102" s="22">
        <v>139.25</v>
      </c>
      <c r="X102" s="21">
        <v>124.4</v>
      </c>
      <c r="Y102" s="21">
        <v>125.1</v>
      </c>
      <c r="Z102" s="22">
        <f t="shared" si="10"/>
        <v>388.75</v>
      </c>
      <c r="AA102" s="21">
        <v>122</v>
      </c>
      <c r="AB102" s="21">
        <v>114.2</v>
      </c>
      <c r="AC102" s="21">
        <f t="shared" si="11"/>
        <v>236.2</v>
      </c>
      <c r="AD102" s="27">
        <v>113.8</v>
      </c>
      <c r="AE102" s="27">
        <v>120.1</v>
      </c>
      <c r="AF102" s="27">
        <v>125.1</v>
      </c>
      <c r="AG102" s="21">
        <f t="shared" si="12"/>
        <v>245.2</v>
      </c>
      <c r="AH102" s="27">
        <v>131.5</v>
      </c>
      <c r="AI102" s="27">
        <v>119.2</v>
      </c>
      <c r="AJ102" s="21">
        <f t="shared" si="13"/>
        <v>250.7</v>
      </c>
      <c r="AK102" s="21">
        <v>127.7</v>
      </c>
    </row>
    <row r="103" spans="1:37">
      <c r="A103" s="21" t="s">
        <v>33</v>
      </c>
      <c r="B103" s="26">
        <v>2015</v>
      </c>
      <c r="C103" s="21" t="s">
        <v>43</v>
      </c>
      <c r="D103" s="21" t="str">
        <f t="shared" si="7"/>
        <v>No</v>
      </c>
      <c r="E103" s="27">
        <v>123.6</v>
      </c>
      <c r="F103" s="27">
        <v>128.6</v>
      </c>
      <c r="G103" s="27">
        <v>115.9</v>
      </c>
      <c r="H103" s="27">
        <v>128.5</v>
      </c>
      <c r="I103" s="27">
        <v>109</v>
      </c>
      <c r="J103" s="27">
        <v>124.1</v>
      </c>
      <c r="K103" s="27">
        <v>165.8</v>
      </c>
      <c r="L103" s="27">
        <v>187.2</v>
      </c>
      <c r="M103" s="27">
        <v>89.4</v>
      </c>
      <c r="N103" s="27">
        <v>135.80000000000001</v>
      </c>
      <c r="O103" s="27">
        <v>119.4</v>
      </c>
      <c r="P103" s="27">
        <v>132.9</v>
      </c>
      <c r="Q103" s="27">
        <v>132.6</v>
      </c>
      <c r="R103" s="21">
        <f t="shared" si="8"/>
        <v>1692.8000000000002</v>
      </c>
      <c r="S103" s="21">
        <v>124.4</v>
      </c>
      <c r="T103" s="21">
        <v>118.8</v>
      </c>
      <c r="U103" s="21">
        <v>123.6</v>
      </c>
      <c r="V103" s="21">
        <f t="shared" si="9"/>
        <v>366.79999999999995</v>
      </c>
      <c r="W103" s="22">
        <v>122.4</v>
      </c>
      <c r="X103" s="21">
        <v>114.9</v>
      </c>
      <c r="Y103" s="21">
        <v>120.7</v>
      </c>
      <c r="Z103" s="22">
        <f t="shared" si="10"/>
        <v>358</v>
      </c>
      <c r="AA103" s="21">
        <v>117.7</v>
      </c>
      <c r="AB103" s="21">
        <v>113.5</v>
      </c>
      <c r="AC103" s="21">
        <f t="shared" si="11"/>
        <v>231.2</v>
      </c>
      <c r="AD103" s="27">
        <v>109.3</v>
      </c>
      <c r="AE103" s="27">
        <v>117.7</v>
      </c>
      <c r="AF103" s="27">
        <v>126.5</v>
      </c>
      <c r="AG103" s="21">
        <f t="shared" si="12"/>
        <v>244.2</v>
      </c>
      <c r="AH103" s="27">
        <v>135.30000000000001</v>
      </c>
      <c r="AI103" s="27">
        <v>116.5</v>
      </c>
      <c r="AJ103" s="21">
        <f t="shared" si="13"/>
        <v>251.8</v>
      </c>
      <c r="AK103" s="21">
        <v>124.2</v>
      </c>
    </row>
    <row r="104" spans="1:37">
      <c r="A104" s="21" t="s">
        <v>34</v>
      </c>
      <c r="B104" s="26">
        <v>2015</v>
      </c>
      <c r="C104" s="21" t="s">
        <v>43</v>
      </c>
      <c r="D104" s="21" t="str">
        <f t="shared" si="7"/>
        <v>No</v>
      </c>
      <c r="E104" s="27">
        <v>125</v>
      </c>
      <c r="F104" s="27">
        <v>129.80000000000001</v>
      </c>
      <c r="G104" s="27">
        <v>118.9</v>
      </c>
      <c r="H104" s="27">
        <v>129.1</v>
      </c>
      <c r="I104" s="27">
        <v>113.3</v>
      </c>
      <c r="J104" s="27">
        <v>129</v>
      </c>
      <c r="K104" s="27">
        <v>160.4</v>
      </c>
      <c r="L104" s="27">
        <v>165.3</v>
      </c>
      <c r="M104" s="27">
        <v>92.3</v>
      </c>
      <c r="N104" s="27">
        <v>129.69999999999999</v>
      </c>
      <c r="O104" s="27">
        <v>121.1</v>
      </c>
      <c r="P104" s="27">
        <v>133</v>
      </c>
      <c r="Q104" s="27">
        <v>132.1</v>
      </c>
      <c r="R104" s="21">
        <f t="shared" si="8"/>
        <v>1678.9999999999998</v>
      </c>
      <c r="S104" s="21">
        <v>128.5</v>
      </c>
      <c r="T104" s="21">
        <v>123.8</v>
      </c>
      <c r="U104" s="21">
        <v>127.8</v>
      </c>
      <c r="V104" s="21">
        <f t="shared" si="9"/>
        <v>380.1</v>
      </c>
      <c r="W104" s="22">
        <v>122.4</v>
      </c>
      <c r="X104" s="21">
        <v>120.8</v>
      </c>
      <c r="Y104" s="21">
        <v>123</v>
      </c>
      <c r="Z104" s="22">
        <f t="shared" si="10"/>
        <v>366.2</v>
      </c>
      <c r="AA104" s="21">
        <v>120.4</v>
      </c>
      <c r="AB104" s="21">
        <v>113.9</v>
      </c>
      <c r="AC104" s="21">
        <f t="shared" si="11"/>
        <v>234.3</v>
      </c>
      <c r="AD104" s="27">
        <v>111.4</v>
      </c>
      <c r="AE104" s="27">
        <v>118.7</v>
      </c>
      <c r="AF104" s="27">
        <v>125.9</v>
      </c>
      <c r="AG104" s="21">
        <f t="shared" si="12"/>
        <v>244.60000000000002</v>
      </c>
      <c r="AH104" s="27">
        <v>132.5</v>
      </c>
      <c r="AI104" s="27">
        <v>117.9</v>
      </c>
      <c r="AJ104" s="21">
        <f t="shared" si="13"/>
        <v>250.4</v>
      </c>
      <c r="AK104" s="21">
        <v>126.1</v>
      </c>
    </row>
    <row r="105" spans="1:37">
      <c r="A105" s="21" t="s">
        <v>30</v>
      </c>
      <c r="B105" s="26">
        <v>2015</v>
      </c>
      <c r="C105" s="21" t="s">
        <v>45</v>
      </c>
      <c r="D105" s="21" t="str">
        <f t="shared" si="7"/>
        <v>No</v>
      </c>
      <c r="E105" s="27">
        <v>126.1</v>
      </c>
      <c r="F105" s="27">
        <v>130.6</v>
      </c>
      <c r="G105" s="27">
        <v>121.7</v>
      </c>
      <c r="H105" s="27">
        <v>129.5</v>
      </c>
      <c r="I105" s="27">
        <v>117.8</v>
      </c>
      <c r="J105" s="27">
        <v>132.1</v>
      </c>
      <c r="K105" s="27">
        <v>155.19999999999999</v>
      </c>
      <c r="L105" s="27">
        <v>160.80000000000001</v>
      </c>
      <c r="M105" s="27">
        <v>94.5</v>
      </c>
      <c r="N105" s="27">
        <v>128.30000000000001</v>
      </c>
      <c r="O105" s="27">
        <v>123.1</v>
      </c>
      <c r="P105" s="27">
        <v>134.19999999999999</v>
      </c>
      <c r="Q105" s="27">
        <v>132.4</v>
      </c>
      <c r="R105" s="21">
        <f t="shared" si="8"/>
        <v>1686.3</v>
      </c>
      <c r="S105" s="21">
        <v>132.1</v>
      </c>
      <c r="T105" s="21">
        <v>128.19999999999999</v>
      </c>
      <c r="U105" s="21">
        <v>131.5</v>
      </c>
      <c r="V105" s="21">
        <f t="shared" si="9"/>
        <v>391.79999999999995</v>
      </c>
      <c r="W105" s="22">
        <v>139.25</v>
      </c>
      <c r="X105" s="21">
        <v>125.6</v>
      </c>
      <c r="Y105" s="21">
        <v>125.6</v>
      </c>
      <c r="Z105" s="22">
        <f t="shared" si="10"/>
        <v>390.45000000000005</v>
      </c>
      <c r="AA105" s="21">
        <v>122.6</v>
      </c>
      <c r="AB105" s="21">
        <v>114.2</v>
      </c>
      <c r="AC105" s="21">
        <f t="shared" si="11"/>
        <v>236.8</v>
      </c>
      <c r="AD105" s="27">
        <v>114</v>
      </c>
      <c r="AE105" s="27">
        <v>120.9</v>
      </c>
      <c r="AF105" s="27">
        <v>125.8</v>
      </c>
      <c r="AG105" s="21">
        <f t="shared" si="12"/>
        <v>246.7</v>
      </c>
      <c r="AH105" s="27">
        <v>132.19999999999999</v>
      </c>
      <c r="AI105" s="27">
        <v>119.6</v>
      </c>
      <c r="AJ105" s="21">
        <f t="shared" si="13"/>
        <v>251.79999999999998</v>
      </c>
      <c r="AK105" s="21">
        <v>128.30000000000001</v>
      </c>
    </row>
    <row r="106" spans="1:37">
      <c r="A106" s="21" t="s">
        <v>33</v>
      </c>
      <c r="B106" s="26">
        <v>2015</v>
      </c>
      <c r="C106" s="21" t="s">
        <v>45</v>
      </c>
      <c r="D106" s="21" t="str">
        <f t="shared" si="7"/>
        <v>No</v>
      </c>
      <c r="E106" s="27">
        <v>124</v>
      </c>
      <c r="F106" s="27">
        <v>129.80000000000001</v>
      </c>
      <c r="G106" s="27">
        <v>121.5</v>
      </c>
      <c r="H106" s="27">
        <v>128.6</v>
      </c>
      <c r="I106" s="27">
        <v>110</v>
      </c>
      <c r="J106" s="27">
        <v>123.7</v>
      </c>
      <c r="K106" s="27">
        <v>164.6</v>
      </c>
      <c r="L106" s="27">
        <v>191.6</v>
      </c>
      <c r="M106" s="27">
        <v>90.8</v>
      </c>
      <c r="N106" s="27">
        <v>137.1</v>
      </c>
      <c r="O106" s="27">
        <v>119.8</v>
      </c>
      <c r="P106" s="27">
        <v>133.69999999999999</v>
      </c>
      <c r="Q106" s="27">
        <v>133.30000000000001</v>
      </c>
      <c r="R106" s="21">
        <f t="shared" si="8"/>
        <v>1708.4999999999998</v>
      </c>
      <c r="S106" s="21">
        <v>125</v>
      </c>
      <c r="T106" s="21">
        <v>119.3</v>
      </c>
      <c r="U106" s="21">
        <v>124.2</v>
      </c>
      <c r="V106" s="21">
        <f t="shared" si="9"/>
        <v>368.5</v>
      </c>
      <c r="W106" s="22">
        <v>122.9</v>
      </c>
      <c r="X106" s="21">
        <v>115.1</v>
      </c>
      <c r="Y106" s="21">
        <v>121</v>
      </c>
      <c r="Z106" s="22">
        <f t="shared" si="10"/>
        <v>359</v>
      </c>
      <c r="AA106" s="21">
        <v>118.1</v>
      </c>
      <c r="AB106" s="21">
        <v>113.3</v>
      </c>
      <c r="AC106" s="21">
        <f t="shared" si="11"/>
        <v>231.39999999999998</v>
      </c>
      <c r="AD106" s="27">
        <v>109.3</v>
      </c>
      <c r="AE106" s="27">
        <v>117.9</v>
      </c>
      <c r="AF106" s="27">
        <v>126.6</v>
      </c>
      <c r="AG106" s="21">
        <f t="shared" si="12"/>
        <v>244.5</v>
      </c>
      <c r="AH106" s="27">
        <v>137.6</v>
      </c>
      <c r="AI106" s="27">
        <v>116.6</v>
      </c>
      <c r="AJ106" s="21">
        <f t="shared" si="13"/>
        <v>254.2</v>
      </c>
      <c r="AK106" s="21">
        <v>124.6</v>
      </c>
    </row>
    <row r="107" spans="1:37">
      <c r="A107" s="21" t="s">
        <v>34</v>
      </c>
      <c r="B107" s="26">
        <v>2015</v>
      </c>
      <c r="C107" s="21" t="s">
        <v>45</v>
      </c>
      <c r="D107" s="21" t="str">
        <f t="shared" si="7"/>
        <v>No</v>
      </c>
      <c r="E107" s="27">
        <v>125.4</v>
      </c>
      <c r="F107" s="27">
        <v>130.30000000000001</v>
      </c>
      <c r="G107" s="27">
        <v>121.6</v>
      </c>
      <c r="H107" s="27">
        <v>129.19999999999999</v>
      </c>
      <c r="I107" s="27">
        <v>114.9</v>
      </c>
      <c r="J107" s="27">
        <v>128.19999999999999</v>
      </c>
      <c r="K107" s="27">
        <v>158.4</v>
      </c>
      <c r="L107" s="27">
        <v>171.2</v>
      </c>
      <c r="M107" s="27">
        <v>93.3</v>
      </c>
      <c r="N107" s="27">
        <v>131.19999999999999</v>
      </c>
      <c r="O107" s="27">
        <v>121.7</v>
      </c>
      <c r="P107" s="27">
        <v>134</v>
      </c>
      <c r="Q107" s="27">
        <v>132.69999999999999</v>
      </c>
      <c r="R107" s="21">
        <f t="shared" si="8"/>
        <v>1692.1</v>
      </c>
      <c r="S107" s="21">
        <v>129.30000000000001</v>
      </c>
      <c r="T107" s="21">
        <v>124.5</v>
      </c>
      <c r="U107" s="21">
        <v>128.6</v>
      </c>
      <c r="V107" s="21">
        <f t="shared" si="9"/>
        <v>382.4</v>
      </c>
      <c r="W107" s="22">
        <v>122.9</v>
      </c>
      <c r="X107" s="21">
        <v>121.6</v>
      </c>
      <c r="Y107" s="21">
        <v>123.4</v>
      </c>
      <c r="Z107" s="22">
        <f t="shared" si="10"/>
        <v>367.9</v>
      </c>
      <c r="AA107" s="21">
        <v>120.9</v>
      </c>
      <c r="AB107" s="21">
        <v>113.8</v>
      </c>
      <c r="AC107" s="21">
        <f t="shared" si="11"/>
        <v>234.7</v>
      </c>
      <c r="AD107" s="27">
        <v>111.5</v>
      </c>
      <c r="AE107" s="27">
        <v>119.2</v>
      </c>
      <c r="AF107" s="27">
        <v>126.3</v>
      </c>
      <c r="AG107" s="21">
        <f t="shared" si="12"/>
        <v>245.5</v>
      </c>
      <c r="AH107" s="27">
        <v>133.6</v>
      </c>
      <c r="AI107" s="27">
        <v>118.1</v>
      </c>
      <c r="AJ107" s="21">
        <f t="shared" si="13"/>
        <v>251.7</v>
      </c>
      <c r="AK107" s="21">
        <v>126.6</v>
      </c>
    </row>
    <row r="108" spans="1:37">
      <c r="A108" s="21" t="s">
        <v>30</v>
      </c>
      <c r="B108" s="26">
        <v>2015</v>
      </c>
      <c r="C108" s="21" t="s">
        <v>46</v>
      </c>
      <c r="D108" s="21" t="str">
        <f t="shared" si="7"/>
        <v>No</v>
      </c>
      <c r="E108" s="27">
        <v>126.3</v>
      </c>
      <c r="F108" s="27">
        <v>131.30000000000001</v>
      </c>
      <c r="G108" s="27">
        <v>123.3</v>
      </c>
      <c r="H108" s="27">
        <v>129.80000000000001</v>
      </c>
      <c r="I108" s="27">
        <v>118.3</v>
      </c>
      <c r="J108" s="27">
        <v>131.6</v>
      </c>
      <c r="K108" s="27">
        <v>145.5</v>
      </c>
      <c r="L108" s="27">
        <v>162.1</v>
      </c>
      <c r="M108" s="27">
        <v>95.4</v>
      </c>
      <c r="N108" s="27">
        <v>128.9</v>
      </c>
      <c r="O108" s="27">
        <v>123.3</v>
      </c>
      <c r="P108" s="27">
        <v>135.1</v>
      </c>
      <c r="Q108" s="27">
        <v>131.4</v>
      </c>
      <c r="R108" s="21">
        <f t="shared" si="8"/>
        <v>1682.3000000000002</v>
      </c>
      <c r="S108" s="21">
        <v>132.5</v>
      </c>
      <c r="T108" s="21">
        <v>128.5</v>
      </c>
      <c r="U108" s="21">
        <v>131.9</v>
      </c>
      <c r="V108" s="21">
        <f t="shared" si="9"/>
        <v>392.9</v>
      </c>
      <c r="W108" s="22">
        <v>139.25</v>
      </c>
      <c r="X108" s="21">
        <v>125.7</v>
      </c>
      <c r="Y108" s="21">
        <v>126</v>
      </c>
      <c r="Z108" s="22">
        <f t="shared" si="10"/>
        <v>390.95</v>
      </c>
      <c r="AA108" s="21">
        <v>123.1</v>
      </c>
      <c r="AB108" s="21">
        <v>114.1</v>
      </c>
      <c r="AC108" s="21">
        <f t="shared" si="11"/>
        <v>237.2</v>
      </c>
      <c r="AD108" s="27">
        <v>114</v>
      </c>
      <c r="AE108" s="27">
        <v>121.6</v>
      </c>
      <c r="AF108" s="27">
        <v>125.6</v>
      </c>
      <c r="AG108" s="21">
        <f t="shared" si="12"/>
        <v>247.2</v>
      </c>
      <c r="AH108" s="27">
        <v>133.1</v>
      </c>
      <c r="AI108" s="27">
        <v>119.8</v>
      </c>
      <c r="AJ108" s="21">
        <f t="shared" si="13"/>
        <v>252.89999999999998</v>
      </c>
      <c r="AK108" s="21">
        <v>127.9</v>
      </c>
    </row>
    <row r="109" spans="1:37">
      <c r="A109" s="21" t="s">
        <v>33</v>
      </c>
      <c r="B109" s="26">
        <v>2015</v>
      </c>
      <c r="C109" s="21" t="s">
        <v>46</v>
      </c>
      <c r="D109" s="21" t="str">
        <f t="shared" si="7"/>
        <v>No</v>
      </c>
      <c r="E109" s="27">
        <v>124.3</v>
      </c>
      <c r="F109" s="27">
        <v>131.69999999999999</v>
      </c>
      <c r="G109" s="27">
        <v>127.1</v>
      </c>
      <c r="H109" s="27">
        <v>128.6</v>
      </c>
      <c r="I109" s="27">
        <v>110</v>
      </c>
      <c r="J109" s="27">
        <v>120.8</v>
      </c>
      <c r="K109" s="27">
        <v>149</v>
      </c>
      <c r="L109" s="27">
        <v>190.1</v>
      </c>
      <c r="M109" s="27">
        <v>92.7</v>
      </c>
      <c r="N109" s="27">
        <v>138.6</v>
      </c>
      <c r="O109" s="27">
        <v>120.2</v>
      </c>
      <c r="P109" s="27">
        <v>134.19999999999999</v>
      </c>
      <c r="Q109" s="27">
        <v>131.5</v>
      </c>
      <c r="R109" s="21">
        <f t="shared" si="8"/>
        <v>1698.8</v>
      </c>
      <c r="S109" s="21">
        <v>125.4</v>
      </c>
      <c r="T109" s="21">
        <v>119.5</v>
      </c>
      <c r="U109" s="21">
        <v>124.5</v>
      </c>
      <c r="V109" s="21">
        <f t="shared" si="9"/>
        <v>369.4</v>
      </c>
      <c r="W109" s="22">
        <v>122.4</v>
      </c>
      <c r="X109" s="21">
        <v>116</v>
      </c>
      <c r="Y109" s="21">
        <v>121</v>
      </c>
      <c r="Z109" s="22">
        <f t="shared" si="10"/>
        <v>359.4</v>
      </c>
      <c r="AA109" s="21">
        <v>118.6</v>
      </c>
      <c r="AB109" s="21">
        <v>113.2</v>
      </c>
      <c r="AC109" s="21">
        <f t="shared" si="11"/>
        <v>231.8</v>
      </c>
      <c r="AD109" s="27">
        <v>109.3</v>
      </c>
      <c r="AE109" s="27">
        <v>118.1</v>
      </c>
      <c r="AF109" s="27">
        <v>126.6</v>
      </c>
      <c r="AG109" s="21">
        <f t="shared" si="12"/>
        <v>244.7</v>
      </c>
      <c r="AH109" s="27">
        <v>138.19999999999999</v>
      </c>
      <c r="AI109" s="27">
        <v>116.7</v>
      </c>
      <c r="AJ109" s="21">
        <f t="shared" si="13"/>
        <v>254.89999999999998</v>
      </c>
      <c r="AK109" s="21">
        <v>124</v>
      </c>
    </row>
    <row r="110" spans="1:37">
      <c r="A110" s="21" t="s">
        <v>34</v>
      </c>
      <c r="B110" s="26">
        <v>2015</v>
      </c>
      <c r="C110" s="21" t="s">
        <v>46</v>
      </c>
      <c r="D110" s="21" t="str">
        <f t="shared" si="7"/>
        <v>No</v>
      </c>
      <c r="E110" s="27">
        <v>125.7</v>
      </c>
      <c r="F110" s="27">
        <v>131.4</v>
      </c>
      <c r="G110" s="27">
        <v>124.8</v>
      </c>
      <c r="H110" s="27">
        <v>129.4</v>
      </c>
      <c r="I110" s="27">
        <v>115.3</v>
      </c>
      <c r="J110" s="27">
        <v>126.6</v>
      </c>
      <c r="K110" s="27">
        <v>146.69999999999999</v>
      </c>
      <c r="L110" s="27">
        <v>171.5</v>
      </c>
      <c r="M110" s="27">
        <v>94.5</v>
      </c>
      <c r="N110" s="27">
        <v>132.1</v>
      </c>
      <c r="O110" s="27">
        <v>122</v>
      </c>
      <c r="P110" s="27">
        <v>134.69999999999999</v>
      </c>
      <c r="Q110" s="27">
        <v>131.4</v>
      </c>
      <c r="R110" s="21">
        <f t="shared" si="8"/>
        <v>1686.1000000000001</v>
      </c>
      <c r="S110" s="21">
        <v>129.69999999999999</v>
      </c>
      <c r="T110" s="21">
        <v>124.8</v>
      </c>
      <c r="U110" s="21">
        <v>129</v>
      </c>
      <c r="V110" s="21">
        <f t="shared" si="9"/>
        <v>383.5</v>
      </c>
      <c r="W110" s="22">
        <v>122.4</v>
      </c>
      <c r="X110" s="21">
        <v>122</v>
      </c>
      <c r="Y110" s="21">
        <v>123.6</v>
      </c>
      <c r="Z110" s="22">
        <f t="shared" si="10"/>
        <v>368</v>
      </c>
      <c r="AA110" s="21">
        <v>121.4</v>
      </c>
      <c r="AB110" s="21">
        <v>113.7</v>
      </c>
      <c r="AC110" s="21">
        <f t="shared" si="11"/>
        <v>235.10000000000002</v>
      </c>
      <c r="AD110" s="27">
        <v>111.5</v>
      </c>
      <c r="AE110" s="27">
        <v>119.6</v>
      </c>
      <c r="AF110" s="27">
        <v>126.2</v>
      </c>
      <c r="AG110" s="21">
        <f t="shared" si="12"/>
        <v>245.8</v>
      </c>
      <c r="AH110" s="27">
        <v>134.5</v>
      </c>
      <c r="AI110" s="27">
        <v>118.3</v>
      </c>
      <c r="AJ110" s="21">
        <f t="shared" si="13"/>
        <v>252.8</v>
      </c>
      <c r="AK110" s="21">
        <v>126.1</v>
      </c>
    </row>
    <row r="111" spans="1:37">
      <c r="A111" s="21" t="s">
        <v>30</v>
      </c>
      <c r="B111" s="26">
        <v>2016</v>
      </c>
      <c r="C111" s="21" t="s">
        <v>31</v>
      </c>
      <c r="D111" s="21" t="str">
        <f t="shared" si="7"/>
        <v>No</v>
      </c>
      <c r="E111" s="27">
        <v>126.8</v>
      </c>
      <c r="F111" s="27">
        <v>133.19999999999999</v>
      </c>
      <c r="G111" s="27">
        <v>126.5</v>
      </c>
      <c r="H111" s="27">
        <v>130.30000000000001</v>
      </c>
      <c r="I111" s="27">
        <v>118.9</v>
      </c>
      <c r="J111" s="27">
        <v>131.6</v>
      </c>
      <c r="K111" s="27">
        <v>140.1</v>
      </c>
      <c r="L111" s="27">
        <v>163.80000000000001</v>
      </c>
      <c r="M111" s="27">
        <v>97.7</v>
      </c>
      <c r="N111" s="27">
        <v>129.6</v>
      </c>
      <c r="O111" s="27">
        <v>124.3</v>
      </c>
      <c r="P111" s="27">
        <v>135.9</v>
      </c>
      <c r="Q111" s="27">
        <v>131.4</v>
      </c>
      <c r="R111" s="21">
        <f t="shared" si="8"/>
        <v>1690.1000000000001</v>
      </c>
      <c r="S111" s="21">
        <v>133.19999999999999</v>
      </c>
      <c r="T111" s="21">
        <v>128.9</v>
      </c>
      <c r="U111" s="21">
        <v>132.6</v>
      </c>
      <c r="V111" s="21">
        <f t="shared" si="9"/>
        <v>394.70000000000005</v>
      </c>
      <c r="W111" s="22">
        <v>139.25</v>
      </c>
      <c r="X111" s="21">
        <v>126.2</v>
      </c>
      <c r="Y111" s="21">
        <v>126.6</v>
      </c>
      <c r="Z111" s="22">
        <f t="shared" si="10"/>
        <v>392.04999999999995</v>
      </c>
      <c r="AA111" s="21">
        <v>123.7</v>
      </c>
      <c r="AB111" s="21">
        <v>114.9</v>
      </c>
      <c r="AC111" s="21">
        <f t="shared" si="11"/>
        <v>238.60000000000002</v>
      </c>
      <c r="AD111" s="27">
        <v>113.6</v>
      </c>
      <c r="AE111" s="27">
        <v>121.4</v>
      </c>
      <c r="AF111" s="27">
        <v>126.2</v>
      </c>
      <c r="AG111" s="21">
        <f t="shared" si="12"/>
        <v>247.60000000000002</v>
      </c>
      <c r="AH111" s="27">
        <v>133.6</v>
      </c>
      <c r="AI111" s="27">
        <v>120.1</v>
      </c>
      <c r="AJ111" s="21">
        <f t="shared" si="13"/>
        <v>253.7</v>
      </c>
      <c r="AK111" s="21">
        <v>128.1</v>
      </c>
    </row>
    <row r="112" spans="1:37">
      <c r="A112" s="21" t="s">
        <v>33</v>
      </c>
      <c r="B112" s="26">
        <v>2016</v>
      </c>
      <c r="C112" s="21" t="s">
        <v>31</v>
      </c>
      <c r="D112" s="21" t="str">
        <f t="shared" si="7"/>
        <v>No</v>
      </c>
      <c r="E112" s="27">
        <v>124.7</v>
      </c>
      <c r="F112" s="27">
        <v>135.9</v>
      </c>
      <c r="G112" s="27">
        <v>132</v>
      </c>
      <c r="H112" s="27">
        <v>129.19999999999999</v>
      </c>
      <c r="I112" s="27">
        <v>109.7</v>
      </c>
      <c r="J112" s="27">
        <v>119</v>
      </c>
      <c r="K112" s="27">
        <v>144.1</v>
      </c>
      <c r="L112" s="27">
        <v>184.2</v>
      </c>
      <c r="M112" s="27">
        <v>96.7</v>
      </c>
      <c r="N112" s="27">
        <v>139.5</v>
      </c>
      <c r="O112" s="27">
        <v>120.5</v>
      </c>
      <c r="P112" s="27">
        <v>134.69999999999999</v>
      </c>
      <c r="Q112" s="27">
        <v>131.19999999999999</v>
      </c>
      <c r="R112" s="21">
        <f t="shared" si="8"/>
        <v>1701.4</v>
      </c>
      <c r="S112" s="21">
        <v>125.8</v>
      </c>
      <c r="T112" s="21">
        <v>119.8</v>
      </c>
      <c r="U112" s="21">
        <v>124.9</v>
      </c>
      <c r="V112" s="21">
        <f t="shared" si="9"/>
        <v>370.5</v>
      </c>
      <c r="W112" s="22">
        <v>123.4</v>
      </c>
      <c r="X112" s="21">
        <v>116.9</v>
      </c>
      <c r="Y112" s="21">
        <v>121.6</v>
      </c>
      <c r="Z112" s="22">
        <f t="shared" si="10"/>
        <v>361.9</v>
      </c>
      <c r="AA112" s="21">
        <v>119.1</v>
      </c>
      <c r="AB112" s="21">
        <v>114</v>
      </c>
      <c r="AC112" s="21">
        <f t="shared" si="11"/>
        <v>233.1</v>
      </c>
      <c r="AD112" s="27">
        <v>108.9</v>
      </c>
      <c r="AE112" s="27">
        <v>118.5</v>
      </c>
      <c r="AF112" s="27">
        <v>126.4</v>
      </c>
      <c r="AG112" s="21">
        <f t="shared" si="12"/>
        <v>244.9</v>
      </c>
      <c r="AH112" s="27">
        <v>139.5</v>
      </c>
      <c r="AI112" s="27">
        <v>116.8</v>
      </c>
      <c r="AJ112" s="21">
        <f t="shared" si="13"/>
        <v>256.3</v>
      </c>
      <c r="AK112" s="21">
        <v>124.2</v>
      </c>
    </row>
    <row r="113" spans="1:37">
      <c r="A113" s="21" t="s">
        <v>34</v>
      </c>
      <c r="B113" s="26">
        <v>2016</v>
      </c>
      <c r="C113" s="21" t="s">
        <v>31</v>
      </c>
      <c r="D113" s="21" t="str">
        <f t="shared" si="7"/>
        <v>No</v>
      </c>
      <c r="E113" s="27">
        <v>126.1</v>
      </c>
      <c r="F113" s="27">
        <v>134.1</v>
      </c>
      <c r="G113" s="27">
        <v>128.6</v>
      </c>
      <c r="H113" s="27">
        <v>129.9</v>
      </c>
      <c r="I113" s="27">
        <v>115.5</v>
      </c>
      <c r="J113" s="27">
        <v>125.7</v>
      </c>
      <c r="K113" s="27">
        <v>141.5</v>
      </c>
      <c r="L113" s="27">
        <v>170.7</v>
      </c>
      <c r="M113" s="27">
        <v>97.4</v>
      </c>
      <c r="N113" s="27">
        <v>132.9</v>
      </c>
      <c r="O113" s="27">
        <v>122.7</v>
      </c>
      <c r="P113" s="27">
        <v>135.30000000000001</v>
      </c>
      <c r="Q113" s="27">
        <v>131.30000000000001</v>
      </c>
      <c r="R113" s="21">
        <f t="shared" si="8"/>
        <v>1691.7</v>
      </c>
      <c r="S113" s="21">
        <v>130.30000000000001</v>
      </c>
      <c r="T113" s="21">
        <v>125.1</v>
      </c>
      <c r="U113" s="21">
        <v>129.5</v>
      </c>
      <c r="V113" s="21">
        <f t="shared" si="9"/>
        <v>384.9</v>
      </c>
      <c r="W113" s="22">
        <v>123.4</v>
      </c>
      <c r="X113" s="21">
        <v>122.7</v>
      </c>
      <c r="Y113" s="21">
        <v>124.2</v>
      </c>
      <c r="Z113" s="22">
        <f t="shared" si="10"/>
        <v>370.3</v>
      </c>
      <c r="AA113" s="21">
        <v>122</v>
      </c>
      <c r="AB113" s="21">
        <v>114.5</v>
      </c>
      <c r="AC113" s="21">
        <f t="shared" si="11"/>
        <v>236.5</v>
      </c>
      <c r="AD113" s="27">
        <v>111.1</v>
      </c>
      <c r="AE113" s="27">
        <v>119.8</v>
      </c>
      <c r="AF113" s="27">
        <v>126.3</v>
      </c>
      <c r="AG113" s="21">
        <f t="shared" si="12"/>
        <v>246.1</v>
      </c>
      <c r="AH113" s="27">
        <v>135.19999999999999</v>
      </c>
      <c r="AI113" s="27">
        <v>118.5</v>
      </c>
      <c r="AJ113" s="21">
        <f t="shared" si="13"/>
        <v>253.7</v>
      </c>
      <c r="AK113" s="21">
        <v>126.3</v>
      </c>
    </row>
    <row r="114" spans="1:37">
      <c r="A114" s="21" t="s">
        <v>30</v>
      </c>
      <c r="B114" s="26">
        <v>2016</v>
      </c>
      <c r="C114" s="21" t="s">
        <v>35</v>
      </c>
      <c r="D114" s="21" t="str">
        <f t="shared" si="7"/>
        <v>No</v>
      </c>
      <c r="E114" s="27">
        <v>127.1</v>
      </c>
      <c r="F114" s="27">
        <v>133.69999999999999</v>
      </c>
      <c r="G114" s="27">
        <v>127.7</v>
      </c>
      <c r="H114" s="27">
        <v>130.69999999999999</v>
      </c>
      <c r="I114" s="27">
        <v>118.5</v>
      </c>
      <c r="J114" s="27">
        <v>130.4</v>
      </c>
      <c r="K114" s="27">
        <v>130.9</v>
      </c>
      <c r="L114" s="27">
        <v>162.80000000000001</v>
      </c>
      <c r="M114" s="27">
        <v>98.7</v>
      </c>
      <c r="N114" s="27">
        <v>130.6</v>
      </c>
      <c r="O114" s="27">
        <v>124.8</v>
      </c>
      <c r="P114" s="27">
        <v>136.4</v>
      </c>
      <c r="Q114" s="27">
        <v>130.30000000000001</v>
      </c>
      <c r="R114" s="21">
        <f t="shared" si="8"/>
        <v>1682.6</v>
      </c>
      <c r="S114" s="21">
        <v>133.9</v>
      </c>
      <c r="T114" s="21">
        <v>129.80000000000001</v>
      </c>
      <c r="U114" s="21">
        <v>133.4</v>
      </c>
      <c r="V114" s="21">
        <f t="shared" si="9"/>
        <v>397.1</v>
      </c>
      <c r="W114" s="22">
        <v>139.25</v>
      </c>
      <c r="X114" s="21">
        <v>127.5</v>
      </c>
      <c r="Y114" s="21">
        <v>127.1</v>
      </c>
      <c r="Z114" s="22">
        <f t="shared" si="10"/>
        <v>393.85</v>
      </c>
      <c r="AA114" s="21">
        <v>124.3</v>
      </c>
      <c r="AB114" s="21">
        <v>116.8</v>
      </c>
      <c r="AC114" s="21">
        <f t="shared" si="11"/>
        <v>241.1</v>
      </c>
      <c r="AD114" s="27">
        <v>113.9</v>
      </c>
      <c r="AE114" s="27">
        <v>122.3</v>
      </c>
      <c r="AF114" s="27">
        <v>127.1</v>
      </c>
      <c r="AG114" s="21">
        <f t="shared" si="12"/>
        <v>249.39999999999998</v>
      </c>
      <c r="AH114" s="27">
        <v>134.4</v>
      </c>
      <c r="AI114" s="27">
        <v>120.9</v>
      </c>
      <c r="AJ114" s="21">
        <f t="shared" si="13"/>
        <v>255.3</v>
      </c>
      <c r="AK114" s="21">
        <v>127.9</v>
      </c>
    </row>
    <row r="115" spans="1:37">
      <c r="A115" s="21" t="s">
        <v>33</v>
      </c>
      <c r="B115" s="26">
        <v>2016</v>
      </c>
      <c r="C115" s="21" t="s">
        <v>35</v>
      </c>
      <c r="D115" s="21" t="str">
        <f t="shared" si="7"/>
        <v>No</v>
      </c>
      <c r="E115" s="27">
        <v>124.8</v>
      </c>
      <c r="F115" s="27">
        <v>135.1</v>
      </c>
      <c r="G115" s="27">
        <v>130.30000000000001</v>
      </c>
      <c r="H115" s="27">
        <v>129.6</v>
      </c>
      <c r="I115" s="27">
        <v>108.4</v>
      </c>
      <c r="J115" s="27">
        <v>118.6</v>
      </c>
      <c r="K115" s="27">
        <v>129.19999999999999</v>
      </c>
      <c r="L115" s="27">
        <v>176.4</v>
      </c>
      <c r="M115" s="27">
        <v>99.1</v>
      </c>
      <c r="N115" s="27">
        <v>139.69999999999999</v>
      </c>
      <c r="O115" s="27">
        <v>120.6</v>
      </c>
      <c r="P115" s="27">
        <v>135.19999999999999</v>
      </c>
      <c r="Q115" s="27">
        <v>129.1</v>
      </c>
      <c r="R115" s="21">
        <f t="shared" si="8"/>
        <v>1676.1</v>
      </c>
      <c r="S115" s="21">
        <v>126.2</v>
      </c>
      <c r="T115" s="21">
        <v>120.1</v>
      </c>
      <c r="U115" s="21">
        <v>125.3</v>
      </c>
      <c r="V115" s="21">
        <f t="shared" si="9"/>
        <v>371.6</v>
      </c>
      <c r="W115" s="22">
        <v>124.4</v>
      </c>
      <c r="X115" s="21">
        <v>116</v>
      </c>
      <c r="Y115" s="21">
        <v>121.8</v>
      </c>
      <c r="Z115" s="22">
        <f t="shared" si="10"/>
        <v>362.2</v>
      </c>
      <c r="AA115" s="21">
        <v>119.5</v>
      </c>
      <c r="AB115" s="21">
        <v>116.2</v>
      </c>
      <c r="AC115" s="21">
        <f t="shared" si="11"/>
        <v>235.7</v>
      </c>
      <c r="AD115" s="27">
        <v>109.1</v>
      </c>
      <c r="AE115" s="27">
        <v>118.8</v>
      </c>
      <c r="AF115" s="27">
        <v>126.3</v>
      </c>
      <c r="AG115" s="21">
        <f t="shared" si="12"/>
        <v>245.1</v>
      </c>
      <c r="AH115" s="27">
        <v>140</v>
      </c>
      <c r="AI115" s="27">
        <v>117.2</v>
      </c>
      <c r="AJ115" s="21">
        <f t="shared" si="13"/>
        <v>257.2</v>
      </c>
      <c r="AK115" s="21">
        <v>123.8</v>
      </c>
    </row>
    <row r="116" spans="1:37">
      <c r="A116" s="21" t="s">
        <v>34</v>
      </c>
      <c r="B116" s="26">
        <v>2016</v>
      </c>
      <c r="C116" s="21" t="s">
        <v>35</v>
      </c>
      <c r="D116" s="21" t="str">
        <f t="shared" si="7"/>
        <v>No</v>
      </c>
      <c r="E116" s="27">
        <v>126.4</v>
      </c>
      <c r="F116" s="27">
        <v>134.19999999999999</v>
      </c>
      <c r="G116" s="27">
        <v>128.69999999999999</v>
      </c>
      <c r="H116" s="27">
        <v>130.30000000000001</v>
      </c>
      <c r="I116" s="27">
        <v>114.8</v>
      </c>
      <c r="J116" s="27">
        <v>124.9</v>
      </c>
      <c r="K116" s="27">
        <v>130.30000000000001</v>
      </c>
      <c r="L116" s="27">
        <v>167.4</v>
      </c>
      <c r="M116" s="27">
        <v>98.8</v>
      </c>
      <c r="N116" s="27">
        <v>133.6</v>
      </c>
      <c r="O116" s="27">
        <v>123</v>
      </c>
      <c r="P116" s="27">
        <v>135.80000000000001</v>
      </c>
      <c r="Q116" s="27">
        <v>129.9</v>
      </c>
      <c r="R116" s="21">
        <f t="shared" si="8"/>
        <v>1678.1</v>
      </c>
      <c r="S116" s="21">
        <v>130.9</v>
      </c>
      <c r="T116" s="21">
        <v>125.8</v>
      </c>
      <c r="U116" s="21">
        <v>130.19999999999999</v>
      </c>
      <c r="V116" s="21">
        <f t="shared" si="9"/>
        <v>386.9</v>
      </c>
      <c r="W116" s="22">
        <v>124.4</v>
      </c>
      <c r="X116" s="21">
        <v>123.1</v>
      </c>
      <c r="Y116" s="21">
        <v>124.6</v>
      </c>
      <c r="Z116" s="22">
        <f t="shared" si="10"/>
        <v>372.1</v>
      </c>
      <c r="AA116" s="21">
        <v>122.5</v>
      </c>
      <c r="AB116" s="21">
        <v>116.6</v>
      </c>
      <c r="AC116" s="21">
        <f t="shared" si="11"/>
        <v>239.1</v>
      </c>
      <c r="AD116" s="27">
        <v>111.4</v>
      </c>
      <c r="AE116" s="27">
        <v>120.3</v>
      </c>
      <c r="AF116" s="27">
        <v>126.6</v>
      </c>
      <c r="AG116" s="21">
        <f t="shared" si="12"/>
        <v>246.89999999999998</v>
      </c>
      <c r="AH116" s="27">
        <v>135.9</v>
      </c>
      <c r="AI116" s="27">
        <v>119.1</v>
      </c>
      <c r="AJ116" s="21">
        <f t="shared" si="13"/>
        <v>255</v>
      </c>
      <c r="AK116" s="21">
        <v>126</v>
      </c>
    </row>
    <row r="117" spans="1:37">
      <c r="A117" s="21" t="s">
        <v>30</v>
      </c>
      <c r="B117" s="26">
        <v>2016</v>
      </c>
      <c r="C117" s="21" t="s">
        <v>36</v>
      </c>
      <c r="D117" s="21" t="str">
        <f t="shared" si="7"/>
        <v>No</v>
      </c>
      <c r="E117" s="27">
        <v>127.3</v>
      </c>
      <c r="F117" s="27">
        <v>134.4</v>
      </c>
      <c r="G117" s="27">
        <v>125.1</v>
      </c>
      <c r="H117" s="27">
        <v>130.5</v>
      </c>
      <c r="I117" s="27">
        <v>118.3</v>
      </c>
      <c r="J117" s="27">
        <v>131.69999999999999</v>
      </c>
      <c r="K117" s="27">
        <v>130.69999999999999</v>
      </c>
      <c r="L117" s="27">
        <v>161.19999999999999</v>
      </c>
      <c r="M117" s="27">
        <v>100.4</v>
      </c>
      <c r="N117" s="27">
        <v>130.80000000000001</v>
      </c>
      <c r="O117" s="27">
        <v>124.9</v>
      </c>
      <c r="P117" s="27">
        <v>137</v>
      </c>
      <c r="Q117" s="27">
        <v>130.4</v>
      </c>
      <c r="R117" s="21">
        <f t="shared" si="8"/>
        <v>1682.7000000000003</v>
      </c>
      <c r="S117" s="21">
        <v>134.4</v>
      </c>
      <c r="T117" s="21">
        <v>130.19999999999999</v>
      </c>
      <c r="U117" s="21">
        <v>133.80000000000001</v>
      </c>
      <c r="V117" s="21">
        <f t="shared" si="9"/>
        <v>398.40000000000003</v>
      </c>
      <c r="W117" s="22">
        <v>139.25</v>
      </c>
      <c r="X117" s="21">
        <v>127</v>
      </c>
      <c r="Y117" s="21">
        <v>127.7</v>
      </c>
      <c r="Z117" s="22">
        <f t="shared" si="10"/>
        <v>393.95</v>
      </c>
      <c r="AA117" s="21">
        <v>124.8</v>
      </c>
      <c r="AB117" s="21">
        <v>117.4</v>
      </c>
      <c r="AC117" s="21">
        <f t="shared" si="11"/>
        <v>242.2</v>
      </c>
      <c r="AD117" s="27">
        <v>113.6</v>
      </c>
      <c r="AE117" s="27">
        <v>122.5</v>
      </c>
      <c r="AF117" s="27">
        <v>127.5</v>
      </c>
      <c r="AG117" s="21">
        <f t="shared" si="12"/>
        <v>250</v>
      </c>
      <c r="AH117" s="27">
        <v>135</v>
      </c>
      <c r="AI117" s="27">
        <v>121.1</v>
      </c>
      <c r="AJ117" s="21">
        <f t="shared" si="13"/>
        <v>256.10000000000002</v>
      </c>
      <c r="AK117" s="21">
        <v>128</v>
      </c>
    </row>
    <row r="118" spans="1:37">
      <c r="A118" s="21" t="s">
        <v>33</v>
      </c>
      <c r="B118" s="26">
        <v>2016</v>
      </c>
      <c r="C118" s="21" t="s">
        <v>36</v>
      </c>
      <c r="D118" s="21" t="str">
        <f t="shared" si="7"/>
        <v>No</v>
      </c>
      <c r="E118" s="27">
        <v>124.8</v>
      </c>
      <c r="F118" s="27">
        <v>136.30000000000001</v>
      </c>
      <c r="G118" s="27">
        <v>123.7</v>
      </c>
      <c r="H118" s="27">
        <v>129.69999999999999</v>
      </c>
      <c r="I118" s="27">
        <v>107.9</v>
      </c>
      <c r="J118" s="27">
        <v>119.9</v>
      </c>
      <c r="K118" s="27">
        <v>128.1</v>
      </c>
      <c r="L118" s="27">
        <v>170.3</v>
      </c>
      <c r="M118" s="27">
        <v>101.8</v>
      </c>
      <c r="N118" s="27">
        <v>140.1</v>
      </c>
      <c r="O118" s="27">
        <v>120.7</v>
      </c>
      <c r="P118" s="27">
        <v>135.4</v>
      </c>
      <c r="Q118" s="27">
        <v>128.9</v>
      </c>
      <c r="R118" s="21">
        <f t="shared" si="8"/>
        <v>1667.6000000000001</v>
      </c>
      <c r="S118" s="21">
        <v>126.4</v>
      </c>
      <c r="T118" s="21">
        <v>120.3</v>
      </c>
      <c r="U118" s="21">
        <v>125.5</v>
      </c>
      <c r="V118" s="21">
        <f t="shared" si="9"/>
        <v>372.2</v>
      </c>
      <c r="W118" s="22">
        <v>124.9</v>
      </c>
      <c r="X118" s="21">
        <v>114.8</v>
      </c>
      <c r="Y118" s="21">
        <v>122.3</v>
      </c>
      <c r="Z118" s="22">
        <f t="shared" si="10"/>
        <v>362</v>
      </c>
      <c r="AA118" s="21">
        <v>119.7</v>
      </c>
      <c r="AB118" s="21">
        <v>117.1</v>
      </c>
      <c r="AC118" s="21">
        <f t="shared" si="11"/>
        <v>236.8</v>
      </c>
      <c r="AD118" s="27">
        <v>108.5</v>
      </c>
      <c r="AE118" s="27">
        <v>119.1</v>
      </c>
      <c r="AF118" s="27">
        <v>126.4</v>
      </c>
      <c r="AG118" s="21">
        <f t="shared" si="12"/>
        <v>245.5</v>
      </c>
      <c r="AH118" s="27">
        <v>140.6</v>
      </c>
      <c r="AI118" s="27">
        <v>117.3</v>
      </c>
      <c r="AJ118" s="21">
        <f t="shared" si="13"/>
        <v>257.89999999999998</v>
      </c>
      <c r="AK118" s="21">
        <v>123.8</v>
      </c>
    </row>
    <row r="119" spans="1:37">
      <c r="A119" s="21" t="s">
        <v>34</v>
      </c>
      <c r="B119" s="26">
        <v>2016</v>
      </c>
      <c r="C119" s="21" t="s">
        <v>36</v>
      </c>
      <c r="D119" s="21" t="str">
        <f t="shared" si="7"/>
        <v>No</v>
      </c>
      <c r="E119" s="27">
        <v>126.5</v>
      </c>
      <c r="F119" s="27">
        <v>135.1</v>
      </c>
      <c r="G119" s="27">
        <v>124.6</v>
      </c>
      <c r="H119" s="27">
        <v>130.19999999999999</v>
      </c>
      <c r="I119" s="27">
        <v>114.5</v>
      </c>
      <c r="J119" s="27">
        <v>126.2</v>
      </c>
      <c r="K119" s="27">
        <v>129.80000000000001</v>
      </c>
      <c r="L119" s="27">
        <v>164.3</v>
      </c>
      <c r="M119" s="27">
        <v>100.9</v>
      </c>
      <c r="N119" s="27">
        <v>133.9</v>
      </c>
      <c r="O119" s="27">
        <v>123.1</v>
      </c>
      <c r="P119" s="27">
        <v>136.30000000000001</v>
      </c>
      <c r="Q119" s="27">
        <v>129.80000000000001</v>
      </c>
      <c r="R119" s="21">
        <f t="shared" si="8"/>
        <v>1675.2</v>
      </c>
      <c r="S119" s="21">
        <v>131.30000000000001</v>
      </c>
      <c r="T119" s="21">
        <v>126.1</v>
      </c>
      <c r="U119" s="21">
        <v>130.5</v>
      </c>
      <c r="V119" s="21">
        <f t="shared" si="9"/>
        <v>387.9</v>
      </c>
      <c r="W119" s="22">
        <v>124.9</v>
      </c>
      <c r="X119" s="21">
        <v>122.4</v>
      </c>
      <c r="Y119" s="21">
        <v>125.1</v>
      </c>
      <c r="Z119" s="22">
        <f t="shared" si="10"/>
        <v>372.4</v>
      </c>
      <c r="AA119" s="21">
        <v>122.9</v>
      </c>
      <c r="AB119" s="21">
        <v>117.3</v>
      </c>
      <c r="AC119" s="21">
        <f t="shared" si="11"/>
        <v>240.2</v>
      </c>
      <c r="AD119" s="27">
        <v>110.9</v>
      </c>
      <c r="AE119" s="27">
        <v>120.6</v>
      </c>
      <c r="AF119" s="27">
        <v>126.9</v>
      </c>
      <c r="AG119" s="21">
        <f t="shared" si="12"/>
        <v>247.5</v>
      </c>
      <c r="AH119" s="27">
        <v>136.5</v>
      </c>
      <c r="AI119" s="27">
        <v>119.3</v>
      </c>
      <c r="AJ119" s="21">
        <f t="shared" si="13"/>
        <v>255.8</v>
      </c>
      <c r="AK119" s="21">
        <v>126</v>
      </c>
    </row>
    <row r="120" spans="1:37">
      <c r="A120" s="21" t="s">
        <v>30</v>
      </c>
      <c r="B120" s="26">
        <v>2016</v>
      </c>
      <c r="C120" s="21" t="s">
        <v>37</v>
      </c>
      <c r="D120" s="21" t="str">
        <f t="shared" si="7"/>
        <v>No</v>
      </c>
      <c r="E120" s="27">
        <v>127.4</v>
      </c>
      <c r="F120" s="27">
        <v>135.4</v>
      </c>
      <c r="G120" s="27">
        <v>123.4</v>
      </c>
      <c r="H120" s="27">
        <v>131.30000000000001</v>
      </c>
      <c r="I120" s="27">
        <v>118.2</v>
      </c>
      <c r="J120" s="27">
        <v>138.1</v>
      </c>
      <c r="K120" s="27">
        <v>134.1</v>
      </c>
      <c r="L120" s="27">
        <v>162.69999999999999</v>
      </c>
      <c r="M120" s="27">
        <v>105</v>
      </c>
      <c r="N120" s="27">
        <v>131.4</v>
      </c>
      <c r="O120" s="27">
        <v>125.4</v>
      </c>
      <c r="P120" s="27">
        <v>137.4</v>
      </c>
      <c r="Q120" s="27">
        <v>131.80000000000001</v>
      </c>
      <c r="R120" s="21">
        <f t="shared" si="8"/>
        <v>1701.6000000000004</v>
      </c>
      <c r="S120" s="21">
        <v>135</v>
      </c>
      <c r="T120" s="21">
        <v>130.6</v>
      </c>
      <c r="U120" s="21">
        <v>134.4</v>
      </c>
      <c r="V120" s="21">
        <f t="shared" si="9"/>
        <v>400</v>
      </c>
      <c r="W120" s="22">
        <v>139.25</v>
      </c>
      <c r="X120" s="21">
        <v>127</v>
      </c>
      <c r="Y120" s="21">
        <v>128</v>
      </c>
      <c r="Z120" s="22">
        <f t="shared" si="10"/>
        <v>394.25</v>
      </c>
      <c r="AA120" s="21">
        <v>125.2</v>
      </c>
      <c r="AB120" s="21">
        <v>118.4</v>
      </c>
      <c r="AC120" s="21">
        <f t="shared" si="11"/>
        <v>243.60000000000002</v>
      </c>
      <c r="AD120" s="27">
        <v>114.4</v>
      </c>
      <c r="AE120" s="27">
        <v>123.2</v>
      </c>
      <c r="AF120" s="27">
        <v>127.9</v>
      </c>
      <c r="AG120" s="21">
        <f t="shared" si="12"/>
        <v>251.10000000000002</v>
      </c>
      <c r="AH120" s="27">
        <v>135.5</v>
      </c>
      <c r="AI120" s="27">
        <v>121.7</v>
      </c>
      <c r="AJ120" s="21">
        <f t="shared" si="13"/>
        <v>257.2</v>
      </c>
      <c r="AK120" s="21">
        <v>129</v>
      </c>
    </row>
    <row r="121" spans="1:37">
      <c r="A121" s="21" t="s">
        <v>33</v>
      </c>
      <c r="B121" s="26">
        <v>2016</v>
      </c>
      <c r="C121" s="21" t="s">
        <v>37</v>
      </c>
      <c r="D121" s="21" t="str">
        <f t="shared" si="7"/>
        <v>No</v>
      </c>
      <c r="E121" s="27">
        <v>124.9</v>
      </c>
      <c r="F121" s="27">
        <v>139.30000000000001</v>
      </c>
      <c r="G121" s="27">
        <v>119.9</v>
      </c>
      <c r="H121" s="27">
        <v>130.19999999999999</v>
      </c>
      <c r="I121" s="27">
        <v>108.9</v>
      </c>
      <c r="J121" s="27">
        <v>131.1</v>
      </c>
      <c r="K121" s="27">
        <v>136.80000000000001</v>
      </c>
      <c r="L121" s="27">
        <v>176.9</v>
      </c>
      <c r="M121" s="27">
        <v>109.1</v>
      </c>
      <c r="N121" s="27">
        <v>140.4</v>
      </c>
      <c r="O121" s="27">
        <v>121.1</v>
      </c>
      <c r="P121" s="27">
        <v>135.9</v>
      </c>
      <c r="Q121" s="27">
        <v>131.80000000000001</v>
      </c>
      <c r="R121" s="21">
        <f t="shared" si="8"/>
        <v>1706.3</v>
      </c>
      <c r="S121" s="21">
        <v>126.8</v>
      </c>
      <c r="T121" s="21">
        <v>120.5</v>
      </c>
      <c r="U121" s="21">
        <v>125.8</v>
      </c>
      <c r="V121" s="21">
        <f t="shared" si="9"/>
        <v>373.1</v>
      </c>
      <c r="W121" s="22">
        <v>125.6</v>
      </c>
      <c r="X121" s="21">
        <v>114.6</v>
      </c>
      <c r="Y121" s="21">
        <v>122.8</v>
      </c>
      <c r="Z121" s="22">
        <f t="shared" si="10"/>
        <v>363</v>
      </c>
      <c r="AA121" s="21">
        <v>120</v>
      </c>
      <c r="AB121" s="21">
        <v>117.6</v>
      </c>
      <c r="AC121" s="21">
        <f t="shared" si="11"/>
        <v>237.6</v>
      </c>
      <c r="AD121" s="27">
        <v>110</v>
      </c>
      <c r="AE121" s="27">
        <v>119.5</v>
      </c>
      <c r="AF121" s="27">
        <v>127.6</v>
      </c>
      <c r="AG121" s="21">
        <f t="shared" si="12"/>
        <v>247.1</v>
      </c>
      <c r="AH121" s="27">
        <v>141.5</v>
      </c>
      <c r="AI121" s="27">
        <v>118.2</v>
      </c>
      <c r="AJ121" s="21">
        <f t="shared" si="13"/>
        <v>259.7</v>
      </c>
      <c r="AK121" s="21">
        <v>125.3</v>
      </c>
    </row>
    <row r="122" spans="1:37">
      <c r="A122" s="21" t="s">
        <v>34</v>
      </c>
      <c r="B122" s="26">
        <v>2016</v>
      </c>
      <c r="C122" s="21" t="s">
        <v>37</v>
      </c>
      <c r="D122" s="21" t="str">
        <f t="shared" si="7"/>
        <v>No</v>
      </c>
      <c r="E122" s="27">
        <v>126.6</v>
      </c>
      <c r="F122" s="27">
        <v>136.80000000000001</v>
      </c>
      <c r="G122" s="27">
        <v>122</v>
      </c>
      <c r="H122" s="27">
        <v>130.9</v>
      </c>
      <c r="I122" s="27">
        <v>114.8</v>
      </c>
      <c r="J122" s="27">
        <v>134.80000000000001</v>
      </c>
      <c r="K122" s="27">
        <v>135</v>
      </c>
      <c r="L122" s="27">
        <v>167.5</v>
      </c>
      <c r="M122" s="27">
        <v>106.4</v>
      </c>
      <c r="N122" s="27">
        <v>134.4</v>
      </c>
      <c r="O122" s="27">
        <v>123.6</v>
      </c>
      <c r="P122" s="27">
        <v>136.69999999999999</v>
      </c>
      <c r="Q122" s="27">
        <v>131.80000000000001</v>
      </c>
      <c r="R122" s="21">
        <f t="shared" si="8"/>
        <v>1701.3</v>
      </c>
      <c r="S122" s="21">
        <v>131.80000000000001</v>
      </c>
      <c r="T122" s="21">
        <v>126.4</v>
      </c>
      <c r="U122" s="21">
        <v>131</v>
      </c>
      <c r="V122" s="21">
        <f t="shared" si="9"/>
        <v>389.20000000000005</v>
      </c>
      <c r="W122" s="22">
        <v>125.6</v>
      </c>
      <c r="X122" s="21">
        <v>122.3</v>
      </c>
      <c r="Y122" s="21">
        <v>125.5</v>
      </c>
      <c r="Z122" s="22">
        <f t="shared" si="10"/>
        <v>373.4</v>
      </c>
      <c r="AA122" s="21">
        <v>123.2</v>
      </c>
      <c r="AB122" s="21">
        <v>118.1</v>
      </c>
      <c r="AC122" s="21">
        <f t="shared" si="11"/>
        <v>241.3</v>
      </c>
      <c r="AD122" s="27">
        <v>112.1</v>
      </c>
      <c r="AE122" s="27">
        <v>121.1</v>
      </c>
      <c r="AF122" s="27">
        <v>127.7</v>
      </c>
      <c r="AG122" s="21">
        <f t="shared" si="12"/>
        <v>248.8</v>
      </c>
      <c r="AH122" s="27">
        <v>137.1</v>
      </c>
      <c r="AI122" s="27">
        <v>120</v>
      </c>
      <c r="AJ122" s="21">
        <f t="shared" si="13"/>
        <v>257.10000000000002</v>
      </c>
      <c r="AK122" s="21">
        <v>127.3</v>
      </c>
    </row>
    <row r="123" spans="1:37">
      <c r="A123" s="21" t="s">
        <v>30</v>
      </c>
      <c r="B123" s="26">
        <v>2016</v>
      </c>
      <c r="C123" s="21" t="s">
        <v>38</v>
      </c>
      <c r="D123" s="21" t="str">
        <f t="shared" si="7"/>
        <v>No</v>
      </c>
      <c r="E123" s="27">
        <v>127.6</v>
      </c>
      <c r="F123" s="27">
        <v>137.5</v>
      </c>
      <c r="G123" s="27">
        <v>124.4</v>
      </c>
      <c r="H123" s="27">
        <v>132.4</v>
      </c>
      <c r="I123" s="27">
        <v>118.2</v>
      </c>
      <c r="J123" s="27">
        <v>138.1</v>
      </c>
      <c r="K123" s="27">
        <v>141.80000000000001</v>
      </c>
      <c r="L123" s="27">
        <v>166</v>
      </c>
      <c r="M123" s="27">
        <v>107.5</v>
      </c>
      <c r="N123" s="27">
        <v>132.19999999999999</v>
      </c>
      <c r="O123" s="27">
        <v>126.1</v>
      </c>
      <c r="P123" s="27">
        <v>138.30000000000001</v>
      </c>
      <c r="Q123" s="27">
        <v>133.6</v>
      </c>
      <c r="R123" s="21">
        <f t="shared" si="8"/>
        <v>1723.6999999999998</v>
      </c>
      <c r="S123" s="21">
        <v>135.4</v>
      </c>
      <c r="T123" s="21">
        <v>131.1</v>
      </c>
      <c r="U123" s="21">
        <v>134.80000000000001</v>
      </c>
      <c r="V123" s="21">
        <f t="shared" si="9"/>
        <v>401.3</v>
      </c>
      <c r="W123" s="22">
        <v>139.25</v>
      </c>
      <c r="X123" s="21">
        <v>127.4</v>
      </c>
      <c r="Y123" s="21">
        <v>128.5</v>
      </c>
      <c r="Z123" s="22">
        <f t="shared" si="10"/>
        <v>395.15</v>
      </c>
      <c r="AA123" s="21">
        <v>125.8</v>
      </c>
      <c r="AB123" s="21">
        <v>119.7</v>
      </c>
      <c r="AC123" s="21">
        <f t="shared" si="11"/>
        <v>245.5</v>
      </c>
      <c r="AD123" s="27">
        <v>115.1</v>
      </c>
      <c r="AE123" s="27">
        <v>123.6</v>
      </c>
      <c r="AF123" s="27">
        <v>129.1</v>
      </c>
      <c r="AG123" s="21">
        <f t="shared" si="12"/>
        <v>252.7</v>
      </c>
      <c r="AH123" s="27">
        <v>136</v>
      </c>
      <c r="AI123" s="27">
        <v>122.5</v>
      </c>
      <c r="AJ123" s="21">
        <f t="shared" si="13"/>
        <v>258.5</v>
      </c>
      <c r="AK123" s="21">
        <v>130.30000000000001</v>
      </c>
    </row>
    <row r="124" spans="1:37">
      <c r="A124" s="21" t="s">
        <v>33</v>
      </c>
      <c r="B124" s="26">
        <v>2016</v>
      </c>
      <c r="C124" s="21" t="s">
        <v>38</v>
      </c>
      <c r="D124" s="21" t="str">
        <f t="shared" si="7"/>
        <v>No</v>
      </c>
      <c r="E124" s="27">
        <v>125</v>
      </c>
      <c r="F124" s="27">
        <v>142.1</v>
      </c>
      <c r="G124" s="27">
        <v>127</v>
      </c>
      <c r="H124" s="27">
        <v>130.4</v>
      </c>
      <c r="I124" s="27">
        <v>109.6</v>
      </c>
      <c r="J124" s="27">
        <v>133.5</v>
      </c>
      <c r="K124" s="27">
        <v>151.4</v>
      </c>
      <c r="L124" s="27">
        <v>182.8</v>
      </c>
      <c r="M124" s="27">
        <v>111.1</v>
      </c>
      <c r="N124" s="27">
        <v>141.5</v>
      </c>
      <c r="O124" s="27">
        <v>121.5</v>
      </c>
      <c r="P124" s="27">
        <v>136.30000000000001</v>
      </c>
      <c r="Q124" s="27">
        <v>134.6</v>
      </c>
      <c r="R124" s="21">
        <f t="shared" si="8"/>
        <v>1746.7999999999997</v>
      </c>
      <c r="S124" s="21">
        <v>127.2</v>
      </c>
      <c r="T124" s="21">
        <v>120.7</v>
      </c>
      <c r="U124" s="21">
        <v>126.2</v>
      </c>
      <c r="V124" s="21">
        <f t="shared" si="9"/>
        <v>374.1</v>
      </c>
      <c r="W124" s="22">
        <v>126</v>
      </c>
      <c r="X124" s="21">
        <v>115</v>
      </c>
      <c r="Y124" s="21">
        <v>123.2</v>
      </c>
      <c r="Z124" s="22">
        <f t="shared" si="10"/>
        <v>364.2</v>
      </c>
      <c r="AA124" s="21">
        <v>120.3</v>
      </c>
      <c r="AB124" s="21">
        <v>118.5</v>
      </c>
      <c r="AC124" s="21">
        <f t="shared" si="11"/>
        <v>238.8</v>
      </c>
      <c r="AD124" s="27">
        <v>110.7</v>
      </c>
      <c r="AE124" s="27">
        <v>119.8</v>
      </c>
      <c r="AF124" s="27">
        <v>128</v>
      </c>
      <c r="AG124" s="21">
        <f t="shared" si="12"/>
        <v>247.8</v>
      </c>
      <c r="AH124" s="27">
        <v>142.19999999999999</v>
      </c>
      <c r="AI124" s="27">
        <v>118.7</v>
      </c>
      <c r="AJ124" s="21">
        <f t="shared" si="13"/>
        <v>260.89999999999998</v>
      </c>
      <c r="AK124" s="21">
        <v>126.6</v>
      </c>
    </row>
    <row r="125" spans="1:37">
      <c r="A125" s="21" t="s">
        <v>34</v>
      </c>
      <c r="B125" s="26">
        <v>2016</v>
      </c>
      <c r="C125" s="21" t="s">
        <v>38</v>
      </c>
      <c r="D125" s="21" t="str">
        <f t="shared" si="7"/>
        <v>No</v>
      </c>
      <c r="E125" s="27">
        <v>126.8</v>
      </c>
      <c r="F125" s="27">
        <v>139.1</v>
      </c>
      <c r="G125" s="27">
        <v>125.4</v>
      </c>
      <c r="H125" s="27">
        <v>131.69999999999999</v>
      </c>
      <c r="I125" s="27">
        <v>115</v>
      </c>
      <c r="J125" s="27">
        <v>136</v>
      </c>
      <c r="K125" s="27">
        <v>145.1</v>
      </c>
      <c r="L125" s="27">
        <v>171.7</v>
      </c>
      <c r="M125" s="27">
        <v>108.7</v>
      </c>
      <c r="N125" s="27">
        <v>135.30000000000001</v>
      </c>
      <c r="O125" s="27">
        <v>124.2</v>
      </c>
      <c r="P125" s="27">
        <v>137.4</v>
      </c>
      <c r="Q125" s="27">
        <v>134</v>
      </c>
      <c r="R125" s="21">
        <f t="shared" si="8"/>
        <v>1730.4</v>
      </c>
      <c r="S125" s="21">
        <v>132.19999999999999</v>
      </c>
      <c r="T125" s="21">
        <v>126.8</v>
      </c>
      <c r="U125" s="21">
        <v>131.4</v>
      </c>
      <c r="V125" s="21">
        <f t="shared" si="9"/>
        <v>390.4</v>
      </c>
      <c r="W125" s="22">
        <v>126</v>
      </c>
      <c r="X125" s="21">
        <v>122.7</v>
      </c>
      <c r="Y125" s="21">
        <v>126</v>
      </c>
      <c r="Z125" s="22">
        <f t="shared" si="10"/>
        <v>374.7</v>
      </c>
      <c r="AA125" s="21">
        <v>123.7</v>
      </c>
      <c r="AB125" s="21">
        <v>119.2</v>
      </c>
      <c r="AC125" s="21">
        <f t="shared" si="11"/>
        <v>242.9</v>
      </c>
      <c r="AD125" s="27">
        <v>112.8</v>
      </c>
      <c r="AE125" s="27">
        <v>121.5</v>
      </c>
      <c r="AF125" s="27">
        <v>128.5</v>
      </c>
      <c r="AG125" s="21">
        <f t="shared" si="12"/>
        <v>250</v>
      </c>
      <c r="AH125" s="27">
        <v>137.69999999999999</v>
      </c>
      <c r="AI125" s="27">
        <v>120.7</v>
      </c>
      <c r="AJ125" s="21">
        <f t="shared" si="13"/>
        <v>258.39999999999998</v>
      </c>
      <c r="AK125" s="21">
        <v>128.6</v>
      </c>
    </row>
    <row r="126" spans="1:37">
      <c r="A126" s="21" t="s">
        <v>30</v>
      </c>
      <c r="B126" s="26">
        <v>2016</v>
      </c>
      <c r="C126" s="21" t="s">
        <v>39</v>
      </c>
      <c r="D126" s="21" t="str">
        <f t="shared" si="7"/>
        <v>No</v>
      </c>
      <c r="E126" s="27">
        <v>128.6</v>
      </c>
      <c r="F126" s="27">
        <v>138.6</v>
      </c>
      <c r="G126" s="27">
        <v>126.6</v>
      </c>
      <c r="H126" s="27">
        <v>133.6</v>
      </c>
      <c r="I126" s="27">
        <v>118.6</v>
      </c>
      <c r="J126" s="27">
        <v>137.4</v>
      </c>
      <c r="K126" s="27">
        <v>152.5</v>
      </c>
      <c r="L126" s="27">
        <v>169.2</v>
      </c>
      <c r="M126" s="27">
        <v>108.8</v>
      </c>
      <c r="N126" s="27">
        <v>133.1</v>
      </c>
      <c r="O126" s="27">
        <v>126.4</v>
      </c>
      <c r="P126" s="27">
        <v>139.19999999999999</v>
      </c>
      <c r="Q126" s="27">
        <v>136</v>
      </c>
      <c r="R126" s="21">
        <f t="shared" si="8"/>
        <v>1748.6</v>
      </c>
      <c r="S126" s="21">
        <v>136.30000000000001</v>
      </c>
      <c r="T126" s="21">
        <v>131.6</v>
      </c>
      <c r="U126" s="21">
        <v>135.6</v>
      </c>
      <c r="V126" s="21">
        <f t="shared" si="9"/>
        <v>403.5</v>
      </c>
      <c r="W126" s="22">
        <v>139.25</v>
      </c>
      <c r="X126" s="21">
        <v>128</v>
      </c>
      <c r="Y126" s="21">
        <v>129.30000000000001</v>
      </c>
      <c r="Z126" s="22">
        <f t="shared" si="10"/>
        <v>396.55</v>
      </c>
      <c r="AA126" s="21">
        <v>126.2</v>
      </c>
      <c r="AB126" s="21">
        <v>119.9</v>
      </c>
      <c r="AC126" s="21">
        <f t="shared" si="11"/>
        <v>246.10000000000002</v>
      </c>
      <c r="AD126" s="27">
        <v>116.3</v>
      </c>
      <c r="AE126" s="27">
        <v>124.1</v>
      </c>
      <c r="AF126" s="27">
        <v>130.19999999999999</v>
      </c>
      <c r="AG126" s="21">
        <f t="shared" si="12"/>
        <v>254.29999999999998</v>
      </c>
      <c r="AH126" s="27">
        <v>137.19999999999999</v>
      </c>
      <c r="AI126" s="27">
        <v>123.3</v>
      </c>
      <c r="AJ126" s="21">
        <f t="shared" si="13"/>
        <v>260.5</v>
      </c>
      <c r="AK126" s="21">
        <v>131.9</v>
      </c>
    </row>
    <row r="127" spans="1:37">
      <c r="A127" s="21" t="s">
        <v>33</v>
      </c>
      <c r="B127" s="26">
        <v>2016</v>
      </c>
      <c r="C127" s="21" t="s">
        <v>39</v>
      </c>
      <c r="D127" s="21" t="str">
        <f t="shared" si="7"/>
        <v>No</v>
      </c>
      <c r="E127" s="27">
        <v>125.9</v>
      </c>
      <c r="F127" s="27">
        <v>143.9</v>
      </c>
      <c r="G127" s="27">
        <v>130.9</v>
      </c>
      <c r="H127" s="27">
        <v>131</v>
      </c>
      <c r="I127" s="27">
        <v>110.2</v>
      </c>
      <c r="J127" s="27">
        <v>135.5</v>
      </c>
      <c r="K127" s="27">
        <v>173.7</v>
      </c>
      <c r="L127" s="27">
        <v>184.4</v>
      </c>
      <c r="M127" s="27">
        <v>112</v>
      </c>
      <c r="N127" s="27">
        <v>142.80000000000001</v>
      </c>
      <c r="O127" s="27">
        <v>121.6</v>
      </c>
      <c r="P127" s="27">
        <v>136.9</v>
      </c>
      <c r="Q127" s="27">
        <v>138.19999999999999</v>
      </c>
      <c r="R127" s="21">
        <f t="shared" si="8"/>
        <v>1787.0000000000002</v>
      </c>
      <c r="S127" s="21">
        <v>127.6</v>
      </c>
      <c r="T127" s="21">
        <v>121.1</v>
      </c>
      <c r="U127" s="21">
        <v>126.6</v>
      </c>
      <c r="V127" s="21">
        <f t="shared" si="9"/>
        <v>375.29999999999995</v>
      </c>
      <c r="W127" s="22">
        <v>125.5</v>
      </c>
      <c r="X127" s="21">
        <v>115.5</v>
      </c>
      <c r="Y127" s="21">
        <v>123.2</v>
      </c>
      <c r="Z127" s="22">
        <f t="shared" si="10"/>
        <v>364.2</v>
      </c>
      <c r="AA127" s="21">
        <v>120.6</v>
      </c>
      <c r="AB127" s="21">
        <v>118.8</v>
      </c>
      <c r="AC127" s="21">
        <f t="shared" si="11"/>
        <v>239.39999999999998</v>
      </c>
      <c r="AD127" s="27">
        <v>112.3</v>
      </c>
      <c r="AE127" s="27">
        <v>119.9</v>
      </c>
      <c r="AF127" s="27">
        <v>129.30000000000001</v>
      </c>
      <c r="AG127" s="21">
        <f t="shared" si="12"/>
        <v>249.20000000000002</v>
      </c>
      <c r="AH127" s="27">
        <v>142.69999999999999</v>
      </c>
      <c r="AI127" s="27">
        <v>119.6</v>
      </c>
      <c r="AJ127" s="21">
        <f t="shared" si="13"/>
        <v>262.29999999999995</v>
      </c>
      <c r="AK127" s="21">
        <v>128.1</v>
      </c>
    </row>
    <row r="128" spans="1:37">
      <c r="A128" s="21" t="s">
        <v>34</v>
      </c>
      <c r="B128" s="26">
        <v>2016</v>
      </c>
      <c r="C128" s="21" t="s">
        <v>39</v>
      </c>
      <c r="D128" s="21" t="str">
        <f t="shared" si="7"/>
        <v>No</v>
      </c>
      <c r="E128" s="27">
        <v>127.7</v>
      </c>
      <c r="F128" s="27">
        <v>140.5</v>
      </c>
      <c r="G128" s="27">
        <v>128.30000000000001</v>
      </c>
      <c r="H128" s="27">
        <v>132.6</v>
      </c>
      <c r="I128" s="27">
        <v>115.5</v>
      </c>
      <c r="J128" s="27">
        <v>136.5</v>
      </c>
      <c r="K128" s="27">
        <v>159.69999999999999</v>
      </c>
      <c r="L128" s="27">
        <v>174.3</v>
      </c>
      <c r="M128" s="27">
        <v>109.9</v>
      </c>
      <c r="N128" s="27">
        <v>136.30000000000001</v>
      </c>
      <c r="O128" s="27">
        <v>124.4</v>
      </c>
      <c r="P128" s="27">
        <v>138.1</v>
      </c>
      <c r="Q128" s="27">
        <v>136.80000000000001</v>
      </c>
      <c r="R128" s="21">
        <f t="shared" si="8"/>
        <v>1760.6</v>
      </c>
      <c r="S128" s="21">
        <v>132.9</v>
      </c>
      <c r="T128" s="21">
        <v>127.2</v>
      </c>
      <c r="U128" s="21">
        <v>132</v>
      </c>
      <c r="V128" s="21">
        <f t="shared" si="9"/>
        <v>392.1</v>
      </c>
      <c r="W128" s="22">
        <v>125.5</v>
      </c>
      <c r="X128" s="21">
        <v>123.3</v>
      </c>
      <c r="Y128" s="21">
        <v>126.4</v>
      </c>
      <c r="Z128" s="22">
        <f t="shared" si="10"/>
        <v>375.20000000000005</v>
      </c>
      <c r="AA128" s="21">
        <v>124.1</v>
      </c>
      <c r="AB128" s="21">
        <v>119.4</v>
      </c>
      <c r="AC128" s="21">
        <f t="shared" si="11"/>
        <v>243.5</v>
      </c>
      <c r="AD128" s="27">
        <v>114.2</v>
      </c>
      <c r="AE128" s="27">
        <v>121.7</v>
      </c>
      <c r="AF128" s="27">
        <v>129.69999999999999</v>
      </c>
      <c r="AG128" s="21">
        <f t="shared" si="12"/>
        <v>251.39999999999998</v>
      </c>
      <c r="AH128" s="27">
        <v>138.69999999999999</v>
      </c>
      <c r="AI128" s="27">
        <v>121.5</v>
      </c>
      <c r="AJ128" s="21">
        <f t="shared" si="13"/>
        <v>260.2</v>
      </c>
      <c r="AK128" s="21">
        <v>130.1</v>
      </c>
    </row>
    <row r="129" spans="1:37">
      <c r="A129" s="21" t="s">
        <v>30</v>
      </c>
      <c r="B129" s="26">
        <v>2016</v>
      </c>
      <c r="C129" s="21" t="s">
        <v>40</v>
      </c>
      <c r="D129" s="21" t="str">
        <f t="shared" si="7"/>
        <v>No</v>
      </c>
      <c r="E129" s="27">
        <v>129.30000000000001</v>
      </c>
      <c r="F129" s="27">
        <v>139.5</v>
      </c>
      <c r="G129" s="27">
        <v>129.6</v>
      </c>
      <c r="H129" s="27">
        <v>134.5</v>
      </c>
      <c r="I129" s="27">
        <v>119.5</v>
      </c>
      <c r="J129" s="27">
        <v>138.5</v>
      </c>
      <c r="K129" s="27">
        <v>158.19999999999999</v>
      </c>
      <c r="L129" s="27">
        <v>171.8</v>
      </c>
      <c r="M129" s="27">
        <v>110.3</v>
      </c>
      <c r="N129" s="27">
        <v>134.30000000000001</v>
      </c>
      <c r="O129" s="27">
        <v>127.3</v>
      </c>
      <c r="P129" s="27">
        <v>139.9</v>
      </c>
      <c r="Q129" s="27">
        <v>137.6</v>
      </c>
      <c r="R129" s="21">
        <f t="shared" si="8"/>
        <v>1770.2999999999997</v>
      </c>
      <c r="S129" s="21">
        <v>137.19999999999999</v>
      </c>
      <c r="T129" s="21">
        <v>132.19999999999999</v>
      </c>
      <c r="U129" s="21">
        <v>136.5</v>
      </c>
      <c r="V129" s="21">
        <f t="shared" si="9"/>
        <v>405.9</v>
      </c>
      <c r="W129" s="22">
        <v>139.25</v>
      </c>
      <c r="X129" s="21">
        <v>128.19999999999999</v>
      </c>
      <c r="Y129" s="21">
        <v>130</v>
      </c>
      <c r="Z129" s="22">
        <f t="shared" si="10"/>
        <v>397.45</v>
      </c>
      <c r="AA129" s="21">
        <v>126.7</v>
      </c>
      <c r="AB129" s="21">
        <v>120.9</v>
      </c>
      <c r="AC129" s="21">
        <f t="shared" si="11"/>
        <v>247.60000000000002</v>
      </c>
      <c r="AD129" s="27">
        <v>116.4</v>
      </c>
      <c r="AE129" s="27">
        <v>125.2</v>
      </c>
      <c r="AF129" s="27">
        <v>130.80000000000001</v>
      </c>
      <c r="AG129" s="21">
        <f t="shared" si="12"/>
        <v>256</v>
      </c>
      <c r="AH129" s="27">
        <v>138</v>
      </c>
      <c r="AI129" s="27">
        <v>123.8</v>
      </c>
      <c r="AJ129" s="21">
        <f t="shared" si="13"/>
        <v>261.8</v>
      </c>
      <c r="AK129" s="21">
        <v>133</v>
      </c>
    </row>
    <row r="130" spans="1:37">
      <c r="A130" s="21" t="s">
        <v>33</v>
      </c>
      <c r="B130" s="26">
        <v>2016</v>
      </c>
      <c r="C130" s="21" t="s">
        <v>40</v>
      </c>
      <c r="D130" s="21" t="str">
        <f t="shared" si="7"/>
        <v>No</v>
      </c>
      <c r="E130" s="27">
        <v>126.8</v>
      </c>
      <c r="F130" s="27">
        <v>144.19999999999999</v>
      </c>
      <c r="G130" s="27">
        <v>136.6</v>
      </c>
      <c r="H130" s="27">
        <v>131.80000000000001</v>
      </c>
      <c r="I130" s="27">
        <v>111</v>
      </c>
      <c r="J130" s="27">
        <v>137</v>
      </c>
      <c r="K130" s="27">
        <v>179.5</v>
      </c>
      <c r="L130" s="27">
        <v>188.4</v>
      </c>
      <c r="M130" s="27">
        <v>113.3</v>
      </c>
      <c r="N130" s="27">
        <v>143.9</v>
      </c>
      <c r="O130" s="27">
        <v>121.7</v>
      </c>
      <c r="P130" s="27">
        <v>137.5</v>
      </c>
      <c r="Q130" s="27">
        <v>139.80000000000001</v>
      </c>
      <c r="R130" s="21">
        <f t="shared" si="8"/>
        <v>1811.5000000000002</v>
      </c>
      <c r="S130" s="21">
        <v>127.9</v>
      </c>
      <c r="T130" s="21">
        <v>121.1</v>
      </c>
      <c r="U130" s="21">
        <v>126.9</v>
      </c>
      <c r="V130" s="21">
        <f t="shared" si="9"/>
        <v>375.9</v>
      </c>
      <c r="W130" s="22">
        <v>126.4</v>
      </c>
      <c r="X130" s="21">
        <v>115.5</v>
      </c>
      <c r="Y130" s="21">
        <v>123.5</v>
      </c>
      <c r="Z130" s="22">
        <f t="shared" si="10"/>
        <v>365.4</v>
      </c>
      <c r="AA130" s="21">
        <v>120.9</v>
      </c>
      <c r="AB130" s="21">
        <v>120</v>
      </c>
      <c r="AC130" s="21">
        <f t="shared" si="11"/>
        <v>240.9</v>
      </c>
      <c r="AD130" s="27">
        <v>111.7</v>
      </c>
      <c r="AE130" s="27">
        <v>120.3</v>
      </c>
      <c r="AF130" s="27">
        <v>130.80000000000001</v>
      </c>
      <c r="AG130" s="21">
        <f t="shared" si="12"/>
        <v>251.10000000000002</v>
      </c>
      <c r="AH130" s="27">
        <v>142.9</v>
      </c>
      <c r="AI130" s="27">
        <v>119.9</v>
      </c>
      <c r="AJ130" s="21">
        <f t="shared" si="13"/>
        <v>262.8</v>
      </c>
      <c r="AK130" s="21">
        <v>129</v>
      </c>
    </row>
    <row r="131" spans="1:37">
      <c r="A131" s="21" t="s">
        <v>34</v>
      </c>
      <c r="B131" s="26">
        <v>2016</v>
      </c>
      <c r="C131" s="21" t="s">
        <v>40</v>
      </c>
      <c r="D131" s="21" t="str">
        <f t="shared" si="7"/>
        <v>No</v>
      </c>
      <c r="E131" s="27">
        <v>128.5</v>
      </c>
      <c r="F131" s="27">
        <v>141.19999999999999</v>
      </c>
      <c r="G131" s="27">
        <v>132.30000000000001</v>
      </c>
      <c r="H131" s="27">
        <v>133.5</v>
      </c>
      <c r="I131" s="27">
        <v>116.4</v>
      </c>
      <c r="J131" s="27">
        <v>137.80000000000001</v>
      </c>
      <c r="K131" s="27">
        <v>165.4</v>
      </c>
      <c r="L131" s="27">
        <v>177.4</v>
      </c>
      <c r="M131" s="27">
        <v>111.3</v>
      </c>
      <c r="N131" s="27">
        <v>137.5</v>
      </c>
      <c r="O131" s="27">
        <v>125</v>
      </c>
      <c r="P131" s="27">
        <v>138.80000000000001</v>
      </c>
      <c r="Q131" s="27">
        <v>138.4</v>
      </c>
      <c r="R131" s="21">
        <f t="shared" si="8"/>
        <v>1783.5</v>
      </c>
      <c r="S131" s="21">
        <v>133.5</v>
      </c>
      <c r="T131" s="21">
        <v>127.6</v>
      </c>
      <c r="U131" s="21">
        <v>132.69999999999999</v>
      </c>
      <c r="V131" s="21">
        <f t="shared" si="9"/>
        <v>393.8</v>
      </c>
      <c r="W131" s="22">
        <v>126.4</v>
      </c>
      <c r="X131" s="21">
        <v>123.4</v>
      </c>
      <c r="Y131" s="21">
        <v>126.9</v>
      </c>
      <c r="Z131" s="22">
        <f t="shared" si="10"/>
        <v>376.70000000000005</v>
      </c>
      <c r="AA131" s="21">
        <v>124.5</v>
      </c>
      <c r="AB131" s="21">
        <v>120.5</v>
      </c>
      <c r="AC131" s="21">
        <f t="shared" si="11"/>
        <v>245</v>
      </c>
      <c r="AD131" s="27">
        <v>113.9</v>
      </c>
      <c r="AE131" s="27">
        <v>122.4</v>
      </c>
      <c r="AF131" s="27">
        <v>130.80000000000001</v>
      </c>
      <c r="AG131" s="21">
        <f t="shared" si="12"/>
        <v>253.20000000000002</v>
      </c>
      <c r="AH131" s="27">
        <v>139.30000000000001</v>
      </c>
      <c r="AI131" s="27">
        <v>121.9</v>
      </c>
      <c r="AJ131" s="21">
        <f t="shared" si="13"/>
        <v>261.20000000000005</v>
      </c>
      <c r="AK131" s="21">
        <v>131.1</v>
      </c>
    </row>
    <row r="132" spans="1:37">
      <c r="A132" s="21" t="s">
        <v>30</v>
      </c>
      <c r="B132" s="26">
        <v>2016</v>
      </c>
      <c r="C132" s="21" t="s">
        <v>41</v>
      </c>
      <c r="D132" s="21" t="str">
        <f t="shared" ref="D132:D195" si="14">IF(H132&gt;120,IF(M132&gt;120,"Yes","No"),"No")</f>
        <v>No</v>
      </c>
      <c r="E132" s="27">
        <v>130.1</v>
      </c>
      <c r="F132" s="27">
        <v>138.80000000000001</v>
      </c>
      <c r="G132" s="27">
        <v>130.30000000000001</v>
      </c>
      <c r="H132" s="27">
        <v>135.30000000000001</v>
      </c>
      <c r="I132" s="27">
        <v>119.9</v>
      </c>
      <c r="J132" s="27">
        <v>140.19999999999999</v>
      </c>
      <c r="K132" s="27">
        <v>156.9</v>
      </c>
      <c r="L132" s="27">
        <v>172.2</v>
      </c>
      <c r="M132" s="27">
        <v>112.1</v>
      </c>
      <c r="N132" s="27">
        <v>134.9</v>
      </c>
      <c r="O132" s="27">
        <v>128.1</v>
      </c>
      <c r="P132" s="27">
        <v>140.69999999999999</v>
      </c>
      <c r="Q132" s="27">
        <v>138</v>
      </c>
      <c r="R132" s="21">
        <f t="shared" ref="R132:R195" si="15">SUM(E132:Q132)</f>
        <v>1777.4999999999998</v>
      </c>
      <c r="S132" s="21">
        <v>137.80000000000001</v>
      </c>
      <c r="T132" s="21">
        <v>133</v>
      </c>
      <c r="U132" s="21">
        <v>137.1</v>
      </c>
      <c r="V132" s="21">
        <f t="shared" ref="V132:V195" si="16">SUM(S132:U132)</f>
        <v>407.9</v>
      </c>
      <c r="W132" s="22">
        <v>139.25</v>
      </c>
      <c r="X132" s="21">
        <v>129.1</v>
      </c>
      <c r="Y132" s="21">
        <v>130.6</v>
      </c>
      <c r="Z132" s="22">
        <f t="shared" ref="Z132:Z195" si="17">SUM(W132:Y132)</f>
        <v>398.95000000000005</v>
      </c>
      <c r="AA132" s="21">
        <v>127</v>
      </c>
      <c r="AB132" s="21">
        <v>122</v>
      </c>
      <c r="AC132" s="21">
        <f t="shared" ref="AC132:AC195" si="18">SUM(AA132:AB132)</f>
        <v>249</v>
      </c>
      <c r="AD132" s="27">
        <v>116</v>
      </c>
      <c r="AE132" s="27">
        <v>125.5</v>
      </c>
      <c r="AF132" s="27">
        <v>131.9</v>
      </c>
      <c r="AG132" s="21">
        <f t="shared" ref="AG132:AG195" si="19">SUM(AE132:AF132)</f>
        <v>257.39999999999998</v>
      </c>
      <c r="AH132" s="27">
        <v>138.9</v>
      </c>
      <c r="AI132" s="27">
        <v>124.2</v>
      </c>
      <c r="AJ132" s="21">
        <f t="shared" ref="AJ132:AJ195" si="20">SUM(AH132:AI132)</f>
        <v>263.10000000000002</v>
      </c>
      <c r="AK132" s="21">
        <v>133.5</v>
      </c>
    </row>
    <row r="133" spans="1:37">
      <c r="A133" s="21" t="s">
        <v>33</v>
      </c>
      <c r="B133" s="26">
        <v>2016</v>
      </c>
      <c r="C133" s="21" t="s">
        <v>41</v>
      </c>
      <c r="D133" s="21" t="str">
        <f t="shared" si="14"/>
        <v>No</v>
      </c>
      <c r="E133" s="27">
        <v>127.6</v>
      </c>
      <c r="F133" s="27">
        <v>140.30000000000001</v>
      </c>
      <c r="G133" s="27">
        <v>133.69999999999999</v>
      </c>
      <c r="H133" s="27">
        <v>132.19999999999999</v>
      </c>
      <c r="I133" s="27">
        <v>111.8</v>
      </c>
      <c r="J133" s="27">
        <v>135.80000000000001</v>
      </c>
      <c r="K133" s="27">
        <v>163.5</v>
      </c>
      <c r="L133" s="27">
        <v>182.3</v>
      </c>
      <c r="M133" s="27">
        <v>114.6</v>
      </c>
      <c r="N133" s="27">
        <v>144.6</v>
      </c>
      <c r="O133" s="27">
        <v>121.9</v>
      </c>
      <c r="P133" s="27">
        <v>138.1</v>
      </c>
      <c r="Q133" s="27">
        <v>137.6</v>
      </c>
      <c r="R133" s="21">
        <f t="shared" si="15"/>
        <v>1783.9999999999995</v>
      </c>
      <c r="S133" s="21">
        <v>128.30000000000001</v>
      </c>
      <c r="T133" s="21">
        <v>121.4</v>
      </c>
      <c r="U133" s="21">
        <v>127.3</v>
      </c>
      <c r="V133" s="21">
        <f t="shared" si="16"/>
        <v>377</v>
      </c>
      <c r="W133" s="22">
        <v>127.3</v>
      </c>
      <c r="X133" s="21">
        <v>114.7</v>
      </c>
      <c r="Y133" s="21">
        <v>123.9</v>
      </c>
      <c r="Z133" s="22">
        <f t="shared" si="17"/>
        <v>365.9</v>
      </c>
      <c r="AA133" s="21">
        <v>121.2</v>
      </c>
      <c r="AB133" s="21">
        <v>120.9</v>
      </c>
      <c r="AC133" s="21">
        <f t="shared" si="18"/>
        <v>242.10000000000002</v>
      </c>
      <c r="AD133" s="27">
        <v>110.4</v>
      </c>
      <c r="AE133" s="27">
        <v>120.6</v>
      </c>
      <c r="AF133" s="27">
        <v>131.5</v>
      </c>
      <c r="AG133" s="21">
        <f t="shared" si="19"/>
        <v>252.1</v>
      </c>
      <c r="AH133" s="27">
        <v>143.6</v>
      </c>
      <c r="AI133" s="27">
        <v>119.9</v>
      </c>
      <c r="AJ133" s="21">
        <f t="shared" si="20"/>
        <v>263.5</v>
      </c>
      <c r="AK133" s="21">
        <v>128.4</v>
      </c>
    </row>
    <row r="134" spans="1:37">
      <c r="A134" s="21" t="s">
        <v>34</v>
      </c>
      <c r="B134" s="26">
        <v>2016</v>
      </c>
      <c r="C134" s="21" t="s">
        <v>41</v>
      </c>
      <c r="D134" s="21" t="str">
        <f t="shared" si="14"/>
        <v>No</v>
      </c>
      <c r="E134" s="27">
        <v>129.30000000000001</v>
      </c>
      <c r="F134" s="27">
        <v>139.30000000000001</v>
      </c>
      <c r="G134" s="27">
        <v>131.6</v>
      </c>
      <c r="H134" s="27">
        <v>134.1</v>
      </c>
      <c r="I134" s="27">
        <v>116.9</v>
      </c>
      <c r="J134" s="27">
        <v>138.1</v>
      </c>
      <c r="K134" s="27">
        <v>159.1</v>
      </c>
      <c r="L134" s="27">
        <v>175.6</v>
      </c>
      <c r="M134" s="27">
        <v>112.9</v>
      </c>
      <c r="N134" s="27">
        <v>138.1</v>
      </c>
      <c r="O134" s="27">
        <v>125.5</v>
      </c>
      <c r="P134" s="27">
        <v>139.5</v>
      </c>
      <c r="Q134" s="27">
        <v>137.9</v>
      </c>
      <c r="R134" s="21">
        <f t="shared" si="15"/>
        <v>1777.9</v>
      </c>
      <c r="S134" s="21">
        <v>134.1</v>
      </c>
      <c r="T134" s="21">
        <v>128.19999999999999</v>
      </c>
      <c r="U134" s="21">
        <v>133.19999999999999</v>
      </c>
      <c r="V134" s="21">
        <f t="shared" si="16"/>
        <v>395.49999999999994</v>
      </c>
      <c r="W134" s="22">
        <v>127.3</v>
      </c>
      <c r="X134" s="21">
        <v>123.6</v>
      </c>
      <c r="Y134" s="21">
        <v>127.4</v>
      </c>
      <c r="Z134" s="22">
        <f t="shared" si="17"/>
        <v>378.29999999999995</v>
      </c>
      <c r="AA134" s="21">
        <v>124.8</v>
      </c>
      <c r="AB134" s="21">
        <v>121.5</v>
      </c>
      <c r="AC134" s="21">
        <f t="shared" si="18"/>
        <v>246.3</v>
      </c>
      <c r="AD134" s="27">
        <v>113.1</v>
      </c>
      <c r="AE134" s="27">
        <v>122.7</v>
      </c>
      <c r="AF134" s="27">
        <v>131.69999999999999</v>
      </c>
      <c r="AG134" s="21">
        <f t="shared" si="19"/>
        <v>254.39999999999998</v>
      </c>
      <c r="AH134" s="27">
        <v>140.19999999999999</v>
      </c>
      <c r="AI134" s="27">
        <v>122.1</v>
      </c>
      <c r="AJ134" s="21">
        <f t="shared" si="20"/>
        <v>262.29999999999995</v>
      </c>
      <c r="AK134" s="21">
        <v>131.1</v>
      </c>
    </row>
    <row r="135" spans="1:37">
      <c r="A135" s="21" t="s">
        <v>30</v>
      </c>
      <c r="B135" s="26">
        <v>2016</v>
      </c>
      <c r="C135" s="21" t="s">
        <v>42</v>
      </c>
      <c r="D135" s="21" t="str">
        <f t="shared" si="14"/>
        <v>No</v>
      </c>
      <c r="E135" s="27">
        <v>130.80000000000001</v>
      </c>
      <c r="F135" s="27">
        <v>138.19999999999999</v>
      </c>
      <c r="G135" s="27">
        <v>130.5</v>
      </c>
      <c r="H135" s="27">
        <v>135.5</v>
      </c>
      <c r="I135" s="27">
        <v>120.2</v>
      </c>
      <c r="J135" s="27">
        <v>139.19999999999999</v>
      </c>
      <c r="K135" s="27">
        <v>149.5</v>
      </c>
      <c r="L135" s="27">
        <v>170.4</v>
      </c>
      <c r="M135" s="27">
        <v>113.1</v>
      </c>
      <c r="N135" s="27">
        <v>135.80000000000001</v>
      </c>
      <c r="O135" s="27">
        <v>128.80000000000001</v>
      </c>
      <c r="P135" s="27">
        <v>141.5</v>
      </c>
      <c r="Q135" s="27">
        <v>137.19999999999999</v>
      </c>
      <c r="R135" s="21">
        <f t="shared" si="15"/>
        <v>1770.7</v>
      </c>
      <c r="S135" s="21">
        <v>138.5</v>
      </c>
      <c r="T135" s="21">
        <v>133.5</v>
      </c>
      <c r="U135" s="21">
        <v>137.80000000000001</v>
      </c>
      <c r="V135" s="21">
        <f t="shared" si="16"/>
        <v>409.8</v>
      </c>
      <c r="W135" s="22">
        <v>139.25</v>
      </c>
      <c r="X135" s="21">
        <v>129.69999999999999</v>
      </c>
      <c r="Y135" s="21">
        <v>131.1</v>
      </c>
      <c r="Z135" s="22">
        <f t="shared" si="17"/>
        <v>400.04999999999995</v>
      </c>
      <c r="AA135" s="21">
        <v>127.8</v>
      </c>
      <c r="AB135" s="21">
        <v>122.8</v>
      </c>
      <c r="AC135" s="21">
        <f t="shared" si="18"/>
        <v>250.6</v>
      </c>
      <c r="AD135" s="27">
        <v>117</v>
      </c>
      <c r="AE135" s="27">
        <v>125.7</v>
      </c>
      <c r="AF135" s="27">
        <v>132.19999999999999</v>
      </c>
      <c r="AG135" s="21">
        <f t="shared" si="19"/>
        <v>257.89999999999998</v>
      </c>
      <c r="AH135" s="27">
        <v>139.9</v>
      </c>
      <c r="AI135" s="27">
        <v>124.9</v>
      </c>
      <c r="AJ135" s="21">
        <f t="shared" si="20"/>
        <v>264.8</v>
      </c>
      <c r="AK135" s="21">
        <v>133.4</v>
      </c>
    </row>
    <row r="136" spans="1:37">
      <c r="A136" s="21" t="s">
        <v>33</v>
      </c>
      <c r="B136" s="26">
        <v>2016</v>
      </c>
      <c r="C136" s="21" t="s">
        <v>42</v>
      </c>
      <c r="D136" s="21" t="str">
        <f t="shared" si="14"/>
        <v>No</v>
      </c>
      <c r="E136" s="27">
        <v>128.1</v>
      </c>
      <c r="F136" s="27">
        <v>137.69999999999999</v>
      </c>
      <c r="G136" s="27">
        <v>130.6</v>
      </c>
      <c r="H136" s="27">
        <v>132.6</v>
      </c>
      <c r="I136" s="27">
        <v>111.9</v>
      </c>
      <c r="J136" s="27">
        <v>132.5</v>
      </c>
      <c r="K136" s="27">
        <v>152.9</v>
      </c>
      <c r="L136" s="27">
        <v>173.6</v>
      </c>
      <c r="M136" s="27">
        <v>115.1</v>
      </c>
      <c r="N136" s="27">
        <v>144.80000000000001</v>
      </c>
      <c r="O136" s="27">
        <v>122.1</v>
      </c>
      <c r="P136" s="27">
        <v>138.80000000000001</v>
      </c>
      <c r="Q136" s="27">
        <v>135.69999999999999</v>
      </c>
      <c r="R136" s="21">
        <f t="shared" si="15"/>
        <v>1756.3999999999996</v>
      </c>
      <c r="S136" s="21">
        <v>128.69999999999999</v>
      </c>
      <c r="T136" s="21">
        <v>121.6</v>
      </c>
      <c r="U136" s="21">
        <v>127.7</v>
      </c>
      <c r="V136" s="21">
        <f t="shared" si="16"/>
        <v>378</v>
      </c>
      <c r="W136" s="22">
        <v>127.9</v>
      </c>
      <c r="X136" s="21">
        <v>114.8</v>
      </c>
      <c r="Y136" s="21">
        <v>124.3</v>
      </c>
      <c r="Z136" s="22">
        <f t="shared" si="17"/>
        <v>367</v>
      </c>
      <c r="AA136" s="21">
        <v>121.4</v>
      </c>
      <c r="AB136" s="21">
        <v>121.2</v>
      </c>
      <c r="AC136" s="21">
        <f t="shared" si="18"/>
        <v>242.60000000000002</v>
      </c>
      <c r="AD136" s="27">
        <v>111.8</v>
      </c>
      <c r="AE136" s="27">
        <v>120.8</v>
      </c>
      <c r="AF136" s="27">
        <v>131.6</v>
      </c>
      <c r="AG136" s="21">
        <f t="shared" si="19"/>
        <v>252.39999999999998</v>
      </c>
      <c r="AH136" s="27">
        <v>143.9</v>
      </c>
      <c r="AI136" s="27">
        <v>120.5</v>
      </c>
      <c r="AJ136" s="21">
        <f t="shared" si="20"/>
        <v>264.39999999999998</v>
      </c>
      <c r="AK136" s="21">
        <v>128</v>
      </c>
    </row>
    <row r="137" spans="1:37">
      <c r="A137" s="21" t="s">
        <v>34</v>
      </c>
      <c r="B137" s="26">
        <v>2016</v>
      </c>
      <c r="C137" s="21" t="s">
        <v>42</v>
      </c>
      <c r="D137" s="21" t="str">
        <f t="shared" si="14"/>
        <v>No</v>
      </c>
      <c r="E137" s="27">
        <v>129.9</v>
      </c>
      <c r="F137" s="27">
        <v>138</v>
      </c>
      <c r="G137" s="27">
        <v>130.5</v>
      </c>
      <c r="H137" s="27">
        <v>134.4</v>
      </c>
      <c r="I137" s="27">
        <v>117.2</v>
      </c>
      <c r="J137" s="27">
        <v>136.1</v>
      </c>
      <c r="K137" s="27">
        <v>150.69999999999999</v>
      </c>
      <c r="L137" s="27">
        <v>171.5</v>
      </c>
      <c r="M137" s="27">
        <v>113.8</v>
      </c>
      <c r="N137" s="27">
        <v>138.80000000000001</v>
      </c>
      <c r="O137" s="27">
        <v>126</v>
      </c>
      <c r="P137" s="27">
        <v>140.19999999999999</v>
      </c>
      <c r="Q137" s="27">
        <v>136.6</v>
      </c>
      <c r="R137" s="21">
        <f t="shared" si="15"/>
        <v>1763.6999999999998</v>
      </c>
      <c r="S137" s="21">
        <v>134.6</v>
      </c>
      <c r="T137" s="21">
        <v>128.6</v>
      </c>
      <c r="U137" s="21">
        <v>133.80000000000001</v>
      </c>
      <c r="V137" s="21">
        <f t="shared" si="16"/>
        <v>397</v>
      </c>
      <c r="W137" s="22">
        <v>127.9</v>
      </c>
      <c r="X137" s="21">
        <v>124.1</v>
      </c>
      <c r="Y137" s="21">
        <v>127.9</v>
      </c>
      <c r="Z137" s="22">
        <f t="shared" si="17"/>
        <v>379.9</v>
      </c>
      <c r="AA137" s="21">
        <v>125.4</v>
      </c>
      <c r="AB137" s="21">
        <v>122.1</v>
      </c>
      <c r="AC137" s="21">
        <f t="shared" si="18"/>
        <v>247.5</v>
      </c>
      <c r="AD137" s="27">
        <v>114.3</v>
      </c>
      <c r="AE137" s="27">
        <v>122.9</v>
      </c>
      <c r="AF137" s="27">
        <v>131.80000000000001</v>
      </c>
      <c r="AG137" s="21">
        <f t="shared" si="19"/>
        <v>254.70000000000002</v>
      </c>
      <c r="AH137" s="27">
        <v>141</v>
      </c>
      <c r="AI137" s="27">
        <v>122.8</v>
      </c>
      <c r="AJ137" s="21">
        <f t="shared" si="20"/>
        <v>263.8</v>
      </c>
      <c r="AK137" s="21">
        <v>130.9</v>
      </c>
    </row>
    <row r="138" spans="1:37">
      <c r="A138" s="21" t="s">
        <v>30</v>
      </c>
      <c r="B138" s="26">
        <v>2016</v>
      </c>
      <c r="C138" s="21" t="s">
        <v>43</v>
      </c>
      <c r="D138" s="21" t="str">
        <f t="shared" si="14"/>
        <v>No</v>
      </c>
      <c r="E138" s="27">
        <v>131.30000000000001</v>
      </c>
      <c r="F138" s="27">
        <v>137.6</v>
      </c>
      <c r="G138" s="27">
        <v>130.1</v>
      </c>
      <c r="H138" s="27">
        <v>136</v>
      </c>
      <c r="I138" s="27">
        <v>120.8</v>
      </c>
      <c r="J138" s="27">
        <v>138.4</v>
      </c>
      <c r="K138" s="27">
        <v>149.19999999999999</v>
      </c>
      <c r="L138" s="27">
        <v>170.2</v>
      </c>
      <c r="M138" s="27">
        <v>113.4</v>
      </c>
      <c r="N138" s="27">
        <v>136.30000000000001</v>
      </c>
      <c r="O138" s="27">
        <v>128.69999999999999</v>
      </c>
      <c r="P138" s="27">
        <v>142.4</v>
      </c>
      <c r="Q138" s="27">
        <v>137.4</v>
      </c>
      <c r="R138" s="21">
        <f t="shared" si="15"/>
        <v>1771.8000000000002</v>
      </c>
      <c r="S138" s="21">
        <v>139.6</v>
      </c>
      <c r="T138" s="21">
        <v>134.30000000000001</v>
      </c>
      <c r="U138" s="21">
        <v>138.80000000000001</v>
      </c>
      <c r="V138" s="21">
        <f t="shared" si="16"/>
        <v>412.7</v>
      </c>
      <c r="W138" s="22">
        <v>139.25</v>
      </c>
      <c r="X138" s="21">
        <v>129.80000000000001</v>
      </c>
      <c r="Y138" s="21">
        <v>131.80000000000001</v>
      </c>
      <c r="Z138" s="22">
        <f t="shared" si="17"/>
        <v>400.85</v>
      </c>
      <c r="AA138" s="21">
        <v>128.69999999999999</v>
      </c>
      <c r="AB138" s="21">
        <v>123</v>
      </c>
      <c r="AC138" s="21">
        <f t="shared" si="18"/>
        <v>251.7</v>
      </c>
      <c r="AD138" s="27">
        <v>117.8</v>
      </c>
      <c r="AE138" s="27">
        <v>126.5</v>
      </c>
      <c r="AF138" s="27">
        <v>133</v>
      </c>
      <c r="AG138" s="21">
        <f t="shared" si="19"/>
        <v>259.5</v>
      </c>
      <c r="AH138" s="27">
        <v>140.9</v>
      </c>
      <c r="AI138" s="27">
        <v>125.7</v>
      </c>
      <c r="AJ138" s="21">
        <f t="shared" si="20"/>
        <v>266.60000000000002</v>
      </c>
      <c r="AK138" s="21">
        <v>133.80000000000001</v>
      </c>
    </row>
    <row r="139" spans="1:37">
      <c r="A139" s="21" t="s">
        <v>33</v>
      </c>
      <c r="B139" s="26">
        <v>2016</v>
      </c>
      <c r="C139" s="21" t="s">
        <v>43</v>
      </c>
      <c r="D139" s="21" t="str">
        <f t="shared" si="14"/>
        <v>No</v>
      </c>
      <c r="E139" s="27">
        <v>128.69999999999999</v>
      </c>
      <c r="F139" s="27">
        <v>138.4</v>
      </c>
      <c r="G139" s="27">
        <v>130.30000000000001</v>
      </c>
      <c r="H139" s="27">
        <v>132.69999999999999</v>
      </c>
      <c r="I139" s="27">
        <v>112.5</v>
      </c>
      <c r="J139" s="27">
        <v>130.4</v>
      </c>
      <c r="K139" s="27">
        <v>155.1</v>
      </c>
      <c r="L139" s="27">
        <v>175.7</v>
      </c>
      <c r="M139" s="27">
        <v>115.4</v>
      </c>
      <c r="N139" s="27">
        <v>145.30000000000001</v>
      </c>
      <c r="O139" s="27">
        <v>122.5</v>
      </c>
      <c r="P139" s="27">
        <v>139.6</v>
      </c>
      <c r="Q139" s="27">
        <v>136.30000000000001</v>
      </c>
      <c r="R139" s="21">
        <f t="shared" si="15"/>
        <v>1762.8999999999999</v>
      </c>
      <c r="S139" s="21">
        <v>129.1</v>
      </c>
      <c r="T139" s="21">
        <v>121.9</v>
      </c>
      <c r="U139" s="21">
        <v>128</v>
      </c>
      <c r="V139" s="21">
        <f t="shared" si="16"/>
        <v>379</v>
      </c>
      <c r="W139" s="22">
        <v>128.69999999999999</v>
      </c>
      <c r="X139" s="21">
        <v>115.2</v>
      </c>
      <c r="Y139" s="21">
        <v>124.5</v>
      </c>
      <c r="Z139" s="22">
        <f t="shared" si="17"/>
        <v>368.4</v>
      </c>
      <c r="AA139" s="21">
        <v>121.8</v>
      </c>
      <c r="AB139" s="21">
        <v>120.8</v>
      </c>
      <c r="AC139" s="21">
        <f t="shared" si="18"/>
        <v>242.6</v>
      </c>
      <c r="AD139" s="27">
        <v>112.8</v>
      </c>
      <c r="AE139" s="27">
        <v>121.2</v>
      </c>
      <c r="AF139" s="27">
        <v>131.9</v>
      </c>
      <c r="AG139" s="21">
        <f t="shared" si="19"/>
        <v>253.10000000000002</v>
      </c>
      <c r="AH139" s="27">
        <v>144.30000000000001</v>
      </c>
      <c r="AI139" s="27">
        <v>120.9</v>
      </c>
      <c r="AJ139" s="21">
        <f t="shared" si="20"/>
        <v>265.20000000000005</v>
      </c>
      <c r="AK139" s="21">
        <v>128.6</v>
      </c>
    </row>
    <row r="140" spans="1:37">
      <c r="A140" s="21" t="s">
        <v>34</v>
      </c>
      <c r="B140" s="26">
        <v>2016</v>
      </c>
      <c r="C140" s="21" t="s">
        <v>43</v>
      </c>
      <c r="D140" s="21" t="str">
        <f t="shared" si="14"/>
        <v>No</v>
      </c>
      <c r="E140" s="27">
        <v>130.5</v>
      </c>
      <c r="F140" s="27">
        <v>137.9</v>
      </c>
      <c r="G140" s="27">
        <v>130.19999999999999</v>
      </c>
      <c r="H140" s="27">
        <v>134.80000000000001</v>
      </c>
      <c r="I140" s="27">
        <v>117.8</v>
      </c>
      <c r="J140" s="27">
        <v>134.69999999999999</v>
      </c>
      <c r="K140" s="27">
        <v>151.19999999999999</v>
      </c>
      <c r="L140" s="27">
        <v>172.1</v>
      </c>
      <c r="M140" s="27">
        <v>114.1</v>
      </c>
      <c r="N140" s="27">
        <v>139.30000000000001</v>
      </c>
      <c r="O140" s="27">
        <v>126.1</v>
      </c>
      <c r="P140" s="27">
        <v>141.1</v>
      </c>
      <c r="Q140" s="27">
        <v>137</v>
      </c>
      <c r="R140" s="21">
        <f t="shared" si="15"/>
        <v>1766.7999999999995</v>
      </c>
      <c r="S140" s="21">
        <v>135.5</v>
      </c>
      <c r="T140" s="21">
        <v>129.1</v>
      </c>
      <c r="U140" s="21">
        <v>134.5</v>
      </c>
      <c r="V140" s="21">
        <f t="shared" si="16"/>
        <v>399.1</v>
      </c>
      <c r="W140" s="22">
        <v>128.69999999999999</v>
      </c>
      <c r="X140" s="21">
        <v>124.3</v>
      </c>
      <c r="Y140" s="21">
        <v>128.4</v>
      </c>
      <c r="Z140" s="22">
        <f t="shared" si="17"/>
        <v>381.4</v>
      </c>
      <c r="AA140" s="21">
        <v>126.1</v>
      </c>
      <c r="AB140" s="21">
        <v>122.1</v>
      </c>
      <c r="AC140" s="21">
        <f t="shared" si="18"/>
        <v>248.2</v>
      </c>
      <c r="AD140" s="27">
        <v>115.2</v>
      </c>
      <c r="AE140" s="27">
        <v>123.5</v>
      </c>
      <c r="AF140" s="27">
        <v>132.4</v>
      </c>
      <c r="AG140" s="21">
        <f t="shared" si="19"/>
        <v>255.9</v>
      </c>
      <c r="AH140" s="27">
        <v>141.80000000000001</v>
      </c>
      <c r="AI140" s="27">
        <v>123.4</v>
      </c>
      <c r="AJ140" s="21">
        <f t="shared" si="20"/>
        <v>265.20000000000005</v>
      </c>
      <c r="AK140" s="21">
        <v>131.4</v>
      </c>
    </row>
    <row r="141" spans="1:37">
      <c r="A141" s="21" t="s">
        <v>30</v>
      </c>
      <c r="B141" s="26">
        <v>2016</v>
      </c>
      <c r="C141" s="21" t="s">
        <v>45</v>
      </c>
      <c r="D141" s="21" t="str">
        <f t="shared" si="14"/>
        <v>No</v>
      </c>
      <c r="E141" s="27">
        <v>132</v>
      </c>
      <c r="F141" s="27">
        <v>137.4</v>
      </c>
      <c r="G141" s="27">
        <v>130.6</v>
      </c>
      <c r="H141" s="27">
        <v>136.19999999999999</v>
      </c>
      <c r="I141" s="27">
        <v>121.1</v>
      </c>
      <c r="J141" s="27">
        <v>136.9</v>
      </c>
      <c r="K141" s="27">
        <v>141.80000000000001</v>
      </c>
      <c r="L141" s="27">
        <v>170</v>
      </c>
      <c r="M141" s="27">
        <v>113.4</v>
      </c>
      <c r="N141" s="27">
        <v>136.80000000000001</v>
      </c>
      <c r="O141" s="27">
        <v>128.69999999999999</v>
      </c>
      <c r="P141" s="27">
        <v>143.1</v>
      </c>
      <c r="Q141" s="27">
        <v>136.6</v>
      </c>
      <c r="R141" s="21">
        <f t="shared" si="15"/>
        <v>1764.6</v>
      </c>
      <c r="S141" s="21">
        <v>139.9</v>
      </c>
      <c r="T141" s="21">
        <v>134.5</v>
      </c>
      <c r="U141" s="21">
        <v>139.19999999999999</v>
      </c>
      <c r="V141" s="21">
        <f t="shared" si="16"/>
        <v>413.59999999999997</v>
      </c>
      <c r="W141" s="22">
        <v>139.25</v>
      </c>
      <c r="X141" s="21">
        <v>130.30000000000001</v>
      </c>
      <c r="Y141" s="21">
        <v>132.1</v>
      </c>
      <c r="Z141" s="22">
        <f t="shared" si="17"/>
        <v>401.65</v>
      </c>
      <c r="AA141" s="21">
        <v>129.1</v>
      </c>
      <c r="AB141" s="21">
        <v>123.5</v>
      </c>
      <c r="AC141" s="21">
        <f t="shared" si="18"/>
        <v>252.6</v>
      </c>
      <c r="AD141" s="27">
        <v>118.2</v>
      </c>
      <c r="AE141" s="27">
        <v>126.9</v>
      </c>
      <c r="AF141" s="27">
        <v>133.69999999999999</v>
      </c>
      <c r="AG141" s="21">
        <f t="shared" si="19"/>
        <v>260.60000000000002</v>
      </c>
      <c r="AH141" s="27">
        <v>141.19999999999999</v>
      </c>
      <c r="AI141" s="27">
        <v>126.1</v>
      </c>
      <c r="AJ141" s="21">
        <f t="shared" si="20"/>
        <v>267.29999999999995</v>
      </c>
      <c r="AK141" s="21">
        <v>133.6</v>
      </c>
    </row>
    <row r="142" spans="1:37">
      <c r="A142" s="21" t="s">
        <v>33</v>
      </c>
      <c r="B142" s="26">
        <v>2016</v>
      </c>
      <c r="C142" s="21" t="s">
        <v>45</v>
      </c>
      <c r="D142" s="21" t="str">
        <f t="shared" si="14"/>
        <v>No</v>
      </c>
      <c r="E142" s="27">
        <v>130.19999999999999</v>
      </c>
      <c r="F142" s="27">
        <v>138.5</v>
      </c>
      <c r="G142" s="27">
        <v>134.1</v>
      </c>
      <c r="H142" s="27">
        <v>132.9</v>
      </c>
      <c r="I142" s="27">
        <v>112.6</v>
      </c>
      <c r="J142" s="27">
        <v>130.80000000000001</v>
      </c>
      <c r="K142" s="27">
        <v>142</v>
      </c>
      <c r="L142" s="27">
        <v>174.9</v>
      </c>
      <c r="M142" s="27">
        <v>115.6</v>
      </c>
      <c r="N142" s="27">
        <v>145.4</v>
      </c>
      <c r="O142" s="27">
        <v>122.7</v>
      </c>
      <c r="P142" s="27">
        <v>140.30000000000001</v>
      </c>
      <c r="Q142" s="27">
        <v>135.19999999999999</v>
      </c>
      <c r="R142" s="21">
        <f t="shared" si="15"/>
        <v>1755.2</v>
      </c>
      <c r="S142" s="21">
        <v>129.6</v>
      </c>
      <c r="T142" s="21">
        <v>122.1</v>
      </c>
      <c r="U142" s="21">
        <v>128.5</v>
      </c>
      <c r="V142" s="21">
        <f t="shared" si="16"/>
        <v>380.2</v>
      </c>
      <c r="W142" s="22">
        <v>129.1</v>
      </c>
      <c r="X142" s="21">
        <v>116.2</v>
      </c>
      <c r="Y142" s="21">
        <v>124.7</v>
      </c>
      <c r="Z142" s="22">
        <f t="shared" si="17"/>
        <v>370</v>
      </c>
      <c r="AA142" s="21">
        <v>122.1</v>
      </c>
      <c r="AB142" s="21">
        <v>121.3</v>
      </c>
      <c r="AC142" s="21">
        <f t="shared" si="18"/>
        <v>243.39999999999998</v>
      </c>
      <c r="AD142" s="27">
        <v>113.4</v>
      </c>
      <c r="AE142" s="27">
        <v>121.7</v>
      </c>
      <c r="AF142" s="27">
        <v>132.1</v>
      </c>
      <c r="AG142" s="21">
        <f t="shared" si="19"/>
        <v>253.8</v>
      </c>
      <c r="AH142" s="27">
        <v>144.30000000000001</v>
      </c>
      <c r="AI142" s="27">
        <v>121.3</v>
      </c>
      <c r="AJ142" s="21">
        <f t="shared" si="20"/>
        <v>265.60000000000002</v>
      </c>
      <c r="AK142" s="21">
        <v>128.5</v>
      </c>
    </row>
    <row r="143" spans="1:37">
      <c r="A143" s="21" t="s">
        <v>34</v>
      </c>
      <c r="B143" s="26">
        <v>2016</v>
      </c>
      <c r="C143" s="21" t="s">
        <v>45</v>
      </c>
      <c r="D143" s="21" t="str">
        <f t="shared" si="14"/>
        <v>No</v>
      </c>
      <c r="E143" s="27">
        <v>131.4</v>
      </c>
      <c r="F143" s="27">
        <v>137.80000000000001</v>
      </c>
      <c r="G143" s="27">
        <v>132</v>
      </c>
      <c r="H143" s="27">
        <v>135</v>
      </c>
      <c r="I143" s="27">
        <v>118</v>
      </c>
      <c r="J143" s="27">
        <v>134.1</v>
      </c>
      <c r="K143" s="27">
        <v>141.9</v>
      </c>
      <c r="L143" s="27">
        <v>171.7</v>
      </c>
      <c r="M143" s="27">
        <v>114.1</v>
      </c>
      <c r="N143" s="27">
        <v>139.69999999999999</v>
      </c>
      <c r="O143" s="27">
        <v>126.2</v>
      </c>
      <c r="P143" s="27">
        <v>141.80000000000001</v>
      </c>
      <c r="Q143" s="27">
        <v>136.1</v>
      </c>
      <c r="R143" s="21">
        <f t="shared" si="15"/>
        <v>1759.8</v>
      </c>
      <c r="S143" s="21">
        <v>135.80000000000001</v>
      </c>
      <c r="T143" s="21">
        <v>129.30000000000001</v>
      </c>
      <c r="U143" s="21">
        <v>135</v>
      </c>
      <c r="V143" s="21">
        <f t="shared" si="16"/>
        <v>400.1</v>
      </c>
      <c r="W143" s="22">
        <v>129.1</v>
      </c>
      <c r="X143" s="21">
        <v>125</v>
      </c>
      <c r="Y143" s="21">
        <v>128.6</v>
      </c>
      <c r="Z143" s="22">
        <f t="shared" si="17"/>
        <v>382.7</v>
      </c>
      <c r="AA143" s="21">
        <v>126.4</v>
      </c>
      <c r="AB143" s="21">
        <v>122.6</v>
      </c>
      <c r="AC143" s="21">
        <f t="shared" si="18"/>
        <v>249</v>
      </c>
      <c r="AD143" s="27">
        <v>115.7</v>
      </c>
      <c r="AE143" s="27">
        <v>124</v>
      </c>
      <c r="AF143" s="27">
        <v>132.80000000000001</v>
      </c>
      <c r="AG143" s="21">
        <f t="shared" si="19"/>
        <v>256.8</v>
      </c>
      <c r="AH143" s="27">
        <v>142</v>
      </c>
      <c r="AI143" s="27">
        <v>123.8</v>
      </c>
      <c r="AJ143" s="21">
        <f t="shared" si="20"/>
        <v>265.8</v>
      </c>
      <c r="AK143" s="21">
        <v>131.19999999999999</v>
      </c>
    </row>
    <row r="144" spans="1:37">
      <c r="A144" s="21" t="s">
        <v>30</v>
      </c>
      <c r="B144" s="26">
        <v>2016</v>
      </c>
      <c r="C144" s="21" t="s">
        <v>46</v>
      </c>
      <c r="D144" s="21" t="str">
        <f t="shared" si="14"/>
        <v>No</v>
      </c>
      <c r="E144" s="27">
        <v>132.6</v>
      </c>
      <c r="F144" s="27">
        <v>137.30000000000001</v>
      </c>
      <c r="G144" s="27">
        <v>131.6</v>
      </c>
      <c r="H144" s="27">
        <v>136.30000000000001</v>
      </c>
      <c r="I144" s="27">
        <v>121.6</v>
      </c>
      <c r="J144" s="27">
        <v>135.6</v>
      </c>
      <c r="K144" s="27">
        <v>127.5</v>
      </c>
      <c r="L144" s="27">
        <v>167.9</v>
      </c>
      <c r="M144" s="27">
        <v>113.8</v>
      </c>
      <c r="N144" s="27">
        <v>137.5</v>
      </c>
      <c r="O144" s="27">
        <v>129.1</v>
      </c>
      <c r="P144" s="27">
        <v>143.6</v>
      </c>
      <c r="Q144" s="27">
        <v>134.69999999999999</v>
      </c>
      <c r="R144" s="21">
        <f t="shared" si="15"/>
        <v>1749.1</v>
      </c>
      <c r="S144" s="21">
        <v>140.4</v>
      </c>
      <c r="T144" s="21">
        <v>135.19999999999999</v>
      </c>
      <c r="U144" s="21">
        <v>139.69999999999999</v>
      </c>
      <c r="V144" s="21">
        <f t="shared" si="16"/>
        <v>415.3</v>
      </c>
      <c r="W144" s="22">
        <v>139.25</v>
      </c>
      <c r="X144" s="21">
        <v>132</v>
      </c>
      <c r="Y144" s="21">
        <v>132.9</v>
      </c>
      <c r="Z144" s="22">
        <f t="shared" si="17"/>
        <v>404.15</v>
      </c>
      <c r="AA144" s="21">
        <v>129.69999999999999</v>
      </c>
      <c r="AB144" s="21">
        <v>121.9</v>
      </c>
      <c r="AC144" s="21">
        <f t="shared" si="18"/>
        <v>251.6</v>
      </c>
      <c r="AD144" s="27">
        <v>118.6</v>
      </c>
      <c r="AE144" s="27">
        <v>127.3</v>
      </c>
      <c r="AF144" s="27">
        <v>134.19999999999999</v>
      </c>
      <c r="AG144" s="21">
        <f t="shared" si="19"/>
        <v>261.5</v>
      </c>
      <c r="AH144" s="27">
        <v>142.4</v>
      </c>
      <c r="AI144" s="27">
        <v>126.3</v>
      </c>
      <c r="AJ144" s="21">
        <f t="shared" si="20"/>
        <v>268.7</v>
      </c>
      <c r="AK144" s="21">
        <v>132.80000000000001</v>
      </c>
    </row>
    <row r="145" spans="1:37">
      <c r="A145" s="21" t="s">
        <v>33</v>
      </c>
      <c r="B145" s="26">
        <v>2016</v>
      </c>
      <c r="C145" s="21" t="s">
        <v>46</v>
      </c>
      <c r="D145" s="21" t="str">
        <f t="shared" si="14"/>
        <v>No</v>
      </c>
      <c r="E145" s="27">
        <v>131.6</v>
      </c>
      <c r="F145" s="27">
        <v>138.19999999999999</v>
      </c>
      <c r="G145" s="27">
        <v>134.9</v>
      </c>
      <c r="H145" s="27">
        <v>133.1</v>
      </c>
      <c r="I145" s="27">
        <v>113.5</v>
      </c>
      <c r="J145" s="27">
        <v>129.30000000000001</v>
      </c>
      <c r="K145" s="27">
        <v>121.1</v>
      </c>
      <c r="L145" s="27">
        <v>170.3</v>
      </c>
      <c r="M145" s="27">
        <v>115.5</v>
      </c>
      <c r="N145" s="27">
        <v>145.5</v>
      </c>
      <c r="O145" s="27">
        <v>123.1</v>
      </c>
      <c r="P145" s="27">
        <v>140.9</v>
      </c>
      <c r="Q145" s="27">
        <v>132.80000000000001</v>
      </c>
      <c r="R145" s="21">
        <f t="shared" si="15"/>
        <v>1729.8</v>
      </c>
      <c r="S145" s="21">
        <v>130</v>
      </c>
      <c r="T145" s="21">
        <v>122.2</v>
      </c>
      <c r="U145" s="21">
        <v>128.80000000000001</v>
      </c>
      <c r="V145" s="21">
        <f t="shared" si="16"/>
        <v>381</v>
      </c>
      <c r="W145" s="22">
        <v>128.5</v>
      </c>
      <c r="X145" s="21">
        <v>117.8</v>
      </c>
      <c r="Y145" s="21">
        <v>125</v>
      </c>
      <c r="Z145" s="22">
        <f t="shared" si="17"/>
        <v>371.3</v>
      </c>
      <c r="AA145" s="21">
        <v>122.3</v>
      </c>
      <c r="AB145" s="21">
        <v>119.9</v>
      </c>
      <c r="AC145" s="21">
        <f t="shared" si="18"/>
        <v>242.2</v>
      </c>
      <c r="AD145" s="27">
        <v>113.7</v>
      </c>
      <c r="AE145" s="27">
        <v>121.8</v>
      </c>
      <c r="AF145" s="27">
        <v>132.30000000000001</v>
      </c>
      <c r="AG145" s="21">
        <f t="shared" si="19"/>
        <v>254.10000000000002</v>
      </c>
      <c r="AH145" s="27">
        <v>145</v>
      </c>
      <c r="AI145" s="27">
        <v>121.4</v>
      </c>
      <c r="AJ145" s="21">
        <f t="shared" si="20"/>
        <v>266.39999999999998</v>
      </c>
      <c r="AK145" s="21">
        <v>127.6</v>
      </c>
    </row>
    <row r="146" spans="1:37">
      <c r="A146" s="21" t="s">
        <v>34</v>
      </c>
      <c r="B146" s="26">
        <v>2016</v>
      </c>
      <c r="C146" s="21" t="s">
        <v>46</v>
      </c>
      <c r="D146" s="21" t="str">
        <f t="shared" si="14"/>
        <v>No</v>
      </c>
      <c r="E146" s="27">
        <v>132.30000000000001</v>
      </c>
      <c r="F146" s="27">
        <v>137.6</v>
      </c>
      <c r="G146" s="27">
        <v>132.9</v>
      </c>
      <c r="H146" s="27">
        <v>135.1</v>
      </c>
      <c r="I146" s="27">
        <v>118.6</v>
      </c>
      <c r="J146" s="27">
        <v>132.69999999999999</v>
      </c>
      <c r="K146" s="27">
        <v>125.3</v>
      </c>
      <c r="L146" s="27">
        <v>168.7</v>
      </c>
      <c r="M146" s="27">
        <v>114.4</v>
      </c>
      <c r="N146" s="27">
        <v>140.19999999999999</v>
      </c>
      <c r="O146" s="27">
        <v>126.6</v>
      </c>
      <c r="P146" s="27">
        <v>142.30000000000001</v>
      </c>
      <c r="Q146" s="27">
        <v>134</v>
      </c>
      <c r="R146" s="21">
        <f t="shared" si="15"/>
        <v>1740.7</v>
      </c>
      <c r="S146" s="21">
        <v>136.30000000000001</v>
      </c>
      <c r="T146" s="21">
        <v>129.80000000000001</v>
      </c>
      <c r="U146" s="21">
        <v>135.4</v>
      </c>
      <c r="V146" s="21">
        <f t="shared" si="16"/>
        <v>401.5</v>
      </c>
      <c r="W146" s="22">
        <v>128.5</v>
      </c>
      <c r="X146" s="21">
        <v>126.6</v>
      </c>
      <c r="Y146" s="21">
        <v>129.19999999999999</v>
      </c>
      <c r="Z146" s="22">
        <f t="shared" si="17"/>
        <v>384.29999999999995</v>
      </c>
      <c r="AA146" s="21">
        <v>126.9</v>
      </c>
      <c r="AB146" s="21">
        <v>121.1</v>
      </c>
      <c r="AC146" s="21">
        <f t="shared" si="18"/>
        <v>248</v>
      </c>
      <c r="AD146" s="27">
        <v>116</v>
      </c>
      <c r="AE146" s="27">
        <v>124.2</v>
      </c>
      <c r="AF146" s="27">
        <v>133.1</v>
      </c>
      <c r="AG146" s="21">
        <f t="shared" si="19"/>
        <v>257.3</v>
      </c>
      <c r="AH146" s="27">
        <v>143.1</v>
      </c>
      <c r="AI146" s="27">
        <v>123.9</v>
      </c>
      <c r="AJ146" s="21">
        <f t="shared" si="20"/>
        <v>267</v>
      </c>
      <c r="AK146" s="21">
        <v>130.4</v>
      </c>
    </row>
    <row r="147" spans="1:37">
      <c r="A147" s="21" t="s">
        <v>30</v>
      </c>
      <c r="B147" s="26">
        <v>2017</v>
      </c>
      <c r="C147" s="21" t="s">
        <v>31</v>
      </c>
      <c r="D147" s="21" t="str">
        <f t="shared" si="14"/>
        <v>No</v>
      </c>
      <c r="E147" s="27">
        <v>133.1</v>
      </c>
      <c r="F147" s="27">
        <v>137.80000000000001</v>
      </c>
      <c r="G147" s="27">
        <v>131.9</v>
      </c>
      <c r="H147" s="27">
        <v>136.69999999999999</v>
      </c>
      <c r="I147" s="27">
        <v>122</v>
      </c>
      <c r="J147" s="27">
        <v>136</v>
      </c>
      <c r="K147" s="27">
        <v>119.8</v>
      </c>
      <c r="L147" s="27">
        <v>161.69999999999999</v>
      </c>
      <c r="M147" s="27">
        <v>114.8</v>
      </c>
      <c r="N147" s="27">
        <v>136.9</v>
      </c>
      <c r="O147" s="27">
        <v>129</v>
      </c>
      <c r="P147" s="27">
        <v>143.9</v>
      </c>
      <c r="Q147" s="27">
        <v>133.69999999999999</v>
      </c>
      <c r="R147" s="21">
        <f t="shared" si="15"/>
        <v>1737.3000000000002</v>
      </c>
      <c r="S147" s="21">
        <v>140.69999999999999</v>
      </c>
      <c r="T147" s="21">
        <v>135.80000000000001</v>
      </c>
      <c r="U147" s="21">
        <v>140</v>
      </c>
      <c r="V147" s="21">
        <f t="shared" si="16"/>
        <v>416.5</v>
      </c>
      <c r="W147" s="22">
        <v>139.25</v>
      </c>
      <c r="X147" s="21">
        <v>132.1</v>
      </c>
      <c r="Y147" s="21">
        <v>133.19999999999999</v>
      </c>
      <c r="Z147" s="22">
        <f t="shared" si="17"/>
        <v>404.55</v>
      </c>
      <c r="AA147" s="21">
        <v>129.9</v>
      </c>
      <c r="AB147" s="21">
        <v>122.3</v>
      </c>
      <c r="AC147" s="21">
        <f t="shared" si="18"/>
        <v>252.2</v>
      </c>
      <c r="AD147" s="27">
        <v>119.1</v>
      </c>
      <c r="AE147" s="27">
        <v>127</v>
      </c>
      <c r="AF147" s="27">
        <v>134.6</v>
      </c>
      <c r="AG147" s="21">
        <f t="shared" si="19"/>
        <v>261.60000000000002</v>
      </c>
      <c r="AH147" s="27">
        <v>143.1</v>
      </c>
      <c r="AI147" s="27">
        <v>126.6</v>
      </c>
      <c r="AJ147" s="21">
        <f t="shared" si="20"/>
        <v>269.7</v>
      </c>
      <c r="AK147" s="21">
        <v>132.4</v>
      </c>
    </row>
    <row r="148" spans="1:37">
      <c r="A148" s="21" t="s">
        <v>33</v>
      </c>
      <c r="B148" s="26">
        <v>2017</v>
      </c>
      <c r="C148" s="21" t="s">
        <v>31</v>
      </c>
      <c r="D148" s="21" t="str">
        <f t="shared" si="14"/>
        <v>No</v>
      </c>
      <c r="E148" s="27">
        <v>132.19999999999999</v>
      </c>
      <c r="F148" s="27">
        <v>138.9</v>
      </c>
      <c r="G148" s="27">
        <v>132.6</v>
      </c>
      <c r="H148" s="27">
        <v>133.1</v>
      </c>
      <c r="I148" s="27">
        <v>114</v>
      </c>
      <c r="J148" s="27">
        <v>129.6</v>
      </c>
      <c r="K148" s="27">
        <v>118.7</v>
      </c>
      <c r="L148" s="27">
        <v>155.1</v>
      </c>
      <c r="M148" s="27">
        <v>117.3</v>
      </c>
      <c r="N148" s="27">
        <v>144.9</v>
      </c>
      <c r="O148" s="27">
        <v>123.2</v>
      </c>
      <c r="P148" s="27">
        <v>141.6</v>
      </c>
      <c r="Q148" s="27">
        <v>132</v>
      </c>
      <c r="R148" s="21">
        <f t="shared" si="15"/>
        <v>1713.2</v>
      </c>
      <c r="S148" s="21">
        <v>130.19999999999999</v>
      </c>
      <c r="T148" s="21">
        <v>122.3</v>
      </c>
      <c r="U148" s="21">
        <v>129</v>
      </c>
      <c r="V148" s="21">
        <f t="shared" si="16"/>
        <v>381.5</v>
      </c>
      <c r="W148" s="22">
        <v>129.6</v>
      </c>
      <c r="X148" s="21">
        <v>118</v>
      </c>
      <c r="Y148" s="21">
        <v>125.1</v>
      </c>
      <c r="Z148" s="22">
        <f t="shared" si="17"/>
        <v>372.7</v>
      </c>
      <c r="AA148" s="21">
        <v>122.6</v>
      </c>
      <c r="AB148" s="21">
        <v>120.9</v>
      </c>
      <c r="AC148" s="21">
        <f t="shared" si="18"/>
        <v>243.5</v>
      </c>
      <c r="AD148" s="27">
        <v>115.2</v>
      </c>
      <c r="AE148" s="27">
        <v>122</v>
      </c>
      <c r="AF148" s="27">
        <v>132.4</v>
      </c>
      <c r="AG148" s="21">
        <f t="shared" si="19"/>
        <v>254.4</v>
      </c>
      <c r="AH148" s="27">
        <v>145.6</v>
      </c>
      <c r="AI148" s="27">
        <v>122.1</v>
      </c>
      <c r="AJ148" s="21">
        <f t="shared" si="20"/>
        <v>267.7</v>
      </c>
      <c r="AK148" s="21">
        <v>127.8</v>
      </c>
    </row>
    <row r="149" spans="1:37">
      <c r="A149" s="21" t="s">
        <v>34</v>
      </c>
      <c r="B149" s="26">
        <v>2017</v>
      </c>
      <c r="C149" s="21" t="s">
        <v>31</v>
      </c>
      <c r="D149" s="21" t="str">
        <f t="shared" si="14"/>
        <v>No</v>
      </c>
      <c r="E149" s="27">
        <v>132.80000000000001</v>
      </c>
      <c r="F149" s="27">
        <v>138.19999999999999</v>
      </c>
      <c r="G149" s="27">
        <v>132.19999999999999</v>
      </c>
      <c r="H149" s="27">
        <v>135.4</v>
      </c>
      <c r="I149" s="27">
        <v>119.1</v>
      </c>
      <c r="J149" s="27">
        <v>133</v>
      </c>
      <c r="K149" s="27">
        <v>119.4</v>
      </c>
      <c r="L149" s="27">
        <v>159.5</v>
      </c>
      <c r="M149" s="27">
        <v>115.6</v>
      </c>
      <c r="N149" s="27">
        <v>139.6</v>
      </c>
      <c r="O149" s="27">
        <v>126.6</v>
      </c>
      <c r="P149" s="27">
        <v>142.80000000000001</v>
      </c>
      <c r="Q149" s="27">
        <v>133.1</v>
      </c>
      <c r="R149" s="21">
        <f t="shared" si="15"/>
        <v>1727.2999999999995</v>
      </c>
      <c r="S149" s="21">
        <v>136.6</v>
      </c>
      <c r="T149" s="21">
        <v>130.19999999999999</v>
      </c>
      <c r="U149" s="21">
        <v>135.6</v>
      </c>
      <c r="V149" s="21">
        <f t="shared" si="16"/>
        <v>402.4</v>
      </c>
      <c r="W149" s="22">
        <v>129.6</v>
      </c>
      <c r="X149" s="21">
        <v>126.8</v>
      </c>
      <c r="Y149" s="21">
        <v>129.4</v>
      </c>
      <c r="Z149" s="22">
        <f t="shared" si="17"/>
        <v>385.79999999999995</v>
      </c>
      <c r="AA149" s="21">
        <v>127.1</v>
      </c>
      <c r="AB149" s="21">
        <v>121.7</v>
      </c>
      <c r="AC149" s="21">
        <f t="shared" si="18"/>
        <v>248.8</v>
      </c>
      <c r="AD149" s="27">
        <v>117</v>
      </c>
      <c r="AE149" s="27">
        <v>124.2</v>
      </c>
      <c r="AF149" s="27">
        <v>133.30000000000001</v>
      </c>
      <c r="AG149" s="21">
        <f t="shared" si="19"/>
        <v>257.5</v>
      </c>
      <c r="AH149" s="27">
        <v>143.80000000000001</v>
      </c>
      <c r="AI149" s="27">
        <v>124.4</v>
      </c>
      <c r="AJ149" s="21">
        <f t="shared" si="20"/>
        <v>268.20000000000005</v>
      </c>
      <c r="AK149" s="21">
        <v>130.30000000000001</v>
      </c>
    </row>
    <row r="150" spans="1:37">
      <c r="A150" s="21" t="s">
        <v>30</v>
      </c>
      <c r="B150" s="26">
        <v>2017</v>
      </c>
      <c r="C150" s="21" t="s">
        <v>35</v>
      </c>
      <c r="D150" s="21" t="str">
        <f t="shared" si="14"/>
        <v>No</v>
      </c>
      <c r="E150" s="27">
        <v>133.30000000000001</v>
      </c>
      <c r="F150" s="27">
        <v>138.30000000000001</v>
      </c>
      <c r="G150" s="27">
        <v>129.30000000000001</v>
      </c>
      <c r="H150" s="27">
        <v>137.19999999999999</v>
      </c>
      <c r="I150" s="27">
        <v>122.1</v>
      </c>
      <c r="J150" s="27">
        <v>138.69999999999999</v>
      </c>
      <c r="K150" s="27">
        <v>119.1</v>
      </c>
      <c r="L150" s="27">
        <v>156.9</v>
      </c>
      <c r="M150" s="27">
        <v>116.2</v>
      </c>
      <c r="N150" s="27">
        <v>136</v>
      </c>
      <c r="O150" s="27">
        <v>129.4</v>
      </c>
      <c r="P150" s="27">
        <v>144.4</v>
      </c>
      <c r="Q150" s="27">
        <v>133.6</v>
      </c>
      <c r="R150" s="21">
        <f t="shared" si="15"/>
        <v>1734.5000000000002</v>
      </c>
      <c r="S150" s="21">
        <v>140.9</v>
      </c>
      <c r="T150" s="21">
        <v>135.80000000000001</v>
      </c>
      <c r="U150" s="21">
        <v>140.19999999999999</v>
      </c>
      <c r="V150" s="21">
        <f t="shared" si="16"/>
        <v>416.90000000000003</v>
      </c>
      <c r="W150" s="22">
        <v>139.25</v>
      </c>
      <c r="X150" s="21">
        <v>133.19999999999999</v>
      </c>
      <c r="Y150" s="21">
        <v>133.6</v>
      </c>
      <c r="Z150" s="22">
        <f t="shared" si="17"/>
        <v>406.04999999999995</v>
      </c>
      <c r="AA150" s="21">
        <v>130.1</v>
      </c>
      <c r="AB150" s="21">
        <v>123.2</v>
      </c>
      <c r="AC150" s="21">
        <f t="shared" si="18"/>
        <v>253.3</v>
      </c>
      <c r="AD150" s="27">
        <v>119.5</v>
      </c>
      <c r="AE150" s="27">
        <v>127.7</v>
      </c>
      <c r="AF150" s="27">
        <v>134.9</v>
      </c>
      <c r="AG150" s="21">
        <f t="shared" si="19"/>
        <v>262.60000000000002</v>
      </c>
      <c r="AH150" s="27">
        <v>143.69999999999999</v>
      </c>
      <c r="AI150" s="27">
        <v>127</v>
      </c>
      <c r="AJ150" s="21">
        <f t="shared" si="20"/>
        <v>270.7</v>
      </c>
      <c r="AK150" s="21">
        <v>132.6</v>
      </c>
    </row>
    <row r="151" spans="1:37">
      <c r="A151" s="21" t="s">
        <v>33</v>
      </c>
      <c r="B151" s="26">
        <v>2017</v>
      </c>
      <c r="C151" s="21" t="s">
        <v>35</v>
      </c>
      <c r="D151" s="21" t="str">
        <f t="shared" si="14"/>
        <v>No</v>
      </c>
      <c r="E151" s="27">
        <v>132.80000000000001</v>
      </c>
      <c r="F151" s="27">
        <v>139.80000000000001</v>
      </c>
      <c r="G151" s="27">
        <v>129.30000000000001</v>
      </c>
      <c r="H151" s="27">
        <v>133.5</v>
      </c>
      <c r="I151" s="27">
        <v>114.3</v>
      </c>
      <c r="J151" s="27">
        <v>131.4</v>
      </c>
      <c r="K151" s="27">
        <v>120.2</v>
      </c>
      <c r="L151" s="27">
        <v>143.1</v>
      </c>
      <c r="M151" s="27">
        <v>119.5</v>
      </c>
      <c r="N151" s="27">
        <v>144</v>
      </c>
      <c r="O151" s="27">
        <v>123.4</v>
      </c>
      <c r="P151" s="27">
        <v>141.9</v>
      </c>
      <c r="Q151" s="27">
        <v>132.1</v>
      </c>
      <c r="R151" s="21">
        <f t="shared" si="15"/>
        <v>1705.3000000000002</v>
      </c>
      <c r="S151" s="21">
        <v>130.5</v>
      </c>
      <c r="T151" s="21">
        <v>122.5</v>
      </c>
      <c r="U151" s="21">
        <v>129.30000000000001</v>
      </c>
      <c r="V151" s="21">
        <f t="shared" si="16"/>
        <v>382.3</v>
      </c>
      <c r="W151" s="22">
        <v>130.5</v>
      </c>
      <c r="X151" s="21">
        <v>119.2</v>
      </c>
      <c r="Y151" s="21">
        <v>125.3</v>
      </c>
      <c r="Z151" s="22">
        <f t="shared" si="17"/>
        <v>375</v>
      </c>
      <c r="AA151" s="21">
        <v>122.9</v>
      </c>
      <c r="AB151" s="21">
        <v>121.7</v>
      </c>
      <c r="AC151" s="21">
        <f t="shared" si="18"/>
        <v>244.60000000000002</v>
      </c>
      <c r="AD151" s="27">
        <v>115.5</v>
      </c>
      <c r="AE151" s="27">
        <v>122.2</v>
      </c>
      <c r="AF151" s="27">
        <v>132.4</v>
      </c>
      <c r="AG151" s="21">
        <f t="shared" si="19"/>
        <v>254.60000000000002</v>
      </c>
      <c r="AH151" s="27">
        <v>146.30000000000001</v>
      </c>
      <c r="AI151" s="27">
        <v>122.4</v>
      </c>
      <c r="AJ151" s="21">
        <f t="shared" si="20"/>
        <v>268.70000000000005</v>
      </c>
      <c r="AK151" s="21">
        <v>128.19999999999999</v>
      </c>
    </row>
    <row r="152" spans="1:37">
      <c r="A152" s="21" t="s">
        <v>34</v>
      </c>
      <c r="B152" s="26">
        <v>2017</v>
      </c>
      <c r="C152" s="21" t="s">
        <v>35</v>
      </c>
      <c r="D152" s="21" t="str">
        <f t="shared" si="14"/>
        <v>No</v>
      </c>
      <c r="E152" s="27">
        <v>133.1</v>
      </c>
      <c r="F152" s="27">
        <v>138.80000000000001</v>
      </c>
      <c r="G152" s="27">
        <v>129.30000000000001</v>
      </c>
      <c r="H152" s="27">
        <v>135.80000000000001</v>
      </c>
      <c r="I152" s="27">
        <v>119.2</v>
      </c>
      <c r="J152" s="27">
        <v>135.30000000000001</v>
      </c>
      <c r="K152" s="27">
        <v>119.5</v>
      </c>
      <c r="L152" s="27">
        <v>152.19999999999999</v>
      </c>
      <c r="M152" s="27">
        <v>117.3</v>
      </c>
      <c r="N152" s="27">
        <v>138.69999999999999</v>
      </c>
      <c r="O152" s="27">
        <v>126.9</v>
      </c>
      <c r="P152" s="27">
        <v>143.19999999999999</v>
      </c>
      <c r="Q152" s="27">
        <v>133</v>
      </c>
      <c r="R152" s="21">
        <f t="shared" si="15"/>
        <v>1722.3000000000002</v>
      </c>
      <c r="S152" s="21">
        <v>136.80000000000001</v>
      </c>
      <c r="T152" s="21">
        <v>130.30000000000001</v>
      </c>
      <c r="U152" s="21">
        <v>135.9</v>
      </c>
      <c r="V152" s="21">
        <f t="shared" si="16"/>
        <v>403</v>
      </c>
      <c r="W152" s="22">
        <v>130.5</v>
      </c>
      <c r="X152" s="21">
        <v>127.9</v>
      </c>
      <c r="Y152" s="21">
        <v>129.69999999999999</v>
      </c>
      <c r="Z152" s="22">
        <f t="shared" si="17"/>
        <v>388.09999999999997</v>
      </c>
      <c r="AA152" s="21">
        <v>127.4</v>
      </c>
      <c r="AB152" s="21">
        <v>122.6</v>
      </c>
      <c r="AC152" s="21">
        <f t="shared" si="18"/>
        <v>250</v>
      </c>
      <c r="AD152" s="27">
        <v>117.4</v>
      </c>
      <c r="AE152" s="27">
        <v>124.6</v>
      </c>
      <c r="AF152" s="27">
        <v>133.4</v>
      </c>
      <c r="AG152" s="21">
        <f t="shared" si="19"/>
        <v>258</v>
      </c>
      <c r="AH152" s="27">
        <v>144.4</v>
      </c>
      <c r="AI152" s="27">
        <v>124.8</v>
      </c>
      <c r="AJ152" s="21">
        <f t="shared" si="20"/>
        <v>269.2</v>
      </c>
      <c r="AK152" s="21">
        <v>130.6</v>
      </c>
    </row>
    <row r="153" spans="1:37">
      <c r="A153" s="21" t="s">
        <v>30</v>
      </c>
      <c r="B153" s="26">
        <v>2017</v>
      </c>
      <c r="C153" s="21" t="s">
        <v>36</v>
      </c>
      <c r="D153" s="21" t="str">
        <f t="shared" si="14"/>
        <v>No</v>
      </c>
      <c r="E153" s="27">
        <v>133.6</v>
      </c>
      <c r="F153" s="27">
        <v>138.80000000000001</v>
      </c>
      <c r="G153" s="27">
        <v>128.80000000000001</v>
      </c>
      <c r="H153" s="27">
        <v>137.19999999999999</v>
      </c>
      <c r="I153" s="27">
        <v>121.6</v>
      </c>
      <c r="J153" s="27">
        <v>139.69999999999999</v>
      </c>
      <c r="K153" s="27">
        <v>119.7</v>
      </c>
      <c r="L153" s="27">
        <v>148</v>
      </c>
      <c r="M153" s="27">
        <v>116.9</v>
      </c>
      <c r="N153" s="27">
        <v>135.6</v>
      </c>
      <c r="O153" s="27">
        <v>129.80000000000001</v>
      </c>
      <c r="P153" s="27">
        <v>145.4</v>
      </c>
      <c r="Q153" s="27">
        <v>133.4</v>
      </c>
      <c r="R153" s="21">
        <f t="shared" si="15"/>
        <v>1728.5000000000002</v>
      </c>
      <c r="S153" s="21">
        <v>141.6</v>
      </c>
      <c r="T153" s="21">
        <v>136.19999999999999</v>
      </c>
      <c r="U153" s="21">
        <v>140.80000000000001</v>
      </c>
      <c r="V153" s="21">
        <f t="shared" si="16"/>
        <v>418.59999999999997</v>
      </c>
      <c r="W153" s="22">
        <v>139.25</v>
      </c>
      <c r="X153" s="21">
        <v>134.19999999999999</v>
      </c>
      <c r="Y153" s="21">
        <v>134.1</v>
      </c>
      <c r="Z153" s="22">
        <f t="shared" si="17"/>
        <v>407.54999999999995</v>
      </c>
      <c r="AA153" s="21">
        <v>130.6</v>
      </c>
      <c r="AB153" s="21">
        <v>123.3</v>
      </c>
      <c r="AC153" s="21">
        <f t="shared" si="18"/>
        <v>253.89999999999998</v>
      </c>
      <c r="AD153" s="27">
        <v>119.8</v>
      </c>
      <c r="AE153" s="27">
        <v>128.30000000000001</v>
      </c>
      <c r="AF153" s="27">
        <v>135.19999999999999</v>
      </c>
      <c r="AG153" s="21">
        <f t="shared" si="19"/>
        <v>263.5</v>
      </c>
      <c r="AH153" s="27">
        <v>144.19999999999999</v>
      </c>
      <c r="AI153" s="27">
        <v>127.4</v>
      </c>
      <c r="AJ153" s="21">
        <f t="shared" si="20"/>
        <v>271.60000000000002</v>
      </c>
      <c r="AK153" s="21">
        <v>132.80000000000001</v>
      </c>
    </row>
    <row r="154" spans="1:37">
      <c r="A154" s="21" t="s">
        <v>33</v>
      </c>
      <c r="B154" s="26">
        <v>2017</v>
      </c>
      <c r="C154" s="21" t="s">
        <v>36</v>
      </c>
      <c r="D154" s="21" t="str">
        <f t="shared" si="14"/>
        <v>Yes</v>
      </c>
      <c r="E154" s="27">
        <v>132.69999999999999</v>
      </c>
      <c r="F154" s="27">
        <v>139.4</v>
      </c>
      <c r="G154" s="27">
        <v>128.4</v>
      </c>
      <c r="H154" s="27">
        <v>134.9</v>
      </c>
      <c r="I154" s="27">
        <v>114</v>
      </c>
      <c r="J154" s="27">
        <v>136.80000000000001</v>
      </c>
      <c r="K154" s="27">
        <v>122.2</v>
      </c>
      <c r="L154" s="27">
        <v>135.80000000000001</v>
      </c>
      <c r="M154" s="27">
        <v>120.3</v>
      </c>
      <c r="N154" s="27">
        <v>142.6</v>
      </c>
      <c r="O154" s="27">
        <v>123.6</v>
      </c>
      <c r="P154" s="27">
        <v>142.4</v>
      </c>
      <c r="Q154" s="27">
        <v>132.6</v>
      </c>
      <c r="R154" s="21">
        <f t="shared" si="15"/>
        <v>1705.6999999999998</v>
      </c>
      <c r="S154" s="21">
        <v>130.80000000000001</v>
      </c>
      <c r="T154" s="21">
        <v>122.8</v>
      </c>
      <c r="U154" s="21">
        <v>129.6</v>
      </c>
      <c r="V154" s="21">
        <f t="shared" si="16"/>
        <v>383.20000000000005</v>
      </c>
      <c r="W154" s="22">
        <v>131.1</v>
      </c>
      <c r="X154" s="21">
        <v>120.8</v>
      </c>
      <c r="Y154" s="21">
        <v>125.6</v>
      </c>
      <c r="Z154" s="22">
        <f t="shared" si="17"/>
        <v>377.5</v>
      </c>
      <c r="AA154" s="21">
        <v>123.1</v>
      </c>
      <c r="AB154" s="21">
        <v>121.7</v>
      </c>
      <c r="AC154" s="21">
        <f t="shared" si="18"/>
        <v>244.8</v>
      </c>
      <c r="AD154" s="27">
        <v>115.6</v>
      </c>
      <c r="AE154" s="27">
        <v>122.4</v>
      </c>
      <c r="AF154" s="27">
        <v>132.80000000000001</v>
      </c>
      <c r="AG154" s="21">
        <f t="shared" si="19"/>
        <v>255.20000000000002</v>
      </c>
      <c r="AH154" s="27">
        <v>147.5</v>
      </c>
      <c r="AI154" s="27">
        <v>122.6</v>
      </c>
      <c r="AJ154" s="21">
        <f t="shared" si="20"/>
        <v>270.10000000000002</v>
      </c>
      <c r="AK154" s="21">
        <v>128.69999999999999</v>
      </c>
    </row>
    <row r="155" spans="1:37">
      <c r="A155" s="21" t="s">
        <v>34</v>
      </c>
      <c r="B155" s="26">
        <v>2017</v>
      </c>
      <c r="C155" s="21" t="s">
        <v>36</v>
      </c>
      <c r="D155" s="21" t="str">
        <f t="shared" si="14"/>
        <v>No</v>
      </c>
      <c r="E155" s="27">
        <v>133.30000000000001</v>
      </c>
      <c r="F155" s="27">
        <v>139</v>
      </c>
      <c r="G155" s="27">
        <v>128.6</v>
      </c>
      <c r="H155" s="27">
        <v>136.30000000000001</v>
      </c>
      <c r="I155" s="27">
        <v>118.8</v>
      </c>
      <c r="J155" s="27">
        <v>138.30000000000001</v>
      </c>
      <c r="K155" s="27">
        <v>120.5</v>
      </c>
      <c r="L155" s="27">
        <v>143.9</v>
      </c>
      <c r="M155" s="27">
        <v>118</v>
      </c>
      <c r="N155" s="27">
        <v>137.9</v>
      </c>
      <c r="O155" s="27">
        <v>127.2</v>
      </c>
      <c r="P155" s="27">
        <v>144</v>
      </c>
      <c r="Q155" s="27">
        <v>133.1</v>
      </c>
      <c r="R155" s="21">
        <f t="shared" si="15"/>
        <v>1718.9</v>
      </c>
      <c r="S155" s="21">
        <v>137.30000000000001</v>
      </c>
      <c r="T155" s="21">
        <v>130.6</v>
      </c>
      <c r="U155" s="21">
        <v>136.4</v>
      </c>
      <c r="V155" s="21">
        <f t="shared" si="16"/>
        <v>404.29999999999995</v>
      </c>
      <c r="W155" s="22">
        <v>131.1</v>
      </c>
      <c r="X155" s="21">
        <v>129.1</v>
      </c>
      <c r="Y155" s="21">
        <v>130.1</v>
      </c>
      <c r="Z155" s="22">
        <f t="shared" si="17"/>
        <v>390.29999999999995</v>
      </c>
      <c r="AA155" s="21">
        <v>127.8</v>
      </c>
      <c r="AB155" s="21">
        <v>122.6</v>
      </c>
      <c r="AC155" s="21">
        <f t="shared" si="18"/>
        <v>250.39999999999998</v>
      </c>
      <c r="AD155" s="27">
        <v>117.6</v>
      </c>
      <c r="AE155" s="27">
        <v>125</v>
      </c>
      <c r="AF155" s="27">
        <v>133.80000000000001</v>
      </c>
      <c r="AG155" s="21">
        <f t="shared" si="19"/>
        <v>258.8</v>
      </c>
      <c r="AH155" s="27">
        <v>145.1</v>
      </c>
      <c r="AI155" s="27">
        <v>125.1</v>
      </c>
      <c r="AJ155" s="21">
        <f t="shared" si="20"/>
        <v>270.2</v>
      </c>
      <c r="AK155" s="21">
        <v>130.9</v>
      </c>
    </row>
    <row r="156" spans="1:37">
      <c r="A156" s="21" t="s">
        <v>30</v>
      </c>
      <c r="B156" s="26">
        <v>2017</v>
      </c>
      <c r="C156" s="21" t="s">
        <v>37</v>
      </c>
      <c r="D156" s="21" t="str">
        <f t="shared" si="14"/>
        <v>No</v>
      </c>
      <c r="E156" s="27">
        <v>133.19999999999999</v>
      </c>
      <c r="F156" s="27">
        <v>138.69999999999999</v>
      </c>
      <c r="G156" s="27">
        <v>127.1</v>
      </c>
      <c r="H156" s="27">
        <v>137.69999999999999</v>
      </c>
      <c r="I156" s="27">
        <v>121.3</v>
      </c>
      <c r="J156" s="27">
        <v>141.80000000000001</v>
      </c>
      <c r="K156" s="27">
        <v>121.5</v>
      </c>
      <c r="L156" s="27">
        <v>144.5</v>
      </c>
      <c r="M156" s="27">
        <v>117.4</v>
      </c>
      <c r="N156" s="27">
        <v>134.1</v>
      </c>
      <c r="O156" s="27">
        <v>130</v>
      </c>
      <c r="P156" s="27">
        <v>145.5</v>
      </c>
      <c r="Q156" s="27">
        <v>133.5</v>
      </c>
      <c r="R156" s="21">
        <f t="shared" si="15"/>
        <v>1726.3</v>
      </c>
      <c r="S156" s="21">
        <v>142.4</v>
      </c>
      <c r="T156" s="21">
        <v>136.80000000000001</v>
      </c>
      <c r="U156" s="21">
        <v>141.6</v>
      </c>
      <c r="V156" s="21">
        <f t="shared" si="16"/>
        <v>420.80000000000007</v>
      </c>
      <c r="W156" s="22">
        <v>139.25</v>
      </c>
      <c r="X156" s="21">
        <v>135</v>
      </c>
      <c r="Y156" s="21">
        <v>134.30000000000001</v>
      </c>
      <c r="Z156" s="22">
        <f t="shared" si="17"/>
        <v>408.55</v>
      </c>
      <c r="AA156" s="21">
        <v>131</v>
      </c>
      <c r="AB156" s="21">
        <v>123.7</v>
      </c>
      <c r="AC156" s="21">
        <f t="shared" si="18"/>
        <v>254.7</v>
      </c>
      <c r="AD156" s="27">
        <v>119.2</v>
      </c>
      <c r="AE156" s="27">
        <v>128.30000000000001</v>
      </c>
      <c r="AF156" s="27">
        <v>135.69999999999999</v>
      </c>
      <c r="AG156" s="21">
        <f t="shared" si="19"/>
        <v>264</v>
      </c>
      <c r="AH156" s="27">
        <v>144.4</v>
      </c>
      <c r="AI156" s="27">
        <v>127.5</v>
      </c>
      <c r="AJ156" s="21">
        <f t="shared" si="20"/>
        <v>271.89999999999998</v>
      </c>
      <c r="AK156" s="21">
        <v>132.9</v>
      </c>
    </row>
    <row r="157" spans="1:37">
      <c r="A157" s="21" t="s">
        <v>33</v>
      </c>
      <c r="B157" s="26">
        <v>2017</v>
      </c>
      <c r="C157" s="21" t="s">
        <v>37</v>
      </c>
      <c r="D157" s="21" t="str">
        <f t="shared" si="14"/>
        <v>Yes</v>
      </c>
      <c r="E157" s="27">
        <v>132.69999999999999</v>
      </c>
      <c r="F157" s="27">
        <v>140.6</v>
      </c>
      <c r="G157" s="27">
        <v>124.5</v>
      </c>
      <c r="H157" s="27">
        <v>136.30000000000001</v>
      </c>
      <c r="I157" s="27">
        <v>113.5</v>
      </c>
      <c r="J157" s="27">
        <v>137.69999999999999</v>
      </c>
      <c r="K157" s="27">
        <v>127.1</v>
      </c>
      <c r="L157" s="27">
        <v>133.80000000000001</v>
      </c>
      <c r="M157" s="27">
        <v>120.8</v>
      </c>
      <c r="N157" s="27">
        <v>141.30000000000001</v>
      </c>
      <c r="O157" s="27">
        <v>123.8</v>
      </c>
      <c r="P157" s="27">
        <v>142.6</v>
      </c>
      <c r="Q157" s="27">
        <v>133.4</v>
      </c>
      <c r="R157" s="21">
        <f t="shared" si="15"/>
        <v>1708.1</v>
      </c>
      <c r="S157" s="21">
        <v>131.19999999999999</v>
      </c>
      <c r="T157" s="21">
        <v>123</v>
      </c>
      <c r="U157" s="21">
        <v>130</v>
      </c>
      <c r="V157" s="21">
        <f t="shared" si="16"/>
        <v>384.2</v>
      </c>
      <c r="W157" s="22">
        <v>131.69999999999999</v>
      </c>
      <c r="X157" s="21">
        <v>121.4</v>
      </c>
      <c r="Y157" s="21">
        <v>126</v>
      </c>
      <c r="Z157" s="22">
        <f t="shared" si="17"/>
        <v>379.1</v>
      </c>
      <c r="AA157" s="21">
        <v>123.4</v>
      </c>
      <c r="AB157" s="21">
        <v>122.2</v>
      </c>
      <c r="AC157" s="21">
        <f t="shared" si="18"/>
        <v>245.60000000000002</v>
      </c>
      <c r="AD157" s="27">
        <v>114.3</v>
      </c>
      <c r="AE157" s="27">
        <v>122.6</v>
      </c>
      <c r="AF157" s="27">
        <v>133.6</v>
      </c>
      <c r="AG157" s="21">
        <f t="shared" si="19"/>
        <v>256.2</v>
      </c>
      <c r="AH157" s="27">
        <v>148</v>
      </c>
      <c r="AI157" s="27">
        <v>122.5</v>
      </c>
      <c r="AJ157" s="21">
        <f t="shared" si="20"/>
        <v>270.5</v>
      </c>
      <c r="AK157" s="21">
        <v>129.1</v>
      </c>
    </row>
    <row r="158" spans="1:37">
      <c r="A158" s="21" t="s">
        <v>34</v>
      </c>
      <c r="B158" s="26">
        <v>2017</v>
      </c>
      <c r="C158" s="21" t="s">
        <v>37</v>
      </c>
      <c r="D158" s="21" t="str">
        <f t="shared" si="14"/>
        <v>No</v>
      </c>
      <c r="E158" s="27">
        <v>133</v>
      </c>
      <c r="F158" s="27">
        <v>139.4</v>
      </c>
      <c r="G158" s="27">
        <v>126.1</v>
      </c>
      <c r="H158" s="27">
        <v>137.19999999999999</v>
      </c>
      <c r="I158" s="27">
        <v>118.4</v>
      </c>
      <c r="J158" s="27">
        <v>139.9</v>
      </c>
      <c r="K158" s="27">
        <v>123.4</v>
      </c>
      <c r="L158" s="27">
        <v>140.9</v>
      </c>
      <c r="M158" s="27">
        <v>118.5</v>
      </c>
      <c r="N158" s="27">
        <v>136.5</v>
      </c>
      <c r="O158" s="27">
        <v>127.4</v>
      </c>
      <c r="P158" s="27">
        <v>144.19999999999999</v>
      </c>
      <c r="Q158" s="27">
        <v>133.5</v>
      </c>
      <c r="R158" s="21">
        <f t="shared" si="15"/>
        <v>1718.4</v>
      </c>
      <c r="S158" s="21">
        <v>138</v>
      </c>
      <c r="T158" s="21">
        <v>131.1</v>
      </c>
      <c r="U158" s="21">
        <v>137</v>
      </c>
      <c r="V158" s="21">
        <f t="shared" si="16"/>
        <v>406.1</v>
      </c>
      <c r="W158" s="22">
        <v>131.69999999999999</v>
      </c>
      <c r="X158" s="21">
        <v>129.80000000000001</v>
      </c>
      <c r="Y158" s="21">
        <v>130.4</v>
      </c>
      <c r="Z158" s="22">
        <f t="shared" si="17"/>
        <v>391.9</v>
      </c>
      <c r="AA158" s="21">
        <v>128.1</v>
      </c>
      <c r="AB158" s="21">
        <v>123.1</v>
      </c>
      <c r="AC158" s="21">
        <f t="shared" si="18"/>
        <v>251.2</v>
      </c>
      <c r="AD158" s="27">
        <v>116.6</v>
      </c>
      <c r="AE158" s="27">
        <v>125.1</v>
      </c>
      <c r="AF158" s="27">
        <v>134.5</v>
      </c>
      <c r="AG158" s="21">
        <f t="shared" si="19"/>
        <v>259.60000000000002</v>
      </c>
      <c r="AH158" s="27">
        <v>145.4</v>
      </c>
      <c r="AI158" s="27">
        <v>125.1</v>
      </c>
      <c r="AJ158" s="21">
        <f t="shared" si="20"/>
        <v>270.5</v>
      </c>
      <c r="AK158" s="21">
        <v>131.1</v>
      </c>
    </row>
    <row r="159" spans="1:37">
      <c r="A159" s="21" t="s">
        <v>30</v>
      </c>
      <c r="B159" s="26">
        <v>2017</v>
      </c>
      <c r="C159" s="21" t="s">
        <v>38</v>
      </c>
      <c r="D159" s="21" t="str">
        <f t="shared" si="14"/>
        <v>No</v>
      </c>
      <c r="E159" s="27">
        <v>133.1</v>
      </c>
      <c r="F159" s="27">
        <v>140.30000000000001</v>
      </c>
      <c r="G159" s="27">
        <v>126.8</v>
      </c>
      <c r="H159" s="27">
        <v>138.19999999999999</v>
      </c>
      <c r="I159" s="27">
        <v>120.8</v>
      </c>
      <c r="J159" s="27">
        <v>140.19999999999999</v>
      </c>
      <c r="K159" s="27">
        <v>123.8</v>
      </c>
      <c r="L159" s="27">
        <v>141.80000000000001</v>
      </c>
      <c r="M159" s="27">
        <v>118.6</v>
      </c>
      <c r="N159" s="27">
        <v>134</v>
      </c>
      <c r="O159" s="27">
        <v>130.30000000000001</v>
      </c>
      <c r="P159" s="27">
        <v>145.80000000000001</v>
      </c>
      <c r="Q159" s="27">
        <v>133.80000000000001</v>
      </c>
      <c r="R159" s="21">
        <f t="shared" si="15"/>
        <v>1727.4999999999995</v>
      </c>
      <c r="S159" s="21">
        <v>142.5</v>
      </c>
      <c r="T159" s="21">
        <v>137.30000000000001</v>
      </c>
      <c r="U159" s="21">
        <v>141.80000000000001</v>
      </c>
      <c r="V159" s="21">
        <f t="shared" si="16"/>
        <v>421.6</v>
      </c>
      <c r="W159" s="22">
        <v>139.25</v>
      </c>
      <c r="X159" s="21">
        <v>135</v>
      </c>
      <c r="Y159" s="21">
        <v>134.9</v>
      </c>
      <c r="Z159" s="22">
        <f t="shared" si="17"/>
        <v>409.15</v>
      </c>
      <c r="AA159" s="21">
        <v>131.4</v>
      </c>
      <c r="AB159" s="21">
        <v>123.7</v>
      </c>
      <c r="AC159" s="21">
        <f t="shared" si="18"/>
        <v>255.10000000000002</v>
      </c>
      <c r="AD159" s="27">
        <v>119.4</v>
      </c>
      <c r="AE159" s="27">
        <v>129.4</v>
      </c>
      <c r="AF159" s="27">
        <v>136.30000000000001</v>
      </c>
      <c r="AG159" s="21">
        <f t="shared" si="19"/>
        <v>265.70000000000005</v>
      </c>
      <c r="AH159" s="27">
        <v>145.5</v>
      </c>
      <c r="AI159" s="27">
        <v>127.9</v>
      </c>
      <c r="AJ159" s="21">
        <f t="shared" si="20"/>
        <v>273.39999999999998</v>
      </c>
      <c r="AK159" s="21">
        <v>133.30000000000001</v>
      </c>
    </row>
    <row r="160" spans="1:37">
      <c r="A160" s="21" t="s">
        <v>33</v>
      </c>
      <c r="B160" s="26">
        <v>2017</v>
      </c>
      <c r="C160" s="21" t="s">
        <v>38</v>
      </c>
      <c r="D160" s="21" t="str">
        <f t="shared" si="14"/>
        <v>Yes</v>
      </c>
      <c r="E160" s="27">
        <v>132.6</v>
      </c>
      <c r="F160" s="27">
        <v>144.1</v>
      </c>
      <c r="G160" s="27">
        <v>125.6</v>
      </c>
      <c r="H160" s="27">
        <v>136.80000000000001</v>
      </c>
      <c r="I160" s="27">
        <v>113.4</v>
      </c>
      <c r="J160" s="27">
        <v>135.19999999999999</v>
      </c>
      <c r="K160" s="27">
        <v>129.19999999999999</v>
      </c>
      <c r="L160" s="27">
        <v>131.5</v>
      </c>
      <c r="M160" s="27">
        <v>121</v>
      </c>
      <c r="N160" s="27">
        <v>139.9</v>
      </c>
      <c r="O160" s="27">
        <v>123.8</v>
      </c>
      <c r="P160" s="27">
        <v>142.9</v>
      </c>
      <c r="Q160" s="27">
        <v>133.6</v>
      </c>
      <c r="R160" s="21">
        <f t="shared" si="15"/>
        <v>1709.6</v>
      </c>
      <c r="S160" s="21">
        <v>131.5</v>
      </c>
      <c r="T160" s="21">
        <v>123.2</v>
      </c>
      <c r="U160" s="21">
        <v>130.19999999999999</v>
      </c>
      <c r="V160" s="21">
        <f t="shared" si="16"/>
        <v>384.9</v>
      </c>
      <c r="W160" s="22">
        <v>132.1</v>
      </c>
      <c r="X160" s="21">
        <v>120.1</v>
      </c>
      <c r="Y160" s="21">
        <v>126.5</v>
      </c>
      <c r="Z160" s="22">
        <f t="shared" si="17"/>
        <v>378.7</v>
      </c>
      <c r="AA160" s="21">
        <v>123.6</v>
      </c>
      <c r="AB160" s="21">
        <v>122</v>
      </c>
      <c r="AC160" s="21">
        <f t="shared" si="18"/>
        <v>245.6</v>
      </c>
      <c r="AD160" s="27">
        <v>114.3</v>
      </c>
      <c r="AE160" s="27">
        <v>122.8</v>
      </c>
      <c r="AF160" s="27">
        <v>133.80000000000001</v>
      </c>
      <c r="AG160" s="21">
        <f t="shared" si="19"/>
        <v>256.60000000000002</v>
      </c>
      <c r="AH160" s="27">
        <v>148.30000000000001</v>
      </c>
      <c r="AI160" s="27">
        <v>122.6</v>
      </c>
      <c r="AJ160" s="21">
        <f t="shared" si="20"/>
        <v>270.89999999999998</v>
      </c>
      <c r="AK160" s="21">
        <v>129.30000000000001</v>
      </c>
    </row>
    <row r="161" spans="1:37">
      <c r="A161" s="21" t="s">
        <v>34</v>
      </c>
      <c r="B161" s="26">
        <v>2017</v>
      </c>
      <c r="C161" s="21" t="s">
        <v>38</v>
      </c>
      <c r="D161" s="21" t="str">
        <f t="shared" si="14"/>
        <v>No</v>
      </c>
      <c r="E161" s="27">
        <v>132.9</v>
      </c>
      <c r="F161" s="27">
        <v>141.6</v>
      </c>
      <c r="G161" s="27">
        <v>126.3</v>
      </c>
      <c r="H161" s="27">
        <v>137.69999999999999</v>
      </c>
      <c r="I161" s="27">
        <v>118.1</v>
      </c>
      <c r="J161" s="27">
        <v>137.9</v>
      </c>
      <c r="K161" s="27">
        <v>125.6</v>
      </c>
      <c r="L161" s="27">
        <v>138.30000000000001</v>
      </c>
      <c r="M161" s="27">
        <v>119.4</v>
      </c>
      <c r="N161" s="27">
        <v>136</v>
      </c>
      <c r="O161" s="27">
        <v>127.6</v>
      </c>
      <c r="P161" s="27">
        <v>144.5</v>
      </c>
      <c r="Q161" s="27">
        <v>133.69999999999999</v>
      </c>
      <c r="R161" s="21">
        <f t="shared" si="15"/>
        <v>1719.6000000000001</v>
      </c>
      <c r="S161" s="21">
        <v>138.19999999999999</v>
      </c>
      <c r="T161" s="21">
        <v>131.4</v>
      </c>
      <c r="U161" s="21">
        <v>137.19999999999999</v>
      </c>
      <c r="V161" s="21">
        <f t="shared" si="16"/>
        <v>406.8</v>
      </c>
      <c r="W161" s="22">
        <v>132.1</v>
      </c>
      <c r="X161" s="21">
        <v>129.4</v>
      </c>
      <c r="Y161" s="21">
        <v>130.9</v>
      </c>
      <c r="Z161" s="22">
        <f t="shared" si="17"/>
        <v>392.4</v>
      </c>
      <c r="AA161" s="21">
        <v>128.4</v>
      </c>
      <c r="AB161" s="21">
        <v>123</v>
      </c>
      <c r="AC161" s="21">
        <f t="shared" si="18"/>
        <v>251.4</v>
      </c>
      <c r="AD161" s="27">
        <v>116.7</v>
      </c>
      <c r="AE161" s="27">
        <v>125.7</v>
      </c>
      <c r="AF161" s="27">
        <v>134.80000000000001</v>
      </c>
      <c r="AG161" s="21">
        <f t="shared" si="19"/>
        <v>260.5</v>
      </c>
      <c r="AH161" s="27">
        <v>146.19999999999999</v>
      </c>
      <c r="AI161" s="27">
        <v>125.3</v>
      </c>
      <c r="AJ161" s="21">
        <f t="shared" si="20"/>
        <v>271.5</v>
      </c>
      <c r="AK161" s="21">
        <v>131.4</v>
      </c>
    </row>
    <row r="162" spans="1:37">
      <c r="A162" s="21" t="s">
        <v>30</v>
      </c>
      <c r="B162" s="26">
        <v>2017</v>
      </c>
      <c r="C162" s="21" t="s">
        <v>39</v>
      </c>
      <c r="D162" s="21" t="str">
        <f t="shared" si="14"/>
        <v>No</v>
      </c>
      <c r="E162" s="27">
        <v>133.5</v>
      </c>
      <c r="F162" s="27">
        <v>143.69999999999999</v>
      </c>
      <c r="G162" s="27">
        <v>128</v>
      </c>
      <c r="H162" s="27">
        <v>138.6</v>
      </c>
      <c r="I162" s="27">
        <v>120.9</v>
      </c>
      <c r="J162" s="27">
        <v>140.9</v>
      </c>
      <c r="K162" s="27">
        <v>128.80000000000001</v>
      </c>
      <c r="L162" s="27">
        <v>140.19999999999999</v>
      </c>
      <c r="M162" s="27">
        <v>118.9</v>
      </c>
      <c r="N162" s="27">
        <v>133.5</v>
      </c>
      <c r="O162" s="27">
        <v>130.4</v>
      </c>
      <c r="P162" s="27">
        <v>146.5</v>
      </c>
      <c r="Q162" s="27">
        <v>134.9</v>
      </c>
      <c r="R162" s="21">
        <f t="shared" si="15"/>
        <v>1738.8000000000002</v>
      </c>
      <c r="S162" s="21">
        <v>143.1</v>
      </c>
      <c r="T162" s="21">
        <v>137.69999999999999</v>
      </c>
      <c r="U162" s="21">
        <v>142.30000000000001</v>
      </c>
      <c r="V162" s="21">
        <f t="shared" si="16"/>
        <v>423.09999999999997</v>
      </c>
      <c r="W162" s="22">
        <v>139.25</v>
      </c>
      <c r="X162" s="21">
        <v>134.80000000000001</v>
      </c>
      <c r="Y162" s="21">
        <v>135.19999999999999</v>
      </c>
      <c r="Z162" s="22">
        <f t="shared" si="17"/>
        <v>409.25</v>
      </c>
      <c r="AA162" s="21">
        <v>131.30000000000001</v>
      </c>
      <c r="AB162" s="21">
        <v>124.1</v>
      </c>
      <c r="AC162" s="21">
        <f t="shared" si="18"/>
        <v>255.4</v>
      </c>
      <c r="AD162" s="27">
        <v>119.4</v>
      </c>
      <c r="AE162" s="27">
        <v>129.80000000000001</v>
      </c>
      <c r="AF162" s="27">
        <v>136.9</v>
      </c>
      <c r="AG162" s="21">
        <f t="shared" si="19"/>
        <v>266.70000000000005</v>
      </c>
      <c r="AH162" s="27">
        <v>145.80000000000001</v>
      </c>
      <c r="AI162" s="27">
        <v>128.1</v>
      </c>
      <c r="AJ162" s="21">
        <f t="shared" si="20"/>
        <v>273.89999999999998</v>
      </c>
      <c r="AK162" s="21">
        <v>133.9</v>
      </c>
    </row>
    <row r="163" spans="1:37">
      <c r="A163" s="21" t="s">
        <v>33</v>
      </c>
      <c r="B163" s="26">
        <v>2017</v>
      </c>
      <c r="C163" s="21" t="s">
        <v>39</v>
      </c>
      <c r="D163" s="21" t="str">
        <f t="shared" si="14"/>
        <v>Yes</v>
      </c>
      <c r="E163" s="27">
        <v>132.9</v>
      </c>
      <c r="F163" s="27">
        <v>148.69999999999999</v>
      </c>
      <c r="G163" s="27">
        <v>128.30000000000001</v>
      </c>
      <c r="H163" s="27">
        <v>137.30000000000001</v>
      </c>
      <c r="I163" s="27">
        <v>113.5</v>
      </c>
      <c r="J163" s="27">
        <v>137.19999999999999</v>
      </c>
      <c r="K163" s="27">
        <v>142.19999999999999</v>
      </c>
      <c r="L163" s="27">
        <v>128.19999999999999</v>
      </c>
      <c r="M163" s="27">
        <v>120.9</v>
      </c>
      <c r="N163" s="27">
        <v>138.80000000000001</v>
      </c>
      <c r="O163" s="27">
        <v>124.2</v>
      </c>
      <c r="P163" s="27">
        <v>143.1</v>
      </c>
      <c r="Q163" s="27">
        <v>135.69999999999999</v>
      </c>
      <c r="R163" s="21">
        <f t="shared" si="15"/>
        <v>1731.0000000000002</v>
      </c>
      <c r="S163" s="21">
        <v>131.5</v>
      </c>
      <c r="T163" s="21">
        <v>123.2</v>
      </c>
      <c r="U163" s="21">
        <v>130.19999999999999</v>
      </c>
      <c r="V163" s="21">
        <f t="shared" si="16"/>
        <v>384.9</v>
      </c>
      <c r="W163" s="22">
        <v>131.4</v>
      </c>
      <c r="X163" s="21">
        <v>119</v>
      </c>
      <c r="Y163" s="21">
        <v>126.8</v>
      </c>
      <c r="Z163" s="22">
        <f t="shared" si="17"/>
        <v>377.2</v>
      </c>
      <c r="AA163" s="21">
        <v>123.8</v>
      </c>
      <c r="AB163" s="21">
        <v>122.5</v>
      </c>
      <c r="AC163" s="21">
        <f t="shared" si="18"/>
        <v>246.3</v>
      </c>
      <c r="AD163" s="27">
        <v>113.9</v>
      </c>
      <c r="AE163" s="27">
        <v>122.9</v>
      </c>
      <c r="AF163" s="27">
        <v>134.30000000000001</v>
      </c>
      <c r="AG163" s="21">
        <f t="shared" si="19"/>
        <v>257.20000000000005</v>
      </c>
      <c r="AH163" s="27">
        <v>148.6</v>
      </c>
      <c r="AI163" s="27">
        <v>122.7</v>
      </c>
      <c r="AJ163" s="21">
        <f t="shared" si="20"/>
        <v>271.3</v>
      </c>
      <c r="AK163" s="21">
        <v>129.9</v>
      </c>
    </row>
    <row r="164" spans="1:37">
      <c r="A164" s="21" t="s">
        <v>34</v>
      </c>
      <c r="B164" s="26">
        <v>2017</v>
      </c>
      <c r="C164" s="21" t="s">
        <v>39</v>
      </c>
      <c r="D164" s="21" t="str">
        <f t="shared" si="14"/>
        <v>No</v>
      </c>
      <c r="E164" s="27">
        <v>133.30000000000001</v>
      </c>
      <c r="F164" s="27">
        <v>145.5</v>
      </c>
      <c r="G164" s="27">
        <v>128.1</v>
      </c>
      <c r="H164" s="27">
        <v>138.1</v>
      </c>
      <c r="I164" s="27">
        <v>118.2</v>
      </c>
      <c r="J164" s="27">
        <v>139.19999999999999</v>
      </c>
      <c r="K164" s="27">
        <v>133.30000000000001</v>
      </c>
      <c r="L164" s="27">
        <v>136.19999999999999</v>
      </c>
      <c r="M164" s="27">
        <v>119.6</v>
      </c>
      <c r="N164" s="27">
        <v>135.30000000000001</v>
      </c>
      <c r="O164" s="27">
        <v>127.8</v>
      </c>
      <c r="P164" s="27">
        <v>144.9</v>
      </c>
      <c r="Q164" s="27">
        <v>135.19999999999999</v>
      </c>
      <c r="R164" s="21">
        <f t="shared" si="15"/>
        <v>1734.7</v>
      </c>
      <c r="S164" s="21">
        <v>138.5</v>
      </c>
      <c r="T164" s="21">
        <v>131.69999999999999</v>
      </c>
      <c r="U164" s="21">
        <v>137.5</v>
      </c>
      <c r="V164" s="21">
        <f t="shared" si="16"/>
        <v>407.7</v>
      </c>
      <c r="W164" s="22">
        <v>131.4</v>
      </c>
      <c r="X164" s="21">
        <v>128.80000000000001</v>
      </c>
      <c r="Y164" s="21">
        <v>131.19999999999999</v>
      </c>
      <c r="Z164" s="22">
        <f t="shared" si="17"/>
        <v>391.40000000000003</v>
      </c>
      <c r="AA164" s="21">
        <v>128.5</v>
      </c>
      <c r="AB164" s="21">
        <v>123.4</v>
      </c>
      <c r="AC164" s="21">
        <f t="shared" si="18"/>
        <v>251.9</v>
      </c>
      <c r="AD164" s="27">
        <v>116.5</v>
      </c>
      <c r="AE164" s="27">
        <v>125.9</v>
      </c>
      <c r="AF164" s="27">
        <v>135.4</v>
      </c>
      <c r="AG164" s="21">
        <f t="shared" si="19"/>
        <v>261.3</v>
      </c>
      <c r="AH164" s="27">
        <v>146.5</v>
      </c>
      <c r="AI164" s="27">
        <v>125.5</v>
      </c>
      <c r="AJ164" s="21">
        <f t="shared" si="20"/>
        <v>272</v>
      </c>
      <c r="AK164" s="21">
        <v>132</v>
      </c>
    </row>
    <row r="165" spans="1:37">
      <c r="A165" s="21" t="s">
        <v>30</v>
      </c>
      <c r="B165" s="26">
        <v>2017</v>
      </c>
      <c r="C165" s="21" t="s">
        <v>40</v>
      </c>
      <c r="D165" s="21" t="str">
        <f t="shared" si="14"/>
        <v>No</v>
      </c>
      <c r="E165" s="27">
        <v>134</v>
      </c>
      <c r="F165" s="27">
        <v>144.19999999999999</v>
      </c>
      <c r="G165" s="27">
        <v>129.80000000000001</v>
      </c>
      <c r="H165" s="27">
        <v>139</v>
      </c>
      <c r="I165" s="27">
        <v>120.9</v>
      </c>
      <c r="J165" s="27">
        <v>143.9</v>
      </c>
      <c r="K165" s="27">
        <v>151.5</v>
      </c>
      <c r="L165" s="27">
        <v>138.1</v>
      </c>
      <c r="M165" s="27">
        <v>120</v>
      </c>
      <c r="N165" s="27">
        <v>133.9</v>
      </c>
      <c r="O165" s="27">
        <v>131.4</v>
      </c>
      <c r="P165" s="27">
        <v>147.69999999999999</v>
      </c>
      <c r="Q165" s="27">
        <v>138.5</v>
      </c>
      <c r="R165" s="21">
        <f t="shared" si="15"/>
        <v>1772.9</v>
      </c>
      <c r="S165" s="21">
        <v>144.30000000000001</v>
      </c>
      <c r="T165" s="21">
        <v>138.1</v>
      </c>
      <c r="U165" s="21">
        <v>143.5</v>
      </c>
      <c r="V165" s="21">
        <f t="shared" si="16"/>
        <v>425.9</v>
      </c>
      <c r="W165" s="22">
        <v>139.25</v>
      </c>
      <c r="X165" s="21">
        <v>135.30000000000001</v>
      </c>
      <c r="Y165" s="21">
        <v>136.1</v>
      </c>
      <c r="Z165" s="22">
        <f t="shared" si="17"/>
        <v>410.65</v>
      </c>
      <c r="AA165" s="21">
        <v>132.1</v>
      </c>
      <c r="AB165" s="21">
        <v>124.4</v>
      </c>
      <c r="AC165" s="21">
        <f t="shared" si="18"/>
        <v>256.5</v>
      </c>
      <c r="AD165" s="27">
        <v>119.1</v>
      </c>
      <c r="AE165" s="27">
        <v>130.6</v>
      </c>
      <c r="AF165" s="27">
        <v>138.6</v>
      </c>
      <c r="AG165" s="21">
        <f t="shared" si="19"/>
        <v>269.2</v>
      </c>
      <c r="AH165" s="27">
        <v>147.4</v>
      </c>
      <c r="AI165" s="27">
        <v>128.6</v>
      </c>
      <c r="AJ165" s="21">
        <f t="shared" si="20"/>
        <v>276</v>
      </c>
      <c r="AK165" s="21">
        <v>136.19999999999999</v>
      </c>
    </row>
    <row r="166" spans="1:37">
      <c r="A166" s="21" t="s">
        <v>33</v>
      </c>
      <c r="B166" s="26">
        <v>2017</v>
      </c>
      <c r="C166" s="21" t="s">
        <v>40</v>
      </c>
      <c r="D166" s="21" t="str">
        <f t="shared" si="14"/>
        <v>Yes</v>
      </c>
      <c r="E166" s="27">
        <v>132.80000000000001</v>
      </c>
      <c r="F166" s="27">
        <v>148.4</v>
      </c>
      <c r="G166" s="27">
        <v>129.4</v>
      </c>
      <c r="H166" s="27">
        <v>137.69999999999999</v>
      </c>
      <c r="I166" s="27">
        <v>113.4</v>
      </c>
      <c r="J166" s="27">
        <v>139.4</v>
      </c>
      <c r="K166" s="27">
        <v>175.1</v>
      </c>
      <c r="L166" s="27">
        <v>124.7</v>
      </c>
      <c r="M166" s="27">
        <v>121.5</v>
      </c>
      <c r="N166" s="27">
        <v>137.80000000000001</v>
      </c>
      <c r="O166" s="27">
        <v>124.4</v>
      </c>
      <c r="P166" s="27">
        <v>143.69999999999999</v>
      </c>
      <c r="Q166" s="27">
        <v>139.80000000000001</v>
      </c>
      <c r="R166" s="21">
        <f t="shared" si="15"/>
        <v>1768.1</v>
      </c>
      <c r="S166" s="21">
        <v>131.6</v>
      </c>
      <c r="T166" s="21">
        <v>123.7</v>
      </c>
      <c r="U166" s="21">
        <v>130.4</v>
      </c>
      <c r="V166" s="21">
        <f t="shared" si="16"/>
        <v>385.70000000000005</v>
      </c>
      <c r="W166" s="22">
        <v>132.6</v>
      </c>
      <c r="X166" s="21">
        <v>119.7</v>
      </c>
      <c r="Y166" s="21">
        <v>127.2</v>
      </c>
      <c r="Z166" s="22">
        <f t="shared" si="17"/>
        <v>379.5</v>
      </c>
      <c r="AA166" s="21">
        <v>125</v>
      </c>
      <c r="AB166" s="21">
        <v>122.4</v>
      </c>
      <c r="AC166" s="21">
        <f t="shared" si="18"/>
        <v>247.4</v>
      </c>
      <c r="AD166" s="27">
        <v>113.2</v>
      </c>
      <c r="AE166" s="27">
        <v>123.5</v>
      </c>
      <c r="AF166" s="27">
        <v>135.5</v>
      </c>
      <c r="AG166" s="21">
        <f t="shared" si="19"/>
        <v>259</v>
      </c>
      <c r="AH166" s="27">
        <v>150.5</v>
      </c>
      <c r="AI166" s="27">
        <v>123</v>
      </c>
      <c r="AJ166" s="21">
        <f t="shared" si="20"/>
        <v>273.5</v>
      </c>
      <c r="AK166" s="21">
        <v>131.80000000000001</v>
      </c>
    </row>
    <row r="167" spans="1:37">
      <c r="A167" s="21" t="s">
        <v>34</v>
      </c>
      <c r="B167" s="26">
        <v>2017</v>
      </c>
      <c r="C167" s="21" t="s">
        <v>40</v>
      </c>
      <c r="D167" s="21" t="str">
        <f t="shared" si="14"/>
        <v>Yes</v>
      </c>
      <c r="E167" s="27">
        <v>133.6</v>
      </c>
      <c r="F167" s="27">
        <v>145.69999999999999</v>
      </c>
      <c r="G167" s="27">
        <v>129.6</v>
      </c>
      <c r="H167" s="27">
        <v>138.5</v>
      </c>
      <c r="I167" s="27">
        <v>118.1</v>
      </c>
      <c r="J167" s="27">
        <v>141.80000000000001</v>
      </c>
      <c r="K167" s="27">
        <v>159.5</v>
      </c>
      <c r="L167" s="27">
        <v>133.6</v>
      </c>
      <c r="M167" s="27">
        <v>120.5</v>
      </c>
      <c r="N167" s="27">
        <v>135.19999999999999</v>
      </c>
      <c r="O167" s="27">
        <v>128.5</v>
      </c>
      <c r="P167" s="27">
        <v>145.80000000000001</v>
      </c>
      <c r="Q167" s="27">
        <v>139</v>
      </c>
      <c r="R167" s="21">
        <f t="shared" si="15"/>
        <v>1769.3999999999999</v>
      </c>
      <c r="S167" s="21">
        <v>139.30000000000001</v>
      </c>
      <c r="T167" s="21">
        <v>132.1</v>
      </c>
      <c r="U167" s="21">
        <v>138.30000000000001</v>
      </c>
      <c r="V167" s="21">
        <f t="shared" si="16"/>
        <v>409.7</v>
      </c>
      <c r="W167" s="22">
        <v>132.6</v>
      </c>
      <c r="X167" s="21">
        <v>129.4</v>
      </c>
      <c r="Y167" s="21">
        <v>131.9</v>
      </c>
      <c r="Z167" s="22">
        <f t="shared" si="17"/>
        <v>393.9</v>
      </c>
      <c r="AA167" s="21">
        <v>129.4</v>
      </c>
      <c r="AB167" s="21">
        <v>123.6</v>
      </c>
      <c r="AC167" s="21">
        <f t="shared" si="18"/>
        <v>253</v>
      </c>
      <c r="AD167" s="27">
        <v>116</v>
      </c>
      <c r="AE167" s="27">
        <v>126.6</v>
      </c>
      <c r="AF167" s="27">
        <v>136.80000000000001</v>
      </c>
      <c r="AG167" s="21">
        <f t="shared" si="19"/>
        <v>263.39999999999998</v>
      </c>
      <c r="AH167" s="27">
        <v>148.19999999999999</v>
      </c>
      <c r="AI167" s="27">
        <v>125.9</v>
      </c>
      <c r="AJ167" s="21">
        <f t="shared" si="20"/>
        <v>274.10000000000002</v>
      </c>
      <c r="AK167" s="21">
        <v>134.19999999999999</v>
      </c>
    </row>
    <row r="168" spans="1:37">
      <c r="A168" s="21" t="s">
        <v>30</v>
      </c>
      <c r="B168" s="26">
        <v>2017</v>
      </c>
      <c r="C168" s="21" t="s">
        <v>41</v>
      </c>
      <c r="D168" s="21" t="str">
        <f t="shared" si="14"/>
        <v>Yes</v>
      </c>
      <c r="E168" s="27">
        <v>134.80000000000001</v>
      </c>
      <c r="F168" s="27">
        <v>143.1</v>
      </c>
      <c r="G168" s="27">
        <v>130</v>
      </c>
      <c r="H168" s="27">
        <v>139.4</v>
      </c>
      <c r="I168" s="27">
        <v>120.5</v>
      </c>
      <c r="J168" s="27">
        <v>148</v>
      </c>
      <c r="K168" s="27">
        <v>162.9</v>
      </c>
      <c r="L168" s="27">
        <v>137.4</v>
      </c>
      <c r="M168" s="27">
        <v>120.8</v>
      </c>
      <c r="N168" s="27">
        <v>134.69999999999999</v>
      </c>
      <c r="O168" s="27">
        <v>131.6</v>
      </c>
      <c r="P168" s="27">
        <v>148.69999999999999</v>
      </c>
      <c r="Q168" s="27">
        <v>140.6</v>
      </c>
      <c r="R168" s="21">
        <f t="shared" si="15"/>
        <v>1792.4999999999998</v>
      </c>
      <c r="S168" s="21">
        <v>145.30000000000001</v>
      </c>
      <c r="T168" s="21">
        <v>139.19999999999999</v>
      </c>
      <c r="U168" s="21">
        <v>144.5</v>
      </c>
      <c r="V168" s="21">
        <f t="shared" si="16"/>
        <v>429</v>
      </c>
      <c r="W168" s="22">
        <v>139.25</v>
      </c>
      <c r="X168" s="21">
        <v>136.4</v>
      </c>
      <c r="Y168" s="21">
        <v>137.30000000000001</v>
      </c>
      <c r="Z168" s="22">
        <f t="shared" si="17"/>
        <v>412.95</v>
      </c>
      <c r="AA168" s="21">
        <v>133</v>
      </c>
      <c r="AB168" s="21">
        <v>125.4</v>
      </c>
      <c r="AC168" s="21">
        <f t="shared" si="18"/>
        <v>258.39999999999998</v>
      </c>
      <c r="AD168" s="27">
        <v>120.3</v>
      </c>
      <c r="AE168" s="27">
        <v>131.5</v>
      </c>
      <c r="AF168" s="27">
        <v>140.19999999999999</v>
      </c>
      <c r="AG168" s="21">
        <f t="shared" si="19"/>
        <v>271.7</v>
      </c>
      <c r="AH168" s="27">
        <v>149</v>
      </c>
      <c r="AI168" s="27">
        <v>129.69999999999999</v>
      </c>
      <c r="AJ168" s="21">
        <f t="shared" si="20"/>
        <v>278.7</v>
      </c>
      <c r="AK168" s="21">
        <v>137.80000000000001</v>
      </c>
    </row>
    <row r="169" spans="1:37">
      <c r="A169" s="21" t="s">
        <v>33</v>
      </c>
      <c r="B169" s="26">
        <v>2017</v>
      </c>
      <c r="C169" s="21" t="s">
        <v>41</v>
      </c>
      <c r="D169" s="21" t="str">
        <f t="shared" si="14"/>
        <v>Yes</v>
      </c>
      <c r="E169" s="27">
        <v>133.19999999999999</v>
      </c>
      <c r="F169" s="27">
        <v>143.9</v>
      </c>
      <c r="G169" s="27">
        <v>128.30000000000001</v>
      </c>
      <c r="H169" s="27">
        <v>138.30000000000001</v>
      </c>
      <c r="I169" s="27">
        <v>114.1</v>
      </c>
      <c r="J169" s="27">
        <v>142.69999999999999</v>
      </c>
      <c r="K169" s="27">
        <v>179.8</v>
      </c>
      <c r="L169" s="27">
        <v>123.5</v>
      </c>
      <c r="M169" s="27">
        <v>122.1</v>
      </c>
      <c r="N169" s="27">
        <v>137.5</v>
      </c>
      <c r="O169" s="27">
        <v>124.6</v>
      </c>
      <c r="P169" s="27">
        <v>144.5</v>
      </c>
      <c r="Q169" s="27">
        <v>140.5</v>
      </c>
      <c r="R169" s="21">
        <f t="shared" si="15"/>
        <v>1772.9999999999998</v>
      </c>
      <c r="S169" s="21">
        <v>132.69999999999999</v>
      </c>
      <c r="T169" s="21">
        <v>124.3</v>
      </c>
      <c r="U169" s="21">
        <v>131.4</v>
      </c>
      <c r="V169" s="21">
        <f t="shared" si="16"/>
        <v>388.4</v>
      </c>
      <c r="W169" s="22">
        <v>134.4</v>
      </c>
      <c r="X169" s="21">
        <v>118.9</v>
      </c>
      <c r="Y169" s="21">
        <v>127.7</v>
      </c>
      <c r="Z169" s="22">
        <f t="shared" si="17"/>
        <v>381</v>
      </c>
      <c r="AA169" s="21">
        <v>125.7</v>
      </c>
      <c r="AB169" s="21">
        <v>123.3</v>
      </c>
      <c r="AC169" s="21">
        <f t="shared" si="18"/>
        <v>249</v>
      </c>
      <c r="AD169" s="27">
        <v>114.6</v>
      </c>
      <c r="AE169" s="27">
        <v>124.1</v>
      </c>
      <c r="AF169" s="27">
        <v>135.69999999999999</v>
      </c>
      <c r="AG169" s="21">
        <f t="shared" si="19"/>
        <v>259.79999999999995</v>
      </c>
      <c r="AH169" s="27">
        <v>152.1</v>
      </c>
      <c r="AI169" s="27">
        <v>123.8</v>
      </c>
      <c r="AJ169" s="21">
        <f t="shared" si="20"/>
        <v>275.89999999999998</v>
      </c>
      <c r="AK169" s="21">
        <v>132.69999999999999</v>
      </c>
    </row>
    <row r="170" spans="1:37">
      <c r="A170" s="21" t="s">
        <v>34</v>
      </c>
      <c r="B170" s="26">
        <v>2017</v>
      </c>
      <c r="C170" s="21" t="s">
        <v>41</v>
      </c>
      <c r="D170" s="21" t="str">
        <f t="shared" si="14"/>
        <v>Yes</v>
      </c>
      <c r="E170" s="27">
        <v>134.30000000000001</v>
      </c>
      <c r="F170" s="27">
        <v>143.4</v>
      </c>
      <c r="G170" s="27">
        <v>129.30000000000001</v>
      </c>
      <c r="H170" s="27">
        <v>139</v>
      </c>
      <c r="I170" s="27">
        <v>118.1</v>
      </c>
      <c r="J170" s="27">
        <v>145.5</v>
      </c>
      <c r="K170" s="27">
        <v>168.6</v>
      </c>
      <c r="L170" s="27">
        <v>132.69999999999999</v>
      </c>
      <c r="M170" s="27">
        <v>121.2</v>
      </c>
      <c r="N170" s="27">
        <v>135.6</v>
      </c>
      <c r="O170" s="27">
        <v>128.69999999999999</v>
      </c>
      <c r="P170" s="27">
        <v>146.80000000000001</v>
      </c>
      <c r="Q170" s="27">
        <v>140.6</v>
      </c>
      <c r="R170" s="21">
        <f t="shared" si="15"/>
        <v>1783.8</v>
      </c>
      <c r="S170" s="21">
        <v>140.30000000000001</v>
      </c>
      <c r="T170" s="21">
        <v>133</v>
      </c>
      <c r="U170" s="21">
        <v>139.30000000000001</v>
      </c>
      <c r="V170" s="21">
        <f t="shared" si="16"/>
        <v>412.6</v>
      </c>
      <c r="W170" s="22">
        <v>134.4</v>
      </c>
      <c r="X170" s="21">
        <v>129.80000000000001</v>
      </c>
      <c r="Y170" s="21">
        <v>132.80000000000001</v>
      </c>
      <c r="Z170" s="22">
        <f t="shared" si="17"/>
        <v>397.00000000000006</v>
      </c>
      <c r="AA170" s="21">
        <v>130.19999999999999</v>
      </c>
      <c r="AB170" s="21">
        <v>124.5</v>
      </c>
      <c r="AC170" s="21">
        <f t="shared" si="18"/>
        <v>254.7</v>
      </c>
      <c r="AD170" s="27">
        <v>117.3</v>
      </c>
      <c r="AE170" s="27">
        <v>127.3</v>
      </c>
      <c r="AF170" s="27">
        <v>137.6</v>
      </c>
      <c r="AG170" s="21">
        <f t="shared" si="19"/>
        <v>264.89999999999998</v>
      </c>
      <c r="AH170" s="27">
        <v>149.80000000000001</v>
      </c>
      <c r="AI170" s="27">
        <v>126.8</v>
      </c>
      <c r="AJ170" s="21">
        <f t="shared" si="20"/>
        <v>276.60000000000002</v>
      </c>
      <c r="AK170" s="21">
        <v>135.4</v>
      </c>
    </row>
    <row r="171" spans="1:37">
      <c r="A171" s="21" t="s">
        <v>30</v>
      </c>
      <c r="B171" s="26">
        <v>2017</v>
      </c>
      <c r="C171" s="21" t="s">
        <v>42</v>
      </c>
      <c r="D171" s="21" t="str">
        <f t="shared" si="14"/>
        <v>Yes</v>
      </c>
      <c r="E171" s="27">
        <v>135.19999999999999</v>
      </c>
      <c r="F171" s="27">
        <v>142</v>
      </c>
      <c r="G171" s="27">
        <v>130.5</v>
      </c>
      <c r="H171" s="27">
        <v>140.19999999999999</v>
      </c>
      <c r="I171" s="27">
        <v>120.7</v>
      </c>
      <c r="J171" s="27">
        <v>147.80000000000001</v>
      </c>
      <c r="K171" s="27">
        <v>154.5</v>
      </c>
      <c r="L171" s="27">
        <v>137.1</v>
      </c>
      <c r="M171" s="27">
        <v>121</v>
      </c>
      <c r="N171" s="27">
        <v>134.69999999999999</v>
      </c>
      <c r="O171" s="27">
        <v>131.69999999999999</v>
      </c>
      <c r="P171" s="27">
        <v>149.30000000000001</v>
      </c>
      <c r="Q171" s="27">
        <v>139.6</v>
      </c>
      <c r="R171" s="21">
        <f t="shared" si="15"/>
        <v>1784.3</v>
      </c>
      <c r="S171" s="21">
        <v>146.1</v>
      </c>
      <c r="T171" s="21">
        <v>139.69999999999999</v>
      </c>
      <c r="U171" s="21">
        <v>145.19999999999999</v>
      </c>
      <c r="V171" s="21">
        <f t="shared" si="16"/>
        <v>430.99999999999994</v>
      </c>
      <c r="W171" s="22">
        <v>139.25</v>
      </c>
      <c r="X171" s="21">
        <v>137.4</v>
      </c>
      <c r="Y171" s="21">
        <v>137.9</v>
      </c>
      <c r="Z171" s="22">
        <f t="shared" si="17"/>
        <v>414.54999999999995</v>
      </c>
      <c r="AA171" s="21">
        <v>133.4</v>
      </c>
      <c r="AB171" s="21">
        <v>126.7</v>
      </c>
      <c r="AC171" s="21">
        <f t="shared" si="18"/>
        <v>260.10000000000002</v>
      </c>
      <c r="AD171" s="27">
        <v>121.2</v>
      </c>
      <c r="AE171" s="27">
        <v>132.30000000000001</v>
      </c>
      <c r="AF171" s="27">
        <v>139.6</v>
      </c>
      <c r="AG171" s="21">
        <f t="shared" si="19"/>
        <v>271.89999999999998</v>
      </c>
      <c r="AH171" s="27">
        <v>149.80000000000001</v>
      </c>
      <c r="AI171" s="27">
        <v>130.30000000000001</v>
      </c>
      <c r="AJ171" s="21">
        <f t="shared" si="20"/>
        <v>280.10000000000002</v>
      </c>
      <c r="AK171" s="21">
        <v>137.6</v>
      </c>
    </row>
    <row r="172" spans="1:37">
      <c r="A172" s="21" t="s">
        <v>33</v>
      </c>
      <c r="B172" s="26">
        <v>2017</v>
      </c>
      <c r="C172" s="21" t="s">
        <v>42</v>
      </c>
      <c r="D172" s="21" t="str">
        <f t="shared" si="14"/>
        <v>Yes</v>
      </c>
      <c r="E172" s="27">
        <v>133.6</v>
      </c>
      <c r="F172" s="27">
        <v>143</v>
      </c>
      <c r="G172" s="27">
        <v>129.69999999999999</v>
      </c>
      <c r="H172" s="27">
        <v>138.69999999999999</v>
      </c>
      <c r="I172" s="27">
        <v>114.5</v>
      </c>
      <c r="J172" s="27">
        <v>137.5</v>
      </c>
      <c r="K172" s="27">
        <v>160.69999999999999</v>
      </c>
      <c r="L172" s="27">
        <v>124.5</v>
      </c>
      <c r="M172" s="27">
        <v>122.4</v>
      </c>
      <c r="N172" s="27">
        <v>137.30000000000001</v>
      </c>
      <c r="O172" s="27">
        <v>124.8</v>
      </c>
      <c r="P172" s="27">
        <v>145</v>
      </c>
      <c r="Q172" s="27">
        <v>138</v>
      </c>
      <c r="R172" s="21">
        <f t="shared" si="15"/>
        <v>1749.7</v>
      </c>
      <c r="S172" s="21">
        <v>133.30000000000001</v>
      </c>
      <c r="T172" s="21">
        <v>124.6</v>
      </c>
      <c r="U172" s="21">
        <v>132</v>
      </c>
      <c r="V172" s="21">
        <f t="shared" si="16"/>
        <v>389.9</v>
      </c>
      <c r="W172" s="22">
        <v>135.69999999999999</v>
      </c>
      <c r="X172" s="21">
        <v>120.6</v>
      </c>
      <c r="Y172" s="21">
        <v>128.1</v>
      </c>
      <c r="Z172" s="22">
        <f t="shared" si="17"/>
        <v>384.4</v>
      </c>
      <c r="AA172" s="21">
        <v>126.1</v>
      </c>
      <c r="AB172" s="21">
        <v>124.4</v>
      </c>
      <c r="AC172" s="21">
        <f t="shared" si="18"/>
        <v>250.5</v>
      </c>
      <c r="AD172" s="27">
        <v>115.7</v>
      </c>
      <c r="AE172" s="27">
        <v>124.5</v>
      </c>
      <c r="AF172" s="27">
        <v>135.9</v>
      </c>
      <c r="AG172" s="21">
        <f t="shared" si="19"/>
        <v>260.39999999999998</v>
      </c>
      <c r="AH172" s="27">
        <v>153.6</v>
      </c>
      <c r="AI172" s="27">
        <v>124.5</v>
      </c>
      <c r="AJ172" s="21">
        <f t="shared" si="20"/>
        <v>278.10000000000002</v>
      </c>
      <c r="AK172" s="21">
        <v>132.4</v>
      </c>
    </row>
    <row r="173" spans="1:37">
      <c r="A173" s="21" t="s">
        <v>34</v>
      </c>
      <c r="B173" s="26">
        <v>2017</v>
      </c>
      <c r="C173" s="21" t="s">
        <v>42</v>
      </c>
      <c r="D173" s="21" t="str">
        <f t="shared" si="14"/>
        <v>Yes</v>
      </c>
      <c r="E173" s="27">
        <v>134.69999999999999</v>
      </c>
      <c r="F173" s="27">
        <v>142.4</v>
      </c>
      <c r="G173" s="27">
        <v>130.19999999999999</v>
      </c>
      <c r="H173" s="27">
        <v>139.6</v>
      </c>
      <c r="I173" s="27">
        <v>118.4</v>
      </c>
      <c r="J173" s="27">
        <v>143</v>
      </c>
      <c r="K173" s="27">
        <v>156.6</v>
      </c>
      <c r="L173" s="27">
        <v>132.9</v>
      </c>
      <c r="M173" s="27">
        <v>121.5</v>
      </c>
      <c r="N173" s="27">
        <v>135.6</v>
      </c>
      <c r="O173" s="27">
        <v>128.80000000000001</v>
      </c>
      <c r="P173" s="27">
        <v>147.30000000000001</v>
      </c>
      <c r="Q173" s="27">
        <v>139</v>
      </c>
      <c r="R173" s="21">
        <f t="shared" si="15"/>
        <v>1769.9999999999998</v>
      </c>
      <c r="S173" s="21">
        <v>141.1</v>
      </c>
      <c r="T173" s="21">
        <v>133.4</v>
      </c>
      <c r="U173" s="21">
        <v>140</v>
      </c>
      <c r="V173" s="21">
        <f t="shared" si="16"/>
        <v>414.5</v>
      </c>
      <c r="W173" s="22">
        <v>135.69999999999999</v>
      </c>
      <c r="X173" s="21">
        <v>131</v>
      </c>
      <c r="Y173" s="21">
        <v>133.30000000000001</v>
      </c>
      <c r="Z173" s="22">
        <f t="shared" si="17"/>
        <v>400</v>
      </c>
      <c r="AA173" s="21">
        <v>130.6</v>
      </c>
      <c r="AB173" s="21">
        <v>125.7</v>
      </c>
      <c r="AC173" s="21">
        <f t="shared" si="18"/>
        <v>256.3</v>
      </c>
      <c r="AD173" s="27">
        <v>118.3</v>
      </c>
      <c r="AE173" s="27">
        <v>127.9</v>
      </c>
      <c r="AF173" s="27">
        <v>137.4</v>
      </c>
      <c r="AG173" s="21">
        <f t="shared" si="19"/>
        <v>265.3</v>
      </c>
      <c r="AH173" s="27">
        <v>150.80000000000001</v>
      </c>
      <c r="AI173" s="27">
        <v>127.5</v>
      </c>
      <c r="AJ173" s="21">
        <f t="shared" si="20"/>
        <v>278.3</v>
      </c>
      <c r="AK173" s="21">
        <v>135.19999999999999</v>
      </c>
    </row>
    <row r="174" spans="1:37">
      <c r="A174" s="21" t="s">
        <v>30</v>
      </c>
      <c r="B174" s="26">
        <v>2017</v>
      </c>
      <c r="C174" s="21" t="s">
        <v>43</v>
      </c>
      <c r="D174" s="21" t="str">
        <f t="shared" si="14"/>
        <v>Yes</v>
      </c>
      <c r="E174" s="27">
        <v>135.9</v>
      </c>
      <c r="F174" s="27">
        <v>141.9</v>
      </c>
      <c r="G174" s="27">
        <v>131</v>
      </c>
      <c r="H174" s="27">
        <v>141.5</v>
      </c>
      <c r="I174" s="27">
        <v>121.4</v>
      </c>
      <c r="J174" s="27">
        <v>146.69999999999999</v>
      </c>
      <c r="K174" s="27">
        <v>157.1</v>
      </c>
      <c r="L174" s="27">
        <v>136.4</v>
      </c>
      <c r="M174" s="27">
        <v>121.4</v>
      </c>
      <c r="N174" s="27">
        <v>135.6</v>
      </c>
      <c r="O174" s="27">
        <v>131.30000000000001</v>
      </c>
      <c r="P174" s="27">
        <v>150.30000000000001</v>
      </c>
      <c r="Q174" s="27">
        <v>140.4</v>
      </c>
      <c r="R174" s="21">
        <f t="shared" si="15"/>
        <v>1790.8999999999999</v>
      </c>
      <c r="S174" s="21">
        <v>147.19999999999999</v>
      </c>
      <c r="T174" s="21">
        <v>140.6</v>
      </c>
      <c r="U174" s="21">
        <v>146.19999999999999</v>
      </c>
      <c r="V174" s="21">
        <f t="shared" si="16"/>
        <v>433.99999999999994</v>
      </c>
      <c r="W174" s="22">
        <v>139.25</v>
      </c>
      <c r="X174" s="21">
        <v>138.1</v>
      </c>
      <c r="Y174" s="21">
        <v>138.4</v>
      </c>
      <c r="Z174" s="22">
        <f t="shared" si="17"/>
        <v>415.75</v>
      </c>
      <c r="AA174" s="21">
        <v>134.19999999999999</v>
      </c>
      <c r="AB174" s="21">
        <v>127.4</v>
      </c>
      <c r="AC174" s="21">
        <f t="shared" si="18"/>
        <v>261.60000000000002</v>
      </c>
      <c r="AD174" s="27">
        <v>121</v>
      </c>
      <c r="AE174" s="27">
        <v>133</v>
      </c>
      <c r="AF174" s="27">
        <v>140.1</v>
      </c>
      <c r="AG174" s="21">
        <f t="shared" si="19"/>
        <v>273.10000000000002</v>
      </c>
      <c r="AH174" s="27">
        <v>150.5</v>
      </c>
      <c r="AI174" s="27">
        <v>130.69999999999999</v>
      </c>
      <c r="AJ174" s="21">
        <f t="shared" si="20"/>
        <v>281.2</v>
      </c>
      <c r="AK174" s="21">
        <v>138.30000000000001</v>
      </c>
    </row>
    <row r="175" spans="1:37">
      <c r="A175" s="21" t="s">
        <v>33</v>
      </c>
      <c r="B175" s="26">
        <v>2017</v>
      </c>
      <c r="C175" s="21" t="s">
        <v>43</v>
      </c>
      <c r="D175" s="21" t="str">
        <f t="shared" si="14"/>
        <v>Yes</v>
      </c>
      <c r="E175" s="27">
        <v>133.9</v>
      </c>
      <c r="F175" s="27">
        <v>142.80000000000001</v>
      </c>
      <c r="G175" s="27">
        <v>131.4</v>
      </c>
      <c r="H175" s="27">
        <v>139.1</v>
      </c>
      <c r="I175" s="27">
        <v>114.9</v>
      </c>
      <c r="J175" s="27">
        <v>135.6</v>
      </c>
      <c r="K175" s="27">
        <v>173.2</v>
      </c>
      <c r="L175" s="27">
        <v>124.1</v>
      </c>
      <c r="M175" s="27">
        <v>122.6</v>
      </c>
      <c r="N175" s="27">
        <v>137.80000000000001</v>
      </c>
      <c r="O175" s="27">
        <v>125.1</v>
      </c>
      <c r="P175" s="27">
        <v>145.5</v>
      </c>
      <c r="Q175" s="27">
        <v>139.69999999999999</v>
      </c>
      <c r="R175" s="21">
        <f t="shared" si="15"/>
        <v>1765.6999999999998</v>
      </c>
      <c r="S175" s="21">
        <v>134</v>
      </c>
      <c r="T175" s="21">
        <v>124.9</v>
      </c>
      <c r="U175" s="21">
        <v>132.6</v>
      </c>
      <c r="V175" s="21">
        <f t="shared" si="16"/>
        <v>391.5</v>
      </c>
      <c r="W175" s="22">
        <v>137.30000000000001</v>
      </c>
      <c r="X175" s="21">
        <v>122.6</v>
      </c>
      <c r="Y175" s="21">
        <v>128.30000000000001</v>
      </c>
      <c r="Z175" s="22">
        <f t="shared" si="17"/>
        <v>388.2</v>
      </c>
      <c r="AA175" s="21">
        <v>126.6</v>
      </c>
      <c r="AB175" s="21">
        <v>124.6</v>
      </c>
      <c r="AC175" s="21">
        <f t="shared" si="18"/>
        <v>251.2</v>
      </c>
      <c r="AD175" s="27">
        <v>115</v>
      </c>
      <c r="AE175" s="27">
        <v>124.8</v>
      </c>
      <c r="AF175" s="27">
        <v>136.30000000000001</v>
      </c>
      <c r="AG175" s="21">
        <f t="shared" si="19"/>
        <v>261.10000000000002</v>
      </c>
      <c r="AH175" s="27">
        <v>154.6</v>
      </c>
      <c r="AI175" s="27">
        <v>124.5</v>
      </c>
      <c r="AJ175" s="21">
        <f t="shared" si="20"/>
        <v>279.10000000000002</v>
      </c>
      <c r="AK175" s="21">
        <v>133.5</v>
      </c>
    </row>
    <row r="176" spans="1:37">
      <c r="A176" s="21" t="s">
        <v>34</v>
      </c>
      <c r="B176" s="26">
        <v>2017</v>
      </c>
      <c r="C176" s="21" t="s">
        <v>43</v>
      </c>
      <c r="D176" s="21" t="str">
        <f t="shared" si="14"/>
        <v>Yes</v>
      </c>
      <c r="E176" s="27">
        <v>135.30000000000001</v>
      </c>
      <c r="F176" s="27">
        <v>142.19999999999999</v>
      </c>
      <c r="G176" s="27">
        <v>131.19999999999999</v>
      </c>
      <c r="H176" s="27">
        <v>140.6</v>
      </c>
      <c r="I176" s="27">
        <v>119</v>
      </c>
      <c r="J176" s="27">
        <v>141.5</v>
      </c>
      <c r="K176" s="27">
        <v>162.6</v>
      </c>
      <c r="L176" s="27">
        <v>132.30000000000001</v>
      </c>
      <c r="M176" s="27">
        <v>121.8</v>
      </c>
      <c r="N176" s="27">
        <v>136.30000000000001</v>
      </c>
      <c r="O176" s="27">
        <v>128.69999999999999</v>
      </c>
      <c r="P176" s="27">
        <v>148.1</v>
      </c>
      <c r="Q176" s="27">
        <v>140.1</v>
      </c>
      <c r="R176" s="21">
        <f t="shared" si="15"/>
        <v>1779.6999999999998</v>
      </c>
      <c r="S176" s="21">
        <v>142</v>
      </c>
      <c r="T176" s="21">
        <v>134.1</v>
      </c>
      <c r="U176" s="21">
        <v>140.80000000000001</v>
      </c>
      <c r="V176" s="21">
        <f t="shared" si="16"/>
        <v>416.90000000000003</v>
      </c>
      <c r="W176" s="22">
        <v>137.30000000000001</v>
      </c>
      <c r="X176" s="21">
        <v>132.19999999999999</v>
      </c>
      <c r="Y176" s="21">
        <v>133.6</v>
      </c>
      <c r="Z176" s="22">
        <f t="shared" si="17"/>
        <v>403.1</v>
      </c>
      <c r="AA176" s="21">
        <v>131.30000000000001</v>
      </c>
      <c r="AB176" s="21">
        <v>126.2</v>
      </c>
      <c r="AC176" s="21">
        <f t="shared" si="18"/>
        <v>257.5</v>
      </c>
      <c r="AD176" s="27">
        <v>117.8</v>
      </c>
      <c r="AE176" s="27">
        <v>128.4</v>
      </c>
      <c r="AF176" s="27">
        <v>137.9</v>
      </c>
      <c r="AG176" s="21">
        <f t="shared" si="19"/>
        <v>266.3</v>
      </c>
      <c r="AH176" s="27">
        <v>151.6</v>
      </c>
      <c r="AI176" s="27">
        <v>127.7</v>
      </c>
      <c r="AJ176" s="21">
        <f t="shared" si="20"/>
        <v>279.3</v>
      </c>
      <c r="AK176" s="21">
        <v>136.1</v>
      </c>
    </row>
    <row r="177" spans="1:37">
      <c r="A177" s="21" t="s">
        <v>30</v>
      </c>
      <c r="B177" s="26">
        <v>2017</v>
      </c>
      <c r="C177" s="21" t="s">
        <v>45</v>
      </c>
      <c r="D177" s="21" t="str">
        <f t="shared" si="14"/>
        <v>Yes</v>
      </c>
      <c r="E177" s="27">
        <v>136.30000000000001</v>
      </c>
      <c r="F177" s="27">
        <v>142.5</v>
      </c>
      <c r="G177" s="27">
        <v>140.5</v>
      </c>
      <c r="H177" s="27">
        <v>141.5</v>
      </c>
      <c r="I177" s="27">
        <v>121.6</v>
      </c>
      <c r="J177" s="27">
        <v>147.30000000000001</v>
      </c>
      <c r="K177" s="27">
        <v>168</v>
      </c>
      <c r="L177" s="27">
        <v>135.80000000000001</v>
      </c>
      <c r="M177" s="27">
        <v>122.5</v>
      </c>
      <c r="N177" s="27">
        <v>136</v>
      </c>
      <c r="O177" s="27">
        <v>131.9</v>
      </c>
      <c r="P177" s="27">
        <v>151.4</v>
      </c>
      <c r="Q177" s="27">
        <v>142.4</v>
      </c>
      <c r="R177" s="21">
        <f t="shared" si="15"/>
        <v>1817.7000000000003</v>
      </c>
      <c r="S177" s="21">
        <v>148.19999999999999</v>
      </c>
      <c r="T177" s="21">
        <v>141.5</v>
      </c>
      <c r="U177" s="21">
        <v>147.30000000000001</v>
      </c>
      <c r="V177" s="21">
        <f t="shared" si="16"/>
        <v>437</v>
      </c>
      <c r="W177" s="22">
        <v>139.25</v>
      </c>
      <c r="X177" s="21">
        <v>141.1</v>
      </c>
      <c r="Y177" s="21">
        <v>139.4</v>
      </c>
      <c r="Z177" s="22">
        <f t="shared" si="17"/>
        <v>419.75</v>
      </c>
      <c r="AA177" s="21">
        <v>135.80000000000001</v>
      </c>
      <c r="AB177" s="21">
        <v>128.1</v>
      </c>
      <c r="AC177" s="21">
        <f t="shared" si="18"/>
        <v>263.89999999999998</v>
      </c>
      <c r="AD177" s="27">
        <v>121.6</v>
      </c>
      <c r="AE177" s="27">
        <v>133.69999999999999</v>
      </c>
      <c r="AF177" s="27">
        <v>141.5</v>
      </c>
      <c r="AG177" s="21">
        <f t="shared" si="19"/>
        <v>275.2</v>
      </c>
      <c r="AH177" s="27">
        <v>152.1</v>
      </c>
      <c r="AI177" s="27">
        <v>131.69999999999999</v>
      </c>
      <c r="AJ177" s="21">
        <f t="shared" si="20"/>
        <v>283.79999999999995</v>
      </c>
      <c r="AK177" s="21">
        <v>140</v>
      </c>
    </row>
    <row r="178" spans="1:37">
      <c r="A178" s="21" t="s">
        <v>33</v>
      </c>
      <c r="B178" s="26">
        <v>2017</v>
      </c>
      <c r="C178" s="21" t="s">
        <v>45</v>
      </c>
      <c r="D178" s="21" t="str">
        <f t="shared" si="14"/>
        <v>Yes</v>
      </c>
      <c r="E178" s="27">
        <v>134.30000000000001</v>
      </c>
      <c r="F178" s="27">
        <v>142.1</v>
      </c>
      <c r="G178" s="27">
        <v>146.69999999999999</v>
      </c>
      <c r="H178" s="27">
        <v>139.5</v>
      </c>
      <c r="I178" s="27">
        <v>115.2</v>
      </c>
      <c r="J178" s="27">
        <v>136.4</v>
      </c>
      <c r="K178" s="27">
        <v>185.2</v>
      </c>
      <c r="L178" s="27">
        <v>122.2</v>
      </c>
      <c r="M178" s="27">
        <v>123.9</v>
      </c>
      <c r="N178" s="27">
        <v>138.30000000000001</v>
      </c>
      <c r="O178" s="27">
        <v>125.4</v>
      </c>
      <c r="P178" s="27">
        <v>146</v>
      </c>
      <c r="Q178" s="27">
        <v>141.5</v>
      </c>
      <c r="R178" s="21">
        <f t="shared" si="15"/>
        <v>1796.7</v>
      </c>
      <c r="S178" s="21">
        <v>135</v>
      </c>
      <c r="T178" s="21">
        <v>125.4</v>
      </c>
      <c r="U178" s="21">
        <v>133.5</v>
      </c>
      <c r="V178" s="21">
        <f t="shared" si="16"/>
        <v>393.9</v>
      </c>
      <c r="W178" s="22">
        <v>138.6</v>
      </c>
      <c r="X178" s="21">
        <v>125.7</v>
      </c>
      <c r="Y178" s="21">
        <v>128.80000000000001</v>
      </c>
      <c r="Z178" s="22">
        <f t="shared" si="17"/>
        <v>393.1</v>
      </c>
      <c r="AA178" s="21">
        <v>127.4</v>
      </c>
      <c r="AB178" s="21">
        <v>124.9</v>
      </c>
      <c r="AC178" s="21">
        <f t="shared" si="18"/>
        <v>252.3</v>
      </c>
      <c r="AD178" s="27">
        <v>115.3</v>
      </c>
      <c r="AE178" s="27">
        <v>125.1</v>
      </c>
      <c r="AF178" s="27">
        <v>136.6</v>
      </c>
      <c r="AG178" s="21">
        <f t="shared" si="19"/>
        <v>261.7</v>
      </c>
      <c r="AH178" s="27">
        <v>156.19999999999999</v>
      </c>
      <c r="AI178" s="27">
        <v>124.9</v>
      </c>
      <c r="AJ178" s="21">
        <f t="shared" si="20"/>
        <v>281.10000000000002</v>
      </c>
      <c r="AK178" s="21">
        <v>134.80000000000001</v>
      </c>
    </row>
    <row r="179" spans="1:37">
      <c r="A179" s="21" t="s">
        <v>34</v>
      </c>
      <c r="B179" s="26">
        <v>2017</v>
      </c>
      <c r="C179" s="21" t="s">
        <v>45</v>
      </c>
      <c r="D179" s="21" t="str">
        <f t="shared" si="14"/>
        <v>Yes</v>
      </c>
      <c r="E179" s="27">
        <v>135.69999999999999</v>
      </c>
      <c r="F179" s="27">
        <v>142.4</v>
      </c>
      <c r="G179" s="27">
        <v>142.9</v>
      </c>
      <c r="H179" s="27">
        <v>140.80000000000001</v>
      </c>
      <c r="I179" s="27">
        <v>119.2</v>
      </c>
      <c r="J179" s="27">
        <v>142.19999999999999</v>
      </c>
      <c r="K179" s="27">
        <v>173.8</v>
      </c>
      <c r="L179" s="27">
        <v>131.19999999999999</v>
      </c>
      <c r="M179" s="27">
        <v>123</v>
      </c>
      <c r="N179" s="27">
        <v>136.80000000000001</v>
      </c>
      <c r="O179" s="27">
        <v>129.19999999999999</v>
      </c>
      <c r="P179" s="27">
        <v>148.9</v>
      </c>
      <c r="Q179" s="27">
        <v>142.1</v>
      </c>
      <c r="R179" s="21">
        <f t="shared" si="15"/>
        <v>1808.2</v>
      </c>
      <c r="S179" s="21">
        <v>143</v>
      </c>
      <c r="T179" s="21">
        <v>134.80000000000001</v>
      </c>
      <c r="U179" s="21">
        <v>141.80000000000001</v>
      </c>
      <c r="V179" s="21">
        <f t="shared" si="16"/>
        <v>419.6</v>
      </c>
      <c r="W179" s="22">
        <v>138.6</v>
      </c>
      <c r="X179" s="21">
        <v>135.30000000000001</v>
      </c>
      <c r="Y179" s="21">
        <v>134.4</v>
      </c>
      <c r="Z179" s="22">
        <f t="shared" si="17"/>
        <v>408.29999999999995</v>
      </c>
      <c r="AA179" s="21">
        <v>132.6</v>
      </c>
      <c r="AB179" s="21">
        <v>126.8</v>
      </c>
      <c r="AC179" s="21">
        <f t="shared" si="18"/>
        <v>259.39999999999998</v>
      </c>
      <c r="AD179" s="27">
        <v>118.3</v>
      </c>
      <c r="AE179" s="27">
        <v>128.9</v>
      </c>
      <c r="AF179" s="27">
        <v>138.6</v>
      </c>
      <c r="AG179" s="21">
        <f t="shared" si="19"/>
        <v>267.5</v>
      </c>
      <c r="AH179" s="27">
        <v>153.19999999999999</v>
      </c>
      <c r="AI179" s="27">
        <v>128.4</v>
      </c>
      <c r="AJ179" s="21">
        <f t="shared" si="20"/>
        <v>281.60000000000002</v>
      </c>
      <c r="AK179" s="21">
        <v>137.6</v>
      </c>
    </row>
    <row r="180" spans="1:37">
      <c r="A180" s="21" t="s">
        <v>30</v>
      </c>
      <c r="B180" s="26">
        <v>2017</v>
      </c>
      <c r="C180" s="21" t="s">
        <v>46</v>
      </c>
      <c r="D180" s="21" t="str">
        <f t="shared" si="14"/>
        <v>Yes</v>
      </c>
      <c r="E180" s="27">
        <v>136.4</v>
      </c>
      <c r="F180" s="27">
        <v>143.69999999999999</v>
      </c>
      <c r="G180" s="27">
        <v>144.80000000000001</v>
      </c>
      <c r="H180" s="27">
        <v>141.9</v>
      </c>
      <c r="I180" s="27">
        <v>123.1</v>
      </c>
      <c r="J180" s="27">
        <v>147.19999999999999</v>
      </c>
      <c r="K180" s="27">
        <v>161</v>
      </c>
      <c r="L180" s="27">
        <v>133.80000000000001</v>
      </c>
      <c r="M180" s="27">
        <v>121.9</v>
      </c>
      <c r="N180" s="27">
        <v>135.80000000000001</v>
      </c>
      <c r="O180" s="27">
        <v>131.1</v>
      </c>
      <c r="P180" s="27">
        <v>151.4</v>
      </c>
      <c r="Q180" s="27">
        <v>141.5</v>
      </c>
      <c r="R180" s="21">
        <f t="shared" si="15"/>
        <v>1813.6000000000001</v>
      </c>
      <c r="S180" s="21">
        <v>148</v>
      </c>
      <c r="T180" s="21">
        <v>141.9</v>
      </c>
      <c r="U180" s="21">
        <v>147.19999999999999</v>
      </c>
      <c r="V180" s="21">
        <f t="shared" si="16"/>
        <v>437.09999999999997</v>
      </c>
      <c r="W180" s="22">
        <v>139.25</v>
      </c>
      <c r="X180" s="21">
        <v>142.6</v>
      </c>
      <c r="Y180" s="21">
        <v>139.5</v>
      </c>
      <c r="Z180" s="22">
        <f t="shared" si="17"/>
        <v>421.35</v>
      </c>
      <c r="AA180" s="21">
        <v>136.1</v>
      </c>
      <c r="AB180" s="21">
        <v>127.8</v>
      </c>
      <c r="AC180" s="21">
        <f t="shared" si="18"/>
        <v>263.89999999999998</v>
      </c>
      <c r="AD180" s="27">
        <v>122</v>
      </c>
      <c r="AE180" s="27">
        <v>133.4</v>
      </c>
      <c r="AF180" s="27">
        <v>141.1</v>
      </c>
      <c r="AG180" s="21">
        <f t="shared" si="19"/>
        <v>274.5</v>
      </c>
      <c r="AH180" s="27">
        <v>153.19999999999999</v>
      </c>
      <c r="AI180" s="27">
        <v>131.9</v>
      </c>
      <c r="AJ180" s="21">
        <f t="shared" si="20"/>
        <v>285.10000000000002</v>
      </c>
      <c r="AK180" s="21">
        <v>139.80000000000001</v>
      </c>
    </row>
    <row r="181" spans="1:37">
      <c r="A181" s="21" t="s">
        <v>33</v>
      </c>
      <c r="B181" s="26">
        <v>2017</v>
      </c>
      <c r="C181" s="21" t="s">
        <v>46</v>
      </c>
      <c r="D181" s="21" t="str">
        <f t="shared" si="14"/>
        <v>Yes</v>
      </c>
      <c r="E181" s="27">
        <v>134.4</v>
      </c>
      <c r="F181" s="27">
        <v>142.6</v>
      </c>
      <c r="G181" s="27">
        <v>145.9</v>
      </c>
      <c r="H181" s="27">
        <v>139.5</v>
      </c>
      <c r="I181" s="27">
        <v>115.9</v>
      </c>
      <c r="J181" s="27">
        <v>135</v>
      </c>
      <c r="K181" s="27">
        <v>163.19999999999999</v>
      </c>
      <c r="L181" s="27">
        <v>119.8</v>
      </c>
      <c r="M181" s="27">
        <v>120.7</v>
      </c>
      <c r="N181" s="27">
        <v>139.69999999999999</v>
      </c>
      <c r="O181" s="27">
        <v>125.7</v>
      </c>
      <c r="P181" s="27">
        <v>146.30000000000001</v>
      </c>
      <c r="Q181" s="27">
        <v>138.80000000000001</v>
      </c>
      <c r="R181" s="21">
        <f t="shared" si="15"/>
        <v>1767.5</v>
      </c>
      <c r="S181" s="21">
        <v>135.6</v>
      </c>
      <c r="T181" s="21">
        <v>125.6</v>
      </c>
      <c r="U181" s="21">
        <v>134</v>
      </c>
      <c r="V181" s="21">
        <f t="shared" si="16"/>
        <v>395.2</v>
      </c>
      <c r="W181" s="22">
        <v>139.1</v>
      </c>
      <c r="X181" s="21">
        <v>126.8</v>
      </c>
      <c r="Y181" s="21">
        <v>129.30000000000001</v>
      </c>
      <c r="Z181" s="22">
        <f t="shared" si="17"/>
        <v>395.2</v>
      </c>
      <c r="AA181" s="21">
        <v>128.19999999999999</v>
      </c>
      <c r="AB181" s="21">
        <v>124.6</v>
      </c>
      <c r="AC181" s="21">
        <f t="shared" si="18"/>
        <v>252.79999999999998</v>
      </c>
      <c r="AD181" s="27">
        <v>115.3</v>
      </c>
      <c r="AE181" s="27">
        <v>125.6</v>
      </c>
      <c r="AF181" s="27">
        <v>136.69999999999999</v>
      </c>
      <c r="AG181" s="21">
        <f t="shared" si="19"/>
        <v>262.29999999999995</v>
      </c>
      <c r="AH181" s="27">
        <v>157</v>
      </c>
      <c r="AI181" s="27">
        <v>125.1</v>
      </c>
      <c r="AJ181" s="21">
        <f t="shared" si="20"/>
        <v>282.10000000000002</v>
      </c>
      <c r="AK181" s="21">
        <v>134.1</v>
      </c>
    </row>
    <row r="182" spans="1:37">
      <c r="A182" s="21" t="s">
        <v>34</v>
      </c>
      <c r="B182" s="26">
        <v>2017</v>
      </c>
      <c r="C182" s="21" t="s">
        <v>46</v>
      </c>
      <c r="D182" s="21" t="str">
        <f t="shared" si="14"/>
        <v>Yes</v>
      </c>
      <c r="E182" s="27">
        <v>135.80000000000001</v>
      </c>
      <c r="F182" s="27">
        <v>143.30000000000001</v>
      </c>
      <c r="G182" s="27">
        <v>145.19999999999999</v>
      </c>
      <c r="H182" s="27">
        <v>141</v>
      </c>
      <c r="I182" s="27">
        <v>120.5</v>
      </c>
      <c r="J182" s="27">
        <v>141.5</v>
      </c>
      <c r="K182" s="27">
        <v>161.69999999999999</v>
      </c>
      <c r="L182" s="27">
        <v>129.1</v>
      </c>
      <c r="M182" s="27">
        <v>121.5</v>
      </c>
      <c r="N182" s="27">
        <v>137.1</v>
      </c>
      <c r="O182" s="27">
        <v>128.80000000000001</v>
      </c>
      <c r="P182" s="27">
        <v>149</v>
      </c>
      <c r="Q182" s="27">
        <v>140.5</v>
      </c>
      <c r="R182" s="21">
        <f t="shared" si="15"/>
        <v>1794.9999999999998</v>
      </c>
      <c r="S182" s="21">
        <v>143.1</v>
      </c>
      <c r="T182" s="21">
        <v>135.1</v>
      </c>
      <c r="U182" s="21">
        <v>142</v>
      </c>
      <c r="V182" s="21">
        <f t="shared" si="16"/>
        <v>420.2</v>
      </c>
      <c r="W182" s="22">
        <v>139.1</v>
      </c>
      <c r="X182" s="21">
        <v>136.6</v>
      </c>
      <c r="Y182" s="21">
        <v>134.69999999999999</v>
      </c>
      <c r="Z182" s="22">
        <f t="shared" si="17"/>
        <v>410.4</v>
      </c>
      <c r="AA182" s="21">
        <v>133.1</v>
      </c>
      <c r="AB182" s="21">
        <v>126.5</v>
      </c>
      <c r="AC182" s="21">
        <f t="shared" si="18"/>
        <v>259.60000000000002</v>
      </c>
      <c r="AD182" s="27">
        <v>118.5</v>
      </c>
      <c r="AE182" s="27">
        <v>129</v>
      </c>
      <c r="AF182" s="27">
        <v>138.5</v>
      </c>
      <c r="AG182" s="21">
        <f t="shared" si="19"/>
        <v>267.5</v>
      </c>
      <c r="AH182" s="27">
        <v>154.19999999999999</v>
      </c>
      <c r="AI182" s="27">
        <v>128.6</v>
      </c>
      <c r="AJ182" s="21">
        <f t="shared" si="20"/>
        <v>282.79999999999995</v>
      </c>
      <c r="AK182" s="21">
        <v>137.19999999999999</v>
      </c>
    </row>
    <row r="183" spans="1:37">
      <c r="A183" s="21" t="s">
        <v>30</v>
      </c>
      <c r="B183" s="26">
        <v>2018</v>
      </c>
      <c r="C183" s="21" t="s">
        <v>31</v>
      </c>
      <c r="D183" s="21" t="str">
        <f t="shared" si="14"/>
        <v>No</v>
      </c>
      <c r="E183" s="27">
        <v>136.6</v>
      </c>
      <c r="F183" s="27">
        <v>144.4</v>
      </c>
      <c r="G183" s="27">
        <v>143.80000000000001</v>
      </c>
      <c r="H183" s="27">
        <v>142</v>
      </c>
      <c r="I183" s="27">
        <v>123.2</v>
      </c>
      <c r="J183" s="27">
        <v>147.9</v>
      </c>
      <c r="K183" s="27">
        <v>152.1</v>
      </c>
      <c r="L183" s="27">
        <v>131.80000000000001</v>
      </c>
      <c r="M183" s="27">
        <v>119.5</v>
      </c>
      <c r="N183" s="27">
        <v>136</v>
      </c>
      <c r="O183" s="27">
        <v>131.19999999999999</v>
      </c>
      <c r="P183" s="27">
        <v>151.80000000000001</v>
      </c>
      <c r="Q183" s="27">
        <v>140.4</v>
      </c>
      <c r="R183" s="21">
        <f t="shared" si="15"/>
        <v>1800.7</v>
      </c>
      <c r="S183" s="21">
        <v>148.30000000000001</v>
      </c>
      <c r="T183" s="21">
        <v>142.30000000000001</v>
      </c>
      <c r="U183" s="21">
        <v>147.5</v>
      </c>
      <c r="V183" s="21">
        <f t="shared" si="16"/>
        <v>438.1</v>
      </c>
      <c r="W183" s="22">
        <v>139.25</v>
      </c>
      <c r="X183" s="21">
        <v>142.30000000000001</v>
      </c>
      <c r="Y183" s="21">
        <v>139.80000000000001</v>
      </c>
      <c r="Z183" s="22">
        <f t="shared" si="17"/>
        <v>421.35</v>
      </c>
      <c r="AA183" s="21">
        <v>136</v>
      </c>
      <c r="AB183" s="21">
        <v>128.6</v>
      </c>
      <c r="AC183" s="21">
        <f t="shared" si="18"/>
        <v>264.60000000000002</v>
      </c>
      <c r="AD183" s="27">
        <v>122.7</v>
      </c>
      <c r="AE183" s="27">
        <v>134.30000000000001</v>
      </c>
      <c r="AF183" s="27">
        <v>141.6</v>
      </c>
      <c r="AG183" s="21">
        <f t="shared" si="19"/>
        <v>275.89999999999998</v>
      </c>
      <c r="AH183" s="27">
        <v>153.6</v>
      </c>
      <c r="AI183" s="27">
        <v>132.30000000000001</v>
      </c>
      <c r="AJ183" s="21">
        <f t="shared" si="20"/>
        <v>285.89999999999998</v>
      </c>
      <c r="AK183" s="21">
        <v>139.30000000000001</v>
      </c>
    </row>
    <row r="184" spans="1:37">
      <c r="A184" s="21" t="s">
        <v>33</v>
      </c>
      <c r="B184" s="26">
        <v>2018</v>
      </c>
      <c r="C184" s="21" t="s">
        <v>31</v>
      </c>
      <c r="D184" s="21" t="str">
        <f t="shared" si="14"/>
        <v>No</v>
      </c>
      <c r="E184" s="27">
        <v>134.6</v>
      </c>
      <c r="F184" s="27">
        <v>143.69999999999999</v>
      </c>
      <c r="G184" s="27">
        <v>143.6</v>
      </c>
      <c r="H184" s="27">
        <v>139.6</v>
      </c>
      <c r="I184" s="27">
        <v>116.4</v>
      </c>
      <c r="J184" s="27">
        <v>133.80000000000001</v>
      </c>
      <c r="K184" s="27">
        <v>150.5</v>
      </c>
      <c r="L184" s="27">
        <v>118.4</v>
      </c>
      <c r="M184" s="27">
        <v>117.3</v>
      </c>
      <c r="N184" s="27">
        <v>140.5</v>
      </c>
      <c r="O184" s="27">
        <v>125.9</v>
      </c>
      <c r="P184" s="27">
        <v>146.80000000000001</v>
      </c>
      <c r="Q184" s="27">
        <v>137.19999999999999</v>
      </c>
      <c r="R184" s="21">
        <f t="shared" si="15"/>
        <v>1748.3000000000002</v>
      </c>
      <c r="S184" s="21">
        <v>136</v>
      </c>
      <c r="T184" s="21">
        <v>125.9</v>
      </c>
      <c r="U184" s="21">
        <v>134.4</v>
      </c>
      <c r="V184" s="21">
        <f t="shared" si="16"/>
        <v>396.29999999999995</v>
      </c>
      <c r="W184" s="22">
        <v>140.4</v>
      </c>
      <c r="X184" s="21">
        <v>127.3</v>
      </c>
      <c r="Y184" s="21">
        <v>129.5</v>
      </c>
      <c r="Z184" s="22">
        <f t="shared" si="17"/>
        <v>397.2</v>
      </c>
      <c r="AA184" s="21">
        <v>129</v>
      </c>
      <c r="AB184" s="21">
        <v>125.5</v>
      </c>
      <c r="AC184" s="21">
        <f t="shared" si="18"/>
        <v>254.5</v>
      </c>
      <c r="AD184" s="27">
        <v>116.3</v>
      </c>
      <c r="AE184" s="27">
        <v>126.2</v>
      </c>
      <c r="AF184" s="27">
        <v>137.1</v>
      </c>
      <c r="AG184" s="21">
        <f t="shared" si="19"/>
        <v>263.3</v>
      </c>
      <c r="AH184" s="27">
        <v>157.69999999999999</v>
      </c>
      <c r="AI184" s="27">
        <v>125.8</v>
      </c>
      <c r="AJ184" s="21">
        <f t="shared" si="20"/>
        <v>283.5</v>
      </c>
      <c r="AK184" s="21">
        <v>134.1</v>
      </c>
    </row>
    <row r="185" spans="1:37">
      <c r="A185" s="21" t="s">
        <v>34</v>
      </c>
      <c r="B185" s="26">
        <v>2018</v>
      </c>
      <c r="C185" s="21" t="s">
        <v>31</v>
      </c>
      <c r="D185" s="21" t="str">
        <f t="shared" si="14"/>
        <v>No</v>
      </c>
      <c r="E185" s="27">
        <v>136</v>
      </c>
      <c r="F185" s="27">
        <v>144.19999999999999</v>
      </c>
      <c r="G185" s="27">
        <v>143.69999999999999</v>
      </c>
      <c r="H185" s="27">
        <v>141.1</v>
      </c>
      <c r="I185" s="27">
        <v>120.7</v>
      </c>
      <c r="J185" s="27">
        <v>141.30000000000001</v>
      </c>
      <c r="K185" s="27">
        <v>151.6</v>
      </c>
      <c r="L185" s="27">
        <v>127.3</v>
      </c>
      <c r="M185" s="27">
        <v>118.8</v>
      </c>
      <c r="N185" s="27">
        <v>137.5</v>
      </c>
      <c r="O185" s="27">
        <v>129</v>
      </c>
      <c r="P185" s="27">
        <v>149.5</v>
      </c>
      <c r="Q185" s="27">
        <v>139.19999999999999</v>
      </c>
      <c r="R185" s="21">
        <f t="shared" si="15"/>
        <v>1779.9</v>
      </c>
      <c r="S185" s="21">
        <v>143.5</v>
      </c>
      <c r="T185" s="21">
        <v>135.5</v>
      </c>
      <c r="U185" s="21">
        <v>142.30000000000001</v>
      </c>
      <c r="V185" s="21">
        <f t="shared" si="16"/>
        <v>421.3</v>
      </c>
      <c r="W185" s="22">
        <v>140.4</v>
      </c>
      <c r="X185" s="21">
        <v>136.6</v>
      </c>
      <c r="Y185" s="21">
        <v>134.9</v>
      </c>
      <c r="Z185" s="22">
        <f t="shared" si="17"/>
        <v>411.9</v>
      </c>
      <c r="AA185" s="21">
        <v>133.30000000000001</v>
      </c>
      <c r="AB185" s="21">
        <v>127.3</v>
      </c>
      <c r="AC185" s="21">
        <f t="shared" si="18"/>
        <v>260.60000000000002</v>
      </c>
      <c r="AD185" s="27">
        <v>119.3</v>
      </c>
      <c r="AE185" s="27">
        <v>129.69999999999999</v>
      </c>
      <c r="AF185" s="27">
        <v>139</v>
      </c>
      <c r="AG185" s="21">
        <f t="shared" si="19"/>
        <v>268.7</v>
      </c>
      <c r="AH185" s="27">
        <v>154.69999999999999</v>
      </c>
      <c r="AI185" s="27">
        <v>129.1</v>
      </c>
      <c r="AJ185" s="21">
        <f t="shared" si="20"/>
        <v>283.79999999999995</v>
      </c>
      <c r="AK185" s="21">
        <v>136.9</v>
      </c>
    </row>
    <row r="186" spans="1:37">
      <c r="A186" s="21" t="s">
        <v>30</v>
      </c>
      <c r="B186" s="26">
        <v>2018</v>
      </c>
      <c r="C186" s="21" t="s">
        <v>35</v>
      </c>
      <c r="D186" s="21" t="str">
        <f t="shared" si="14"/>
        <v>No</v>
      </c>
      <c r="E186" s="27">
        <v>136.4</v>
      </c>
      <c r="F186" s="27">
        <v>143.69999999999999</v>
      </c>
      <c r="G186" s="27">
        <v>140.6</v>
      </c>
      <c r="H186" s="27">
        <v>141.5</v>
      </c>
      <c r="I186" s="27">
        <v>122.9</v>
      </c>
      <c r="J186" s="27">
        <v>149.4</v>
      </c>
      <c r="K186" s="27">
        <v>142.4</v>
      </c>
      <c r="L186" s="27">
        <v>130.19999999999999</v>
      </c>
      <c r="M186" s="27">
        <v>117.9</v>
      </c>
      <c r="N186" s="27">
        <v>135.6</v>
      </c>
      <c r="O186" s="27">
        <v>130.5</v>
      </c>
      <c r="P186" s="27">
        <v>151.69999999999999</v>
      </c>
      <c r="Q186" s="27">
        <v>138.69999999999999</v>
      </c>
      <c r="R186" s="21">
        <f t="shared" si="15"/>
        <v>1781.5</v>
      </c>
      <c r="S186" s="21">
        <v>148.69999999999999</v>
      </c>
      <c r="T186" s="21">
        <v>142.4</v>
      </c>
      <c r="U186" s="21">
        <v>147.80000000000001</v>
      </c>
      <c r="V186" s="21">
        <f t="shared" si="16"/>
        <v>438.90000000000003</v>
      </c>
      <c r="W186" s="22">
        <v>139.25</v>
      </c>
      <c r="X186" s="21">
        <v>142.4</v>
      </c>
      <c r="Y186" s="21">
        <v>139.9</v>
      </c>
      <c r="Z186" s="22">
        <f t="shared" si="17"/>
        <v>421.54999999999995</v>
      </c>
      <c r="AA186" s="21">
        <v>136.19999999999999</v>
      </c>
      <c r="AB186" s="21">
        <v>128.80000000000001</v>
      </c>
      <c r="AC186" s="21">
        <f t="shared" si="18"/>
        <v>265</v>
      </c>
      <c r="AD186" s="27">
        <v>123.3</v>
      </c>
      <c r="AE186" s="27">
        <v>134.30000000000001</v>
      </c>
      <c r="AF186" s="27">
        <v>141.5</v>
      </c>
      <c r="AG186" s="21">
        <f t="shared" si="19"/>
        <v>275.8</v>
      </c>
      <c r="AH186" s="27">
        <v>153.30000000000001</v>
      </c>
      <c r="AI186" s="27">
        <v>132.5</v>
      </c>
      <c r="AJ186" s="21">
        <f t="shared" si="20"/>
        <v>285.8</v>
      </c>
      <c r="AK186" s="21">
        <v>138.5</v>
      </c>
    </row>
    <row r="187" spans="1:37">
      <c r="A187" s="21" t="s">
        <v>33</v>
      </c>
      <c r="B187" s="26">
        <v>2018</v>
      </c>
      <c r="C187" s="21" t="s">
        <v>35</v>
      </c>
      <c r="D187" s="21" t="str">
        <f t="shared" si="14"/>
        <v>No</v>
      </c>
      <c r="E187" s="27">
        <v>134.80000000000001</v>
      </c>
      <c r="F187" s="27">
        <v>143</v>
      </c>
      <c r="G187" s="27">
        <v>139.9</v>
      </c>
      <c r="H187" s="27">
        <v>139.9</v>
      </c>
      <c r="I187" s="27">
        <v>116.2</v>
      </c>
      <c r="J187" s="27">
        <v>135.5</v>
      </c>
      <c r="K187" s="27">
        <v>136.9</v>
      </c>
      <c r="L187" s="27">
        <v>117</v>
      </c>
      <c r="M187" s="27">
        <v>115.4</v>
      </c>
      <c r="N187" s="27">
        <v>140.69999999999999</v>
      </c>
      <c r="O187" s="27">
        <v>125.9</v>
      </c>
      <c r="P187" s="27">
        <v>147.1</v>
      </c>
      <c r="Q187" s="27">
        <v>135.6</v>
      </c>
      <c r="R187" s="21">
        <f t="shared" si="15"/>
        <v>1727.9</v>
      </c>
      <c r="S187" s="21">
        <v>136.30000000000001</v>
      </c>
      <c r="T187" s="21">
        <v>126.1</v>
      </c>
      <c r="U187" s="21">
        <v>134.69999999999999</v>
      </c>
      <c r="V187" s="21">
        <f t="shared" si="16"/>
        <v>397.09999999999997</v>
      </c>
      <c r="W187" s="22">
        <v>141.30000000000001</v>
      </c>
      <c r="X187" s="21">
        <v>127.3</v>
      </c>
      <c r="Y187" s="21">
        <v>129.9</v>
      </c>
      <c r="Z187" s="22">
        <f t="shared" si="17"/>
        <v>398.5</v>
      </c>
      <c r="AA187" s="21">
        <v>129.80000000000001</v>
      </c>
      <c r="AB187" s="21">
        <v>126.2</v>
      </c>
      <c r="AC187" s="21">
        <f t="shared" si="18"/>
        <v>256</v>
      </c>
      <c r="AD187" s="27">
        <v>117.4</v>
      </c>
      <c r="AE187" s="27">
        <v>126.5</v>
      </c>
      <c r="AF187" s="27">
        <v>137.19999999999999</v>
      </c>
      <c r="AG187" s="21">
        <f t="shared" si="19"/>
        <v>263.7</v>
      </c>
      <c r="AH187" s="27">
        <v>159.30000000000001</v>
      </c>
      <c r="AI187" s="27">
        <v>126.5</v>
      </c>
      <c r="AJ187" s="21">
        <f t="shared" si="20"/>
        <v>285.8</v>
      </c>
      <c r="AK187" s="21">
        <v>134</v>
      </c>
    </row>
    <row r="188" spans="1:37">
      <c r="A188" s="21" t="s">
        <v>34</v>
      </c>
      <c r="B188" s="26">
        <v>2018</v>
      </c>
      <c r="C188" s="21" t="s">
        <v>35</v>
      </c>
      <c r="D188" s="21" t="str">
        <f t="shared" si="14"/>
        <v>No</v>
      </c>
      <c r="E188" s="27">
        <v>135.9</v>
      </c>
      <c r="F188" s="27">
        <v>143.5</v>
      </c>
      <c r="G188" s="27">
        <v>140.30000000000001</v>
      </c>
      <c r="H188" s="27">
        <v>140.9</v>
      </c>
      <c r="I188" s="27">
        <v>120.4</v>
      </c>
      <c r="J188" s="27">
        <v>142.9</v>
      </c>
      <c r="K188" s="27">
        <v>140.5</v>
      </c>
      <c r="L188" s="27">
        <v>125.8</v>
      </c>
      <c r="M188" s="27">
        <v>117.1</v>
      </c>
      <c r="N188" s="27">
        <v>137.30000000000001</v>
      </c>
      <c r="O188" s="27">
        <v>128.6</v>
      </c>
      <c r="P188" s="27">
        <v>149.6</v>
      </c>
      <c r="Q188" s="27">
        <v>137.6</v>
      </c>
      <c r="R188" s="21">
        <f t="shared" si="15"/>
        <v>1760.3999999999996</v>
      </c>
      <c r="S188" s="21">
        <v>143.80000000000001</v>
      </c>
      <c r="T188" s="21">
        <v>135.6</v>
      </c>
      <c r="U188" s="21">
        <v>142.6</v>
      </c>
      <c r="V188" s="21">
        <f t="shared" si="16"/>
        <v>422</v>
      </c>
      <c r="W188" s="22">
        <v>141.30000000000001</v>
      </c>
      <c r="X188" s="21">
        <v>136.69999999999999</v>
      </c>
      <c r="Y188" s="21">
        <v>135.19999999999999</v>
      </c>
      <c r="Z188" s="22">
        <f t="shared" si="17"/>
        <v>413.2</v>
      </c>
      <c r="AA188" s="21">
        <v>133.80000000000001</v>
      </c>
      <c r="AB188" s="21">
        <v>127.7</v>
      </c>
      <c r="AC188" s="21">
        <f t="shared" si="18"/>
        <v>261.5</v>
      </c>
      <c r="AD188" s="27">
        <v>120.2</v>
      </c>
      <c r="AE188" s="27">
        <v>129.9</v>
      </c>
      <c r="AF188" s="27">
        <v>139</v>
      </c>
      <c r="AG188" s="21">
        <f t="shared" si="19"/>
        <v>268.89999999999998</v>
      </c>
      <c r="AH188" s="27">
        <v>154.9</v>
      </c>
      <c r="AI188" s="27">
        <v>129.6</v>
      </c>
      <c r="AJ188" s="21">
        <f t="shared" si="20"/>
        <v>284.5</v>
      </c>
      <c r="AK188" s="21">
        <v>136.4</v>
      </c>
    </row>
    <row r="189" spans="1:37">
      <c r="A189" s="21" t="s">
        <v>30</v>
      </c>
      <c r="B189" s="26">
        <v>2018</v>
      </c>
      <c r="C189" s="21" t="s">
        <v>36</v>
      </c>
      <c r="D189" s="21" t="str">
        <f t="shared" si="14"/>
        <v>No</v>
      </c>
      <c r="E189" s="27">
        <v>136.80000000000001</v>
      </c>
      <c r="F189" s="27">
        <v>143.80000000000001</v>
      </c>
      <c r="G189" s="27">
        <v>140</v>
      </c>
      <c r="H189" s="27">
        <v>142</v>
      </c>
      <c r="I189" s="27">
        <v>123.2</v>
      </c>
      <c r="J189" s="27">
        <v>152.9</v>
      </c>
      <c r="K189" s="27">
        <v>138</v>
      </c>
      <c r="L189" s="27">
        <v>129.30000000000001</v>
      </c>
      <c r="M189" s="27">
        <v>117.1</v>
      </c>
      <c r="N189" s="27">
        <v>136.30000000000001</v>
      </c>
      <c r="O189" s="27">
        <v>131.19999999999999</v>
      </c>
      <c r="P189" s="27">
        <v>152.80000000000001</v>
      </c>
      <c r="Q189" s="27">
        <v>138.6</v>
      </c>
      <c r="R189" s="21">
        <f t="shared" si="15"/>
        <v>1781.9999999999998</v>
      </c>
      <c r="S189" s="21">
        <v>149.19999999999999</v>
      </c>
      <c r="T189" s="21">
        <v>143</v>
      </c>
      <c r="U189" s="21">
        <v>148.30000000000001</v>
      </c>
      <c r="V189" s="21">
        <f t="shared" si="16"/>
        <v>440.5</v>
      </c>
      <c r="W189" s="22">
        <v>139.25</v>
      </c>
      <c r="X189" s="21">
        <v>142.6</v>
      </c>
      <c r="Y189" s="21">
        <v>139.9</v>
      </c>
      <c r="Z189" s="22">
        <f t="shared" si="17"/>
        <v>421.75</v>
      </c>
      <c r="AA189" s="21">
        <v>136.69999999999999</v>
      </c>
      <c r="AB189" s="21">
        <v>129.30000000000001</v>
      </c>
      <c r="AC189" s="21">
        <f t="shared" si="18"/>
        <v>266</v>
      </c>
      <c r="AD189" s="27">
        <v>124.6</v>
      </c>
      <c r="AE189" s="27">
        <v>135.1</v>
      </c>
      <c r="AF189" s="27">
        <v>142.69999999999999</v>
      </c>
      <c r="AG189" s="21">
        <f t="shared" si="19"/>
        <v>277.79999999999995</v>
      </c>
      <c r="AH189" s="27">
        <v>155.1</v>
      </c>
      <c r="AI189" s="27">
        <v>133.30000000000001</v>
      </c>
      <c r="AJ189" s="21">
        <f t="shared" si="20"/>
        <v>288.39999999999998</v>
      </c>
      <c r="AK189" s="21">
        <v>138.69999999999999</v>
      </c>
    </row>
    <row r="190" spans="1:37">
      <c r="A190" s="21" t="s">
        <v>33</v>
      </c>
      <c r="B190" s="26">
        <v>2018</v>
      </c>
      <c r="C190" s="21" t="s">
        <v>36</v>
      </c>
      <c r="D190" s="21" t="str">
        <f t="shared" si="14"/>
        <v>No</v>
      </c>
      <c r="E190" s="27">
        <v>135</v>
      </c>
      <c r="F190" s="27">
        <v>143.1</v>
      </c>
      <c r="G190" s="27">
        <v>135.5</v>
      </c>
      <c r="H190" s="27">
        <v>139.9</v>
      </c>
      <c r="I190" s="27">
        <v>116.5</v>
      </c>
      <c r="J190" s="27">
        <v>138.5</v>
      </c>
      <c r="K190" s="27">
        <v>128</v>
      </c>
      <c r="L190" s="27">
        <v>115.5</v>
      </c>
      <c r="M190" s="27">
        <v>114.2</v>
      </c>
      <c r="N190" s="27">
        <v>140.69999999999999</v>
      </c>
      <c r="O190" s="27">
        <v>126.2</v>
      </c>
      <c r="P190" s="27">
        <v>147.6</v>
      </c>
      <c r="Q190" s="27">
        <v>134.80000000000001</v>
      </c>
      <c r="R190" s="21">
        <f t="shared" si="15"/>
        <v>1715.5</v>
      </c>
      <c r="S190" s="21">
        <v>136.69999999999999</v>
      </c>
      <c r="T190" s="21">
        <v>126.7</v>
      </c>
      <c r="U190" s="21">
        <v>135.19999999999999</v>
      </c>
      <c r="V190" s="21">
        <f t="shared" si="16"/>
        <v>398.59999999999997</v>
      </c>
      <c r="W190" s="22">
        <v>142</v>
      </c>
      <c r="X190" s="21">
        <v>126.4</v>
      </c>
      <c r="Y190" s="21">
        <v>130.80000000000001</v>
      </c>
      <c r="Z190" s="22">
        <f t="shared" si="17"/>
        <v>399.2</v>
      </c>
      <c r="AA190" s="21">
        <v>130.5</v>
      </c>
      <c r="AB190" s="21">
        <v>126.7</v>
      </c>
      <c r="AC190" s="21">
        <f t="shared" si="18"/>
        <v>257.2</v>
      </c>
      <c r="AD190" s="27">
        <v>117.8</v>
      </c>
      <c r="AE190" s="27">
        <v>126.8</v>
      </c>
      <c r="AF190" s="27">
        <v>137.80000000000001</v>
      </c>
      <c r="AG190" s="21">
        <f t="shared" si="19"/>
        <v>264.60000000000002</v>
      </c>
      <c r="AH190" s="27">
        <v>159.69999999999999</v>
      </c>
      <c r="AI190" s="27">
        <v>127.1</v>
      </c>
      <c r="AJ190" s="21">
        <f t="shared" si="20"/>
        <v>286.79999999999995</v>
      </c>
      <c r="AK190" s="21">
        <v>134</v>
      </c>
    </row>
    <row r="191" spans="1:37">
      <c r="A191" s="21" t="s">
        <v>34</v>
      </c>
      <c r="B191" s="26">
        <v>2018</v>
      </c>
      <c r="C191" s="21" t="s">
        <v>36</v>
      </c>
      <c r="D191" s="21" t="str">
        <f t="shared" si="14"/>
        <v>No</v>
      </c>
      <c r="E191" s="27">
        <v>136.19999999999999</v>
      </c>
      <c r="F191" s="27">
        <v>143.6</v>
      </c>
      <c r="G191" s="27">
        <v>138.30000000000001</v>
      </c>
      <c r="H191" s="27">
        <v>141.19999999999999</v>
      </c>
      <c r="I191" s="27">
        <v>120.7</v>
      </c>
      <c r="J191" s="27">
        <v>146.19999999999999</v>
      </c>
      <c r="K191" s="27">
        <v>134.6</v>
      </c>
      <c r="L191" s="27">
        <v>124.6</v>
      </c>
      <c r="M191" s="27">
        <v>116.1</v>
      </c>
      <c r="N191" s="27">
        <v>137.80000000000001</v>
      </c>
      <c r="O191" s="27">
        <v>129.1</v>
      </c>
      <c r="P191" s="27">
        <v>150.4</v>
      </c>
      <c r="Q191" s="27">
        <v>137.19999999999999</v>
      </c>
      <c r="R191" s="21">
        <f t="shared" si="15"/>
        <v>1756</v>
      </c>
      <c r="S191" s="21">
        <v>144.30000000000001</v>
      </c>
      <c r="T191" s="21">
        <v>136.19999999999999</v>
      </c>
      <c r="U191" s="21">
        <v>143.1</v>
      </c>
      <c r="V191" s="21">
        <f t="shared" si="16"/>
        <v>423.6</v>
      </c>
      <c r="W191" s="22">
        <v>142</v>
      </c>
      <c r="X191" s="21">
        <v>136.5</v>
      </c>
      <c r="Y191" s="21">
        <v>135.6</v>
      </c>
      <c r="Z191" s="22">
        <f t="shared" si="17"/>
        <v>414.1</v>
      </c>
      <c r="AA191" s="21">
        <v>134.30000000000001</v>
      </c>
      <c r="AB191" s="21">
        <v>128.19999999999999</v>
      </c>
      <c r="AC191" s="21">
        <f t="shared" si="18"/>
        <v>262.5</v>
      </c>
      <c r="AD191" s="27">
        <v>121</v>
      </c>
      <c r="AE191" s="27">
        <v>130.4</v>
      </c>
      <c r="AF191" s="27">
        <v>139.80000000000001</v>
      </c>
      <c r="AG191" s="21">
        <f t="shared" si="19"/>
        <v>270.20000000000005</v>
      </c>
      <c r="AH191" s="27">
        <v>156.30000000000001</v>
      </c>
      <c r="AI191" s="27">
        <v>130.30000000000001</v>
      </c>
      <c r="AJ191" s="21">
        <f t="shared" si="20"/>
        <v>286.60000000000002</v>
      </c>
      <c r="AK191" s="21">
        <v>136.5</v>
      </c>
    </row>
    <row r="192" spans="1:37">
      <c r="A192" s="21" t="s">
        <v>30</v>
      </c>
      <c r="B192" s="26">
        <v>2018</v>
      </c>
      <c r="C192" s="21" t="s">
        <v>37</v>
      </c>
      <c r="D192" s="21" t="str">
        <f t="shared" si="14"/>
        <v>No</v>
      </c>
      <c r="E192" s="27">
        <v>137.1</v>
      </c>
      <c r="F192" s="27">
        <v>144.5</v>
      </c>
      <c r="G192" s="27">
        <v>135.9</v>
      </c>
      <c r="H192" s="27">
        <v>142.4</v>
      </c>
      <c r="I192" s="27">
        <v>123.5</v>
      </c>
      <c r="J192" s="27">
        <v>156.4</v>
      </c>
      <c r="K192" s="27">
        <v>135.1</v>
      </c>
      <c r="L192" s="27">
        <v>128.4</v>
      </c>
      <c r="M192" s="27">
        <v>115.2</v>
      </c>
      <c r="N192" s="27">
        <v>137.19999999999999</v>
      </c>
      <c r="O192" s="27">
        <v>131.9</v>
      </c>
      <c r="P192" s="27">
        <v>153.80000000000001</v>
      </c>
      <c r="Q192" s="27">
        <v>138.6</v>
      </c>
      <c r="R192" s="21">
        <f t="shared" si="15"/>
        <v>1780</v>
      </c>
      <c r="S192" s="21">
        <v>150.1</v>
      </c>
      <c r="T192" s="21">
        <v>143.30000000000001</v>
      </c>
      <c r="U192" s="21">
        <v>149.1</v>
      </c>
      <c r="V192" s="21">
        <f t="shared" si="16"/>
        <v>442.5</v>
      </c>
      <c r="W192" s="22">
        <v>139.25</v>
      </c>
      <c r="X192" s="21">
        <v>143.80000000000001</v>
      </c>
      <c r="Y192" s="21">
        <v>140.9</v>
      </c>
      <c r="Z192" s="22">
        <f t="shared" si="17"/>
        <v>423.95000000000005</v>
      </c>
      <c r="AA192" s="21">
        <v>137.6</v>
      </c>
      <c r="AB192" s="21">
        <v>130.4</v>
      </c>
      <c r="AC192" s="21">
        <f t="shared" si="18"/>
        <v>268</v>
      </c>
      <c r="AD192" s="27">
        <v>125.3</v>
      </c>
      <c r="AE192" s="27">
        <v>136</v>
      </c>
      <c r="AF192" s="27">
        <v>143.69999999999999</v>
      </c>
      <c r="AG192" s="21">
        <f t="shared" si="19"/>
        <v>279.7</v>
      </c>
      <c r="AH192" s="27">
        <v>156.1</v>
      </c>
      <c r="AI192" s="27">
        <v>134.19999999999999</v>
      </c>
      <c r="AJ192" s="21">
        <f t="shared" si="20"/>
        <v>290.29999999999995</v>
      </c>
      <c r="AK192" s="21">
        <v>139.1</v>
      </c>
    </row>
    <row r="193" spans="1:37">
      <c r="A193" s="21" t="s">
        <v>33</v>
      </c>
      <c r="B193" s="26">
        <v>2018</v>
      </c>
      <c r="C193" s="21" t="s">
        <v>37</v>
      </c>
      <c r="D193" s="21" t="str">
        <f t="shared" si="14"/>
        <v>No</v>
      </c>
      <c r="E193" s="27">
        <v>135</v>
      </c>
      <c r="F193" s="27">
        <v>144.30000000000001</v>
      </c>
      <c r="G193" s="27">
        <v>130.80000000000001</v>
      </c>
      <c r="H193" s="27">
        <v>140.30000000000001</v>
      </c>
      <c r="I193" s="27">
        <v>116.6</v>
      </c>
      <c r="J193" s="27">
        <v>150.1</v>
      </c>
      <c r="K193" s="27">
        <v>127.6</v>
      </c>
      <c r="L193" s="27">
        <v>114</v>
      </c>
      <c r="M193" s="27">
        <v>110.6</v>
      </c>
      <c r="N193" s="27">
        <v>140.19999999999999</v>
      </c>
      <c r="O193" s="27">
        <v>126.5</v>
      </c>
      <c r="P193" s="27">
        <v>148.30000000000001</v>
      </c>
      <c r="Q193" s="27">
        <v>135.69999999999999</v>
      </c>
      <c r="R193" s="21">
        <f t="shared" si="15"/>
        <v>1720.0000000000002</v>
      </c>
      <c r="S193" s="21">
        <v>137.80000000000001</v>
      </c>
      <c r="T193" s="21">
        <v>127.4</v>
      </c>
      <c r="U193" s="21">
        <v>136.19999999999999</v>
      </c>
      <c r="V193" s="21">
        <f t="shared" si="16"/>
        <v>401.40000000000003</v>
      </c>
      <c r="W193" s="22">
        <v>142.9</v>
      </c>
      <c r="X193" s="21">
        <v>124.6</v>
      </c>
      <c r="Y193" s="21">
        <v>131.80000000000001</v>
      </c>
      <c r="Z193" s="22">
        <f t="shared" si="17"/>
        <v>399.3</v>
      </c>
      <c r="AA193" s="21">
        <v>131.30000000000001</v>
      </c>
      <c r="AB193" s="21">
        <v>127.6</v>
      </c>
      <c r="AC193" s="21">
        <f t="shared" si="18"/>
        <v>258.89999999999998</v>
      </c>
      <c r="AD193" s="27">
        <v>118.9</v>
      </c>
      <c r="AE193" s="27">
        <v>127.6</v>
      </c>
      <c r="AF193" s="27">
        <v>139.69999999999999</v>
      </c>
      <c r="AG193" s="21">
        <f t="shared" si="19"/>
        <v>267.29999999999995</v>
      </c>
      <c r="AH193" s="27">
        <v>159.19999999999999</v>
      </c>
      <c r="AI193" s="27">
        <v>128.19999999999999</v>
      </c>
      <c r="AJ193" s="21">
        <f t="shared" si="20"/>
        <v>287.39999999999998</v>
      </c>
      <c r="AK193" s="21">
        <v>134.80000000000001</v>
      </c>
    </row>
    <row r="194" spans="1:37">
      <c r="A194" s="21" t="s">
        <v>34</v>
      </c>
      <c r="B194" s="26">
        <v>2018</v>
      </c>
      <c r="C194" s="21" t="s">
        <v>37</v>
      </c>
      <c r="D194" s="21" t="str">
        <f t="shared" si="14"/>
        <v>No</v>
      </c>
      <c r="E194" s="27">
        <v>136.4</v>
      </c>
      <c r="F194" s="27">
        <v>144.4</v>
      </c>
      <c r="G194" s="27">
        <v>133.9</v>
      </c>
      <c r="H194" s="27">
        <v>141.6</v>
      </c>
      <c r="I194" s="27">
        <v>121</v>
      </c>
      <c r="J194" s="27">
        <v>153.5</v>
      </c>
      <c r="K194" s="27">
        <v>132.6</v>
      </c>
      <c r="L194" s="27">
        <v>123.5</v>
      </c>
      <c r="M194" s="27">
        <v>113.7</v>
      </c>
      <c r="N194" s="27">
        <v>138.19999999999999</v>
      </c>
      <c r="O194" s="27">
        <v>129.6</v>
      </c>
      <c r="P194" s="27">
        <v>151.19999999999999</v>
      </c>
      <c r="Q194" s="27">
        <v>137.5</v>
      </c>
      <c r="R194" s="21">
        <f t="shared" si="15"/>
        <v>1757.1000000000001</v>
      </c>
      <c r="S194" s="21">
        <v>145.30000000000001</v>
      </c>
      <c r="T194" s="21">
        <v>136.69999999999999</v>
      </c>
      <c r="U194" s="21">
        <v>144</v>
      </c>
      <c r="V194" s="21">
        <f t="shared" si="16"/>
        <v>426</v>
      </c>
      <c r="W194" s="22">
        <v>142.9</v>
      </c>
      <c r="X194" s="21">
        <v>136.5</v>
      </c>
      <c r="Y194" s="21">
        <v>136.6</v>
      </c>
      <c r="Z194" s="22">
        <f t="shared" si="17"/>
        <v>416</v>
      </c>
      <c r="AA194" s="21">
        <v>135.19999999999999</v>
      </c>
      <c r="AB194" s="21">
        <v>129.19999999999999</v>
      </c>
      <c r="AC194" s="21">
        <f t="shared" si="18"/>
        <v>264.39999999999998</v>
      </c>
      <c r="AD194" s="27">
        <v>121.9</v>
      </c>
      <c r="AE194" s="27">
        <v>131.30000000000001</v>
      </c>
      <c r="AF194" s="27">
        <v>141.4</v>
      </c>
      <c r="AG194" s="21">
        <f t="shared" si="19"/>
        <v>272.70000000000005</v>
      </c>
      <c r="AH194" s="27">
        <v>156.9</v>
      </c>
      <c r="AI194" s="27">
        <v>131.30000000000001</v>
      </c>
      <c r="AJ194" s="21">
        <f t="shared" si="20"/>
        <v>288.20000000000005</v>
      </c>
      <c r="AK194" s="21">
        <v>137.1</v>
      </c>
    </row>
    <row r="195" spans="1:37">
      <c r="A195" s="21" t="s">
        <v>30</v>
      </c>
      <c r="B195" s="26">
        <v>2018</v>
      </c>
      <c r="C195" s="21" t="s">
        <v>38</v>
      </c>
      <c r="D195" s="21" t="str">
        <f t="shared" si="14"/>
        <v>No</v>
      </c>
      <c r="E195" s="27">
        <v>137.4</v>
      </c>
      <c r="F195" s="27">
        <v>145.69999999999999</v>
      </c>
      <c r="G195" s="27">
        <v>135.5</v>
      </c>
      <c r="H195" s="27">
        <v>142.9</v>
      </c>
      <c r="I195" s="27">
        <v>123.6</v>
      </c>
      <c r="J195" s="27">
        <v>157.5</v>
      </c>
      <c r="K195" s="27">
        <v>137.80000000000001</v>
      </c>
      <c r="L195" s="27">
        <v>127.2</v>
      </c>
      <c r="M195" s="27">
        <v>111.8</v>
      </c>
      <c r="N195" s="27">
        <v>137.4</v>
      </c>
      <c r="O195" s="27">
        <v>132.19999999999999</v>
      </c>
      <c r="P195" s="27">
        <v>154.30000000000001</v>
      </c>
      <c r="Q195" s="27">
        <v>139.1</v>
      </c>
      <c r="R195" s="21">
        <f t="shared" si="15"/>
        <v>1782.4</v>
      </c>
      <c r="S195" s="21">
        <v>150.80000000000001</v>
      </c>
      <c r="T195" s="21">
        <v>144.1</v>
      </c>
      <c r="U195" s="21">
        <v>149.80000000000001</v>
      </c>
      <c r="V195" s="21">
        <f t="shared" si="16"/>
        <v>444.7</v>
      </c>
      <c r="W195" s="22">
        <v>139.25</v>
      </c>
      <c r="X195" s="21">
        <v>144.30000000000001</v>
      </c>
      <c r="Y195" s="21">
        <v>141.80000000000001</v>
      </c>
      <c r="Z195" s="22">
        <f t="shared" si="17"/>
        <v>425.35</v>
      </c>
      <c r="AA195" s="21">
        <v>138.4</v>
      </c>
      <c r="AB195" s="21">
        <v>131.19999999999999</v>
      </c>
      <c r="AC195" s="21">
        <f t="shared" si="18"/>
        <v>269.60000000000002</v>
      </c>
      <c r="AD195" s="27">
        <v>126.4</v>
      </c>
      <c r="AE195" s="27">
        <v>136.80000000000001</v>
      </c>
      <c r="AF195" s="27">
        <v>144.4</v>
      </c>
      <c r="AG195" s="21">
        <f t="shared" si="19"/>
        <v>281.20000000000005</v>
      </c>
      <c r="AH195" s="27">
        <v>157</v>
      </c>
      <c r="AI195" s="27">
        <v>135.1</v>
      </c>
      <c r="AJ195" s="21">
        <f t="shared" si="20"/>
        <v>292.10000000000002</v>
      </c>
      <c r="AK195" s="21">
        <v>139.80000000000001</v>
      </c>
    </row>
    <row r="196" spans="1:37">
      <c r="A196" s="21" t="s">
        <v>33</v>
      </c>
      <c r="B196" s="26">
        <v>2018</v>
      </c>
      <c r="C196" s="21" t="s">
        <v>38</v>
      </c>
      <c r="D196" s="21" t="str">
        <f t="shared" ref="D196:D259" si="21">IF(H196&gt;120,IF(M196&gt;120,"Yes","No"),"No")</f>
        <v>No</v>
      </c>
      <c r="E196" s="27">
        <v>135</v>
      </c>
      <c r="F196" s="27">
        <v>148.19999999999999</v>
      </c>
      <c r="G196" s="27">
        <v>130.5</v>
      </c>
      <c r="H196" s="27">
        <v>140.69999999999999</v>
      </c>
      <c r="I196" s="27">
        <v>116.4</v>
      </c>
      <c r="J196" s="27">
        <v>151.30000000000001</v>
      </c>
      <c r="K196" s="27">
        <v>131.4</v>
      </c>
      <c r="L196" s="27">
        <v>112.8</v>
      </c>
      <c r="M196" s="27">
        <v>105.3</v>
      </c>
      <c r="N196" s="27">
        <v>139.6</v>
      </c>
      <c r="O196" s="27">
        <v>126.6</v>
      </c>
      <c r="P196" s="27">
        <v>148.69999999999999</v>
      </c>
      <c r="Q196" s="27">
        <v>136.4</v>
      </c>
      <c r="R196" s="21">
        <f t="shared" ref="R196:R259" si="22">SUM(E196:Q196)</f>
        <v>1722.8999999999999</v>
      </c>
      <c r="S196" s="21">
        <v>138.6</v>
      </c>
      <c r="T196" s="21">
        <v>127.9</v>
      </c>
      <c r="U196" s="21">
        <v>137</v>
      </c>
      <c r="V196" s="21">
        <f t="shared" ref="V196:V259" si="23">SUM(S196:U196)</f>
        <v>403.5</v>
      </c>
      <c r="W196" s="22">
        <v>143.19999999999999</v>
      </c>
      <c r="X196" s="21">
        <v>124.7</v>
      </c>
      <c r="Y196" s="21">
        <v>132.5</v>
      </c>
      <c r="Z196" s="22">
        <f t="shared" ref="Z196:Z259" si="24">SUM(W196:Y196)</f>
        <v>400.4</v>
      </c>
      <c r="AA196" s="21">
        <v>132</v>
      </c>
      <c r="AB196" s="21">
        <v>128.1</v>
      </c>
      <c r="AC196" s="21">
        <f t="shared" ref="AC196:AC259" si="25">SUM(AA196:AB196)</f>
        <v>260.10000000000002</v>
      </c>
      <c r="AD196" s="27">
        <v>119.8</v>
      </c>
      <c r="AE196" s="27">
        <v>128</v>
      </c>
      <c r="AF196" s="27">
        <v>140.4</v>
      </c>
      <c r="AG196" s="21">
        <f t="shared" ref="AG196:AG259" si="26">SUM(AE196:AF196)</f>
        <v>268.39999999999998</v>
      </c>
      <c r="AH196" s="27">
        <v>160.30000000000001</v>
      </c>
      <c r="AI196" s="27">
        <v>128.9</v>
      </c>
      <c r="AJ196" s="21">
        <f t="shared" ref="AJ196:AJ259" si="27">SUM(AH196:AI196)</f>
        <v>289.20000000000005</v>
      </c>
      <c r="AK196" s="21">
        <v>135.4</v>
      </c>
    </row>
    <row r="197" spans="1:37">
      <c r="A197" s="21" t="s">
        <v>34</v>
      </c>
      <c r="B197" s="26">
        <v>2018</v>
      </c>
      <c r="C197" s="21" t="s">
        <v>38</v>
      </c>
      <c r="D197" s="21" t="str">
        <f t="shared" si="21"/>
        <v>No</v>
      </c>
      <c r="E197" s="27">
        <v>136.6</v>
      </c>
      <c r="F197" s="27">
        <v>146.6</v>
      </c>
      <c r="G197" s="27">
        <v>133.6</v>
      </c>
      <c r="H197" s="27">
        <v>142.1</v>
      </c>
      <c r="I197" s="27">
        <v>121</v>
      </c>
      <c r="J197" s="27">
        <v>154.6</v>
      </c>
      <c r="K197" s="27">
        <v>135.6</v>
      </c>
      <c r="L197" s="27">
        <v>122.3</v>
      </c>
      <c r="M197" s="27">
        <v>109.6</v>
      </c>
      <c r="N197" s="27">
        <v>138.1</v>
      </c>
      <c r="O197" s="27">
        <v>129.9</v>
      </c>
      <c r="P197" s="27">
        <v>151.69999999999999</v>
      </c>
      <c r="Q197" s="27">
        <v>138.1</v>
      </c>
      <c r="R197" s="21">
        <f t="shared" si="22"/>
        <v>1759.8</v>
      </c>
      <c r="S197" s="21">
        <v>146</v>
      </c>
      <c r="T197" s="21">
        <v>137.4</v>
      </c>
      <c r="U197" s="21">
        <v>144.69999999999999</v>
      </c>
      <c r="V197" s="21">
        <f t="shared" si="23"/>
        <v>428.09999999999997</v>
      </c>
      <c r="W197" s="22">
        <v>143.19999999999999</v>
      </c>
      <c r="X197" s="21">
        <v>136.9</v>
      </c>
      <c r="Y197" s="21">
        <v>137.4</v>
      </c>
      <c r="Z197" s="22">
        <f t="shared" si="24"/>
        <v>417.5</v>
      </c>
      <c r="AA197" s="21">
        <v>136</v>
      </c>
      <c r="AB197" s="21">
        <v>129.9</v>
      </c>
      <c r="AC197" s="21">
        <f t="shared" si="25"/>
        <v>265.89999999999998</v>
      </c>
      <c r="AD197" s="27">
        <v>122.9</v>
      </c>
      <c r="AE197" s="27">
        <v>131.80000000000001</v>
      </c>
      <c r="AF197" s="27">
        <v>142.1</v>
      </c>
      <c r="AG197" s="21">
        <f t="shared" si="26"/>
        <v>273.89999999999998</v>
      </c>
      <c r="AH197" s="27">
        <v>157.9</v>
      </c>
      <c r="AI197" s="27">
        <v>132.1</v>
      </c>
      <c r="AJ197" s="21">
        <f t="shared" si="27"/>
        <v>290</v>
      </c>
      <c r="AK197" s="21">
        <v>137.80000000000001</v>
      </c>
    </row>
    <row r="198" spans="1:37">
      <c r="A198" s="21" t="s">
        <v>30</v>
      </c>
      <c r="B198" s="26">
        <v>2018</v>
      </c>
      <c r="C198" s="21" t="s">
        <v>39</v>
      </c>
      <c r="D198" s="21" t="str">
        <f t="shared" si="21"/>
        <v>No</v>
      </c>
      <c r="E198" s="27">
        <v>137.6</v>
      </c>
      <c r="F198" s="27">
        <v>148.1</v>
      </c>
      <c r="G198" s="27">
        <v>136.69999999999999</v>
      </c>
      <c r="H198" s="27">
        <v>143.19999999999999</v>
      </c>
      <c r="I198" s="27">
        <v>124</v>
      </c>
      <c r="J198" s="27">
        <v>154.1</v>
      </c>
      <c r="K198" s="27">
        <v>143.5</v>
      </c>
      <c r="L198" s="27">
        <v>126</v>
      </c>
      <c r="M198" s="27">
        <v>112.4</v>
      </c>
      <c r="N198" s="27">
        <v>137.6</v>
      </c>
      <c r="O198" s="27">
        <v>132.80000000000001</v>
      </c>
      <c r="P198" s="27">
        <v>154.30000000000001</v>
      </c>
      <c r="Q198" s="27">
        <v>140</v>
      </c>
      <c r="R198" s="21">
        <f t="shared" si="22"/>
        <v>1790.2999999999997</v>
      </c>
      <c r="S198" s="21">
        <v>151.30000000000001</v>
      </c>
      <c r="T198" s="21">
        <v>144.69999999999999</v>
      </c>
      <c r="U198" s="21">
        <v>150.30000000000001</v>
      </c>
      <c r="V198" s="21">
        <f t="shared" si="23"/>
        <v>446.3</v>
      </c>
      <c r="W198" s="22">
        <v>139.25</v>
      </c>
      <c r="X198" s="21">
        <v>145.1</v>
      </c>
      <c r="Y198" s="21">
        <v>142.19999999999999</v>
      </c>
      <c r="Z198" s="22">
        <f t="shared" si="24"/>
        <v>426.55</v>
      </c>
      <c r="AA198" s="21">
        <v>138.4</v>
      </c>
      <c r="AB198" s="21">
        <v>131.4</v>
      </c>
      <c r="AC198" s="21">
        <f t="shared" si="25"/>
        <v>269.8</v>
      </c>
      <c r="AD198" s="27">
        <v>127.4</v>
      </c>
      <c r="AE198" s="27">
        <v>137.80000000000001</v>
      </c>
      <c r="AF198" s="27">
        <v>145.1</v>
      </c>
      <c r="AG198" s="21">
        <f t="shared" si="26"/>
        <v>282.89999999999998</v>
      </c>
      <c r="AH198" s="27">
        <v>157.30000000000001</v>
      </c>
      <c r="AI198" s="27">
        <v>135.6</v>
      </c>
      <c r="AJ198" s="21">
        <f t="shared" si="27"/>
        <v>292.89999999999998</v>
      </c>
      <c r="AK198" s="21">
        <v>140.5</v>
      </c>
    </row>
    <row r="199" spans="1:37">
      <c r="A199" s="21" t="s">
        <v>33</v>
      </c>
      <c r="B199" s="26">
        <v>2018</v>
      </c>
      <c r="C199" s="21" t="s">
        <v>39</v>
      </c>
      <c r="D199" s="21" t="str">
        <f t="shared" si="21"/>
        <v>No</v>
      </c>
      <c r="E199" s="27">
        <v>135.30000000000001</v>
      </c>
      <c r="F199" s="27">
        <v>149.69999999999999</v>
      </c>
      <c r="G199" s="27">
        <v>133.9</v>
      </c>
      <c r="H199" s="27">
        <v>140.80000000000001</v>
      </c>
      <c r="I199" s="27">
        <v>116.6</v>
      </c>
      <c r="J199" s="27">
        <v>152.19999999999999</v>
      </c>
      <c r="K199" s="27">
        <v>144</v>
      </c>
      <c r="L199" s="27">
        <v>112.3</v>
      </c>
      <c r="M199" s="27">
        <v>108.4</v>
      </c>
      <c r="N199" s="27">
        <v>140</v>
      </c>
      <c r="O199" s="27">
        <v>126.7</v>
      </c>
      <c r="P199" s="27">
        <v>149</v>
      </c>
      <c r="Q199" s="27">
        <v>138.4</v>
      </c>
      <c r="R199" s="21">
        <f t="shared" si="22"/>
        <v>1747.3000000000002</v>
      </c>
      <c r="S199" s="21">
        <v>138.9</v>
      </c>
      <c r="T199" s="21">
        <v>128.69999999999999</v>
      </c>
      <c r="U199" s="21">
        <v>137.4</v>
      </c>
      <c r="V199" s="21">
        <f t="shared" si="23"/>
        <v>405</v>
      </c>
      <c r="W199" s="22">
        <v>142.5</v>
      </c>
      <c r="X199" s="21">
        <v>126.5</v>
      </c>
      <c r="Y199" s="21">
        <v>133.1</v>
      </c>
      <c r="Z199" s="22">
        <f t="shared" si="24"/>
        <v>402.1</v>
      </c>
      <c r="AA199" s="21">
        <v>132.6</v>
      </c>
      <c r="AB199" s="21">
        <v>128.19999999999999</v>
      </c>
      <c r="AC199" s="21">
        <f t="shared" si="25"/>
        <v>260.79999999999995</v>
      </c>
      <c r="AD199" s="27">
        <v>120.4</v>
      </c>
      <c r="AE199" s="27">
        <v>128.5</v>
      </c>
      <c r="AF199" s="27">
        <v>141.19999999999999</v>
      </c>
      <c r="AG199" s="21">
        <f t="shared" si="26"/>
        <v>269.7</v>
      </c>
      <c r="AH199" s="27">
        <v>161</v>
      </c>
      <c r="AI199" s="27">
        <v>129.5</v>
      </c>
      <c r="AJ199" s="21">
        <f t="shared" si="27"/>
        <v>290.5</v>
      </c>
      <c r="AK199" s="21">
        <v>136.19999999999999</v>
      </c>
    </row>
    <row r="200" spans="1:37">
      <c r="A200" s="21" t="s">
        <v>34</v>
      </c>
      <c r="B200" s="26">
        <v>2018</v>
      </c>
      <c r="C200" s="21" t="s">
        <v>39</v>
      </c>
      <c r="D200" s="21" t="str">
        <f t="shared" si="21"/>
        <v>No</v>
      </c>
      <c r="E200" s="27">
        <v>136.9</v>
      </c>
      <c r="F200" s="27">
        <v>148.69999999999999</v>
      </c>
      <c r="G200" s="27">
        <v>135.6</v>
      </c>
      <c r="H200" s="27">
        <v>142.30000000000001</v>
      </c>
      <c r="I200" s="27">
        <v>121.3</v>
      </c>
      <c r="J200" s="27">
        <v>153.19999999999999</v>
      </c>
      <c r="K200" s="27">
        <v>143.69999999999999</v>
      </c>
      <c r="L200" s="27">
        <v>121.4</v>
      </c>
      <c r="M200" s="27">
        <v>111.1</v>
      </c>
      <c r="N200" s="27">
        <v>138.4</v>
      </c>
      <c r="O200" s="27">
        <v>130.30000000000001</v>
      </c>
      <c r="P200" s="27">
        <v>151.80000000000001</v>
      </c>
      <c r="Q200" s="27">
        <v>139.4</v>
      </c>
      <c r="R200" s="21">
        <f t="shared" si="22"/>
        <v>1774.1000000000001</v>
      </c>
      <c r="S200" s="21">
        <v>146.4</v>
      </c>
      <c r="T200" s="21">
        <v>138.1</v>
      </c>
      <c r="U200" s="21">
        <v>145.19999999999999</v>
      </c>
      <c r="V200" s="21">
        <f t="shared" si="23"/>
        <v>429.7</v>
      </c>
      <c r="W200" s="22">
        <v>142.5</v>
      </c>
      <c r="X200" s="21">
        <v>138.1</v>
      </c>
      <c r="Y200" s="21">
        <v>137.9</v>
      </c>
      <c r="Z200" s="22">
        <f t="shared" si="24"/>
        <v>418.5</v>
      </c>
      <c r="AA200" s="21">
        <v>136.19999999999999</v>
      </c>
      <c r="AB200" s="21">
        <v>130.1</v>
      </c>
      <c r="AC200" s="21">
        <f t="shared" si="25"/>
        <v>266.29999999999995</v>
      </c>
      <c r="AD200" s="27">
        <v>123.7</v>
      </c>
      <c r="AE200" s="27">
        <v>132.6</v>
      </c>
      <c r="AF200" s="27">
        <v>142.80000000000001</v>
      </c>
      <c r="AG200" s="21">
        <f t="shared" si="26"/>
        <v>275.39999999999998</v>
      </c>
      <c r="AH200" s="27">
        <v>158.30000000000001</v>
      </c>
      <c r="AI200" s="27">
        <v>132.6</v>
      </c>
      <c r="AJ200" s="21">
        <f t="shared" si="27"/>
        <v>290.89999999999998</v>
      </c>
      <c r="AK200" s="21">
        <v>138.5</v>
      </c>
    </row>
    <row r="201" spans="1:37">
      <c r="A201" s="21" t="s">
        <v>30</v>
      </c>
      <c r="B201" s="26">
        <v>2018</v>
      </c>
      <c r="C201" s="21" t="s">
        <v>40</v>
      </c>
      <c r="D201" s="21" t="str">
        <f t="shared" si="21"/>
        <v>No</v>
      </c>
      <c r="E201" s="27">
        <v>138.4</v>
      </c>
      <c r="F201" s="27">
        <v>149.30000000000001</v>
      </c>
      <c r="G201" s="27">
        <v>139.30000000000001</v>
      </c>
      <c r="H201" s="27">
        <v>143.4</v>
      </c>
      <c r="I201" s="27">
        <v>124.1</v>
      </c>
      <c r="J201" s="27">
        <v>153.30000000000001</v>
      </c>
      <c r="K201" s="27">
        <v>154.19999999999999</v>
      </c>
      <c r="L201" s="27">
        <v>126.4</v>
      </c>
      <c r="M201" s="27">
        <v>114.3</v>
      </c>
      <c r="N201" s="27">
        <v>138.19999999999999</v>
      </c>
      <c r="O201" s="27">
        <v>132.80000000000001</v>
      </c>
      <c r="P201" s="27">
        <v>154.80000000000001</v>
      </c>
      <c r="Q201" s="27">
        <v>142</v>
      </c>
      <c r="R201" s="21">
        <f t="shared" si="22"/>
        <v>1810.5000000000002</v>
      </c>
      <c r="S201" s="21">
        <v>151.5</v>
      </c>
      <c r="T201" s="21">
        <v>145.1</v>
      </c>
      <c r="U201" s="21">
        <v>150.6</v>
      </c>
      <c r="V201" s="21">
        <f t="shared" si="23"/>
        <v>447.20000000000005</v>
      </c>
      <c r="W201" s="22">
        <v>139.25</v>
      </c>
      <c r="X201" s="21">
        <v>146.80000000000001</v>
      </c>
      <c r="Y201" s="21">
        <v>143.1</v>
      </c>
      <c r="Z201" s="22">
        <f t="shared" si="24"/>
        <v>429.15</v>
      </c>
      <c r="AA201" s="21">
        <v>139</v>
      </c>
      <c r="AB201" s="21">
        <v>131.4</v>
      </c>
      <c r="AC201" s="21">
        <f t="shared" si="25"/>
        <v>270.39999999999998</v>
      </c>
      <c r="AD201" s="27">
        <v>127.5</v>
      </c>
      <c r="AE201" s="27">
        <v>138.4</v>
      </c>
      <c r="AF201" s="27">
        <v>145.80000000000001</v>
      </c>
      <c r="AG201" s="21">
        <f t="shared" si="26"/>
        <v>284.20000000000005</v>
      </c>
      <c r="AH201" s="27">
        <v>156.1</v>
      </c>
      <c r="AI201" s="27">
        <v>136</v>
      </c>
      <c r="AJ201" s="21">
        <f t="shared" si="27"/>
        <v>292.10000000000002</v>
      </c>
      <c r="AK201" s="21">
        <v>141.80000000000001</v>
      </c>
    </row>
    <row r="202" spans="1:37">
      <c r="A202" s="21" t="s">
        <v>33</v>
      </c>
      <c r="B202" s="26">
        <v>2018</v>
      </c>
      <c r="C202" s="21" t="s">
        <v>40</v>
      </c>
      <c r="D202" s="21" t="str">
        <f t="shared" si="21"/>
        <v>No</v>
      </c>
      <c r="E202" s="27">
        <v>135.6</v>
      </c>
      <c r="F202" s="27">
        <v>148.6</v>
      </c>
      <c r="G202" s="27">
        <v>139.1</v>
      </c>
      <c r="H202" s="27">
        <v>141</v>
      </c>
      <c r="I202" s="27">
        <v>116.7</v>
      </c>
      <c r="J202" s="27">
        <v>149.69999999999999</v>
      </c>
      <c r="K202" s="27">
        <v>159.19999999999999</v>
      </c>
      <c r="L202" s="27">
        <v>112.6</v>
      </c>
      <c r="M202" s="27">
        <v>111.8</v>
      </c>
      <c r="N202" s="27">
        <v>140.30000000000001</v>
      </c>
      <c r="O202" s="27">
        <v>126.8</v>
      </c>
      <c r="P202" s="27">
        <v>149.4</v>
      </c>
      <c r="Q202" s="27">
        <v>140.30000000000001</v>
      </c>
      <c r="R202" s="21">
        <f t="shared" si="22"/>
        <v>1771.1</v>
      </c>
      <c r="S202" s="21">
        <v>139.6</v>
      </c>
      <c r="T202" s="21">
        <v>128.9</v>
      </c>
      <c r="U202" s="21">
        <v>137.9</v>
      </c>
      <c r="V202" s="21">
        <f t="shared" si="23"/>
        <v>406.4</v>
      </c>
      <c r="W202" s="22">
        <v>143.6</v>
      </c>
      <c r="X202" s="21">
        <v>128.1</v>
      </c>
      <c r="Y202" s="21">
        <v>133.6</v>
      </c>
      <c r="Z202" s="22">
        <f t="shared" si="24"/>
        <v>405.29999999999995</v>
      </c>
      <c r="AA202" s="21">
        <v>133.6</v>
      </c>
      <c r="AB202" s="21">
        <v>128.19999999999999</v>
      </c>
      <c r="AC202" s="21">
        <f t="shared" si="25"/>
        <v>261.79999999999995</v>
      </c>
      <c r="AD202" s="27">
        <v>120.1</v>
      </c>
      <c r="AE202" s="27">
        <v>129</v>
      </c>
      <c r="AF202" s="27">
        <v>144</v>
      </c>
      <c r="AG202" s="21">
        <f t="shared" si="26"/>
        <v>273</v>
      </c>
      <c r="AH202" s="27">
        <v>161.4</v>
      </c>
      <c r="AI202" s="27">
        <v>130.19999999999999</v>
      </c>
      <c r="AJ202" s="21">
        <f t="shared" si="27"/>
        <v>291.60000000000002</v>
      </c>
      <c r="AK202" s="21">
        <v>137.5</v>
      </c>
    </row>
    <row r="203" spans="1:37">
      <c r="A203" s="21" t="s">
        <v>34</v>
      </c>
      <c r="B203" s="26">
        <v>2018</v>
      </c>
      <c r="C203" s="21" t="s">
        <v>40</v>
      </c>
      <c r="D203" s="21" t="str">
        <f t="shared" si="21"/>
        <v>No</v>
      </c>
      <c r="E203" s="27">
        <v>137.5</v>
      </c>
      <c r="F203" s="27">
        <v>149.1</v>
      </c>
      <c r="G203" s="27">
        <v>139.19999999999999</v>
      </c>
      <c r="H203" s="27">
        <v>142.5</v>
      </c>
      <c r="I203" s="27">
        <v>121.4</v>
      </c>
      <c r="J203" s="27">
        <v>151.6</v>
      </c>
      <c r="K203" s="27">
        <v>155.9</v>
      </c>
      <c r="L203" s="27">
        <v>121.7</v>
      </c>
      <c r="M203" s="27">
        <v>113.5</v>
      </c>
      <c r="N203" s="27">
        <v>138.9</v>
      </c>
      <c r="O203" s="27">
        <v>130.30000000000001</v>
      </c>
      <c r="P203" s="27">
        <v>152.30000000000001</v>
      </c>
      <c r="Q203" s="27">
        <v>141.4</v>
      </c>
      <c r="R203" s="21">
        <f t="shared" si="22"/>
        <v>1795.3</v>
      </c>
      <c r="S203" s="21">
        <v>146.80000000000001</v>
      </c>
      <c r="T203" s="21">
        <v>138.4</v>
      </c>
      <c r="U203" s="21">
        <v>145.6</v>
      </c>
      <c r="V203" s="21">
        <f t="shared" si="23"/>
        <v>430.80000000000007</v>
      </c>
      <c r="W203" s="22">
        <v>143.6</v>
      </c>
      <c r="X203" s="21">
        <v>139.69999999999999</v>
      </c>
      <c r="Y203" s="21">
        <v>138.6</v>
      </c>
      <c r="Z203" s="22">
        <f t="shared" si="24"/>
        <v>421.9</v>
      </c>
      <c r="AA203" s="21">
        <v>137</v>
      </c>
      <c r="AB203" s="21">
        <v>130.1</v>
      </c>
      <c r="AC203" s="21">
        <f t="shared" si="25"/>
        <v>267.10000000000002</v>
      </c>
      <c r="AD203" s="27">
        <v>123.6</v>
      </c>
      <c r="AE203" s="27">
        <v>133.1</v>
      </c>
      <c r="AF203" s="27">
        <v>144.69999999999999</v>
      </c>
      <c r="AG203" s="21">
        <f t="shared" si="26"/>
        <v>277.79999999999995</v>
      </c>
      <c r="AH203" s="27">
        <v>157.5</v>
      </c>
      <c r="AI203" s="27">
        <v>133.19999999999999</v>
      </c>
      <c r="AJ203" s="21">
        <f t="shared" si="27"/>
        <v>290.7</v>
      </c>
      <c r="AK203" s="21">
        <v>139.80000000000001</v>
      </c>
    </row>
    <row r="204" spans="1:37">
      <c r="A204" s="21" t="s">
        <v>30</v>
      </c>
      <c r="B204" s="26">
        <v>2018</v>
      </c>
      <c r="C204" s="21" t="s">
        <v>41</v>
      </c>
      <c r="D204" s="21" t="str">
        <f t="shared" si="21"/>
        <v>No</v>
      </c>
      <c r="E204" s="27">
        <v>139.19999999999999</v>
      </c>
      <c r="F204" s="27">
        <v>148.80000000000001</v>
      </c>
      <c r="G204" s="27">
        <v>139.1</v>
      </c>
      <c r="H204" s="27">
        <v>143.5</v>
      </c>
      <c r="I204" s="27">
        <v>125</v>
      </c>
      <c r="J204" s="27">
        <v>154.4</v>
      </c>
      <c r="K204" s="27">
        <v>156.30000000000001</v>
      </c>
      <c r="L204" s="27">
        <v>126.8</v>
      </c>
      <c r="M204" s="27">
        <v>115.4</v>
      </c>
      <c r="N204" s="27">
        <v>138.6</v>
      </c>
      <c r="O204" s="27">
        <v>133.80000000000001</v>
      </c>
      <c r="P204" s="27">
        <v>155.19999999999999</v>
      </c>
      <c r="Q204" s="27">
        <v>142.69999999999999</v>
      </c>
      <c r="R204" s="21">
        <f t="shared" si="22"/>
        <v>1818.8</v>
      </c>
      <c r="S204" s="21">
        <v>152.1</v>
      </c>
      <c r="T204" s="21">
        <v>145.80000000000001</v>
      </c>
      <c r="U204" s="21">
        <v>151.30000000000001</v>
      </c>
      <c r="V204" s="21">
        <f t="shared" si="23"/>
        <v>449.2</v>
      </c>
      <c r="W204" s="22">
        <v>139.25</v>
      </c>
      <c r="X204" s="21">
        <v>147.69999999999999</v>
      </c>
      <c r="Y204" s="21">
        <v>143.80000000000001</v>
      </c>
      <c r="Z204" s="22">
        <f t="shared" si="24"/>
        <v>430.75</v>
      </c>
      <c r="AA204" s="21">
        <v>139.4</v>
      </c>
      <c r="AB204" s="21">
        <v>131.30000000000001</v>
      </c>
      <c r="AC204" s="21">
        <f t="shared" si="25"/>
        <v>270.70000000000005</v>
      </c>
      <c r="AD204" s="27">
        <v>128.30000000000001</v>
      </c>
      <c r="AE204" s="27">
        <v>138.6</v>
      </c>
      <c r="AF204" s="27">
        <v>146.9</v>
      </c>
      <c r="AG204" s="21">
        <f t="shared" si="26"/>
        <v>285.5</v>
      </c>
      <c r="AH204" s="27">
        <v>156.4</v>
      </c>
      <c r="AI204" s="27">
        <v>136.6</v>
      </c>
      <c r="AJ204" s="21">
        <f t="shared" si="27"/>
        <v>293</v>
      </c>
      <c r="AK204" s="21">
        <v>142.5</v>
      </c>
    </row>
    <row r="205" spans="1:37">
      <c r="A205" s="21" t="s">
        <v>33</v>
      </c>
      <c r="B205" s="26">
        <v>2018</v>
      </c>
      <c r="C205" s="21" t="s">
        <v>41</v>
      </c>
      <c r="D205" s="21" t="str">
        <f t="shared" si="21"/>
        <v>No</v>
      </c>
      <c r="E205" s="27">
        <v>136.5</v>
      </c>
      <c r="F205" s="27">
        <v>146.4</v>
      </c>
      <c r="G205" s="27">
        <v>136.6</v>
      </c>
      <c r="H205" s="27">
        <v>141.19999999999999</v>
      </c>
      <c r="I205" s="27">
        <v>117.4</v>
      </c>
      <c r="J205" s="27">
        <v>146.30000000000001</v>
      </c>
      <c r="K205" s="27">
        <v>157.30000000000001</v>
      </c>
      <c r="L205" s="27">
        <v>113.6</v>
      </c>
      <c r="M205" s="27">
        <v>113.3</v>
      </c>
      <c r="N205" s="27">
        <v>141.1</v>
      </c>
      <c r="O205" s="27">
        <v>127.4</v>
      </c>
      <c r="P205" s="27">
        <v>150.4</v>
      </c>
      <c r="Q205" s="27">
        <v>140.1</v>
      </c>
      <c r="R205" s="21">
        <f t="shared" si="22"/>
        <v>1767.6</v>
      </c>
      <c r="S205" s="21">
        <v>140</v>
      </c>
      <c r="T205" s="21">
        <v>129</v>
      </c>
      <c r="U205" s="21">
        <v>138.30000000000001</v>
      </c>
      <c r="V205" s="21">
        <f t="shared" si="23"/>
        <v>407.3</v>
      </c>
      <c r="W205" s="22">
        <v>144.6</v>
      </c>
      <c r="X205" s="21">
        <v>129.80000000000001</v>
      </c>
      <c r="Y205" s="21">
        <v>134.4</v>
      </c>
      <c r="Z205" s="22">
        <f t="shared" si="24"/>
        <v>408.79999999999995</v>
      </c>
      <c r="AA205" s="21">
        <v>134.9</v>
      </c>
      <c r="AB205" s="21">
        <v>128.30000000000001</v>
      </c>
      <c r="AC205" s="21">
        <f t="shared" si="25"/>
        <v>263.20000000000005</v>
      </c>
      <c r="AD205" s="27">
        <v>120.7</v>
      </c>
      <c r="AE205" s="27">
        <v>129.80000000000001</v>
      </c>
      <c r="AF205" s="27">
        <v>145.30000000000001</v>
      </c>
      <c r="AG205" s="21">
        <f t="shared" si="26"/>
        <v>275.10000000000002</v>
      </c>
      <c r="AH205" s="27">
        <v>162.1</v>
      </c>
      <c r="AI205" s="27">
        <v>131</v>
      </c>
      <c r="AJ205" s="21">
        <f t="shared" si="27"/>
        <v>293.10000000000002</v>
      </c>
      <c r="AK205" s="21">
        <v>138</v>
      </c>
    </row>
    <row r="206" spans="1:37">
      <c r="A206" s="21" t="s">
        <v>34</v>
      </c>
      <c r="B206" s="26">
        <v>2018</v>
      </c>
      <c r="C206" s="21" t="s">
        <v>41</v>
      </c>
      <c r="D206" s="21" t="str">
        <f t="shared" si="21"/>
        <v>No</v>
      </c>
      <c r="E206" s="27">
        <v>138.30000000000001</v>
      </c>
      <c r="F206" s="27">
        <v>148</v>
      </c>
      <c r="G206" s="27">
        <v>138.1</v>
      </c>
      <c r="H206" s="27">
        <v>142.6</v>
      </c>
      <c r="I206" s="27">
        <v>122.2</v>
      </c>
      <c r="J206" s="27">
        <v>150.6</v>
      </c>
      <c r="K206" s="27">
        <v>156.6</v>
      </c>
      <c r="L206" s="27">
        <v>122.4</v>
      </c>
      <c r="M206" s="27">
        <v>114.7</v>
      </c>
      <c r="N206" s="27">
        <v>139.4</v>
      </c>
      <c r="O206" s="27">
        <v>131.1</v>
      </c>
      <c r="P206" s="27">
        <v>153</v>
      </c>
      <c r="Q206" s="27">
        <v>141.69999999999999</v>
      </c>
      <c r="R206" s="21">
        <f t="shared" si="22"/>
        <v>1798.7000000000003</v>
      </c>
      <c r="S206" s="21">
        <v>147.30000000000001</v>
      </c>
      <c r="T206" s="21">
        <v>138.80000000000001</v>
      </c>
      <c r="U206" s="21">
        <v>146.1</v>
      </c>
      <c r="V206" s="21">
        <f t="shared" si="23"/>
        <v>432.20000000000005</v>
      </c>
      <c r="W206" s="22">
        <v>144.6</v>
      </c>
      <c r="X206" s="21">
        <v>140.9</v>
      </c>
      <c r="Y206" s="21">
        <v>139.4</v>
      </c>
      <c r="Z206" s="22">
        <f t="shared" si="24"/>
        <v>424.9</v>
      </c>
      <c r="AA206" s="21">
        <v>137.69999999999999</v>
      </c>
      <c r="AB206" s="21">
        <v>130.1</v>
      </c>
      <c r="AC206" s="21">
        <f t="shared" si="25"/>
        <v>267.79999999999995</v>
      </c>
      <c r="AD206" s="27">
        <v>124.3</v>
      </c>
      <c r="AE206" s="27">
        <v>133.6</v>
      </c>
      <c r="AF206" s="27">
        <v>146</v>
      </c>
      <c r="AG206" s="21">
        <f t="shared" si="26"/>
        <v>279.60000000000002</v>
      </c>
      <c r="AH206" s="27">
        <v>157.9</v>
      </c>
      <c r="AI206" s="27">
        <v>133.9</v>
      </c>
      <c r="AJ206" s="21">
        <f t="shared" si="27"/>
        <v>291.8</v>
      </c>
      <c r="AK206" s="21">
        <v>140.4</v>
      </c>
    </row>
    <row r="207" spans="1:37">
      <c r="A207" s="21" t="s">
        <v>30</v>
      </c>
      <c r="B207" s="26">
        <v>2018</v>
      </c>
      <c r="C207" s="21" t="s">
        <v>42</v>
      </c>
      <c r="D207" s="21" t="str">
        <f t="shared" si="21"/>
        <v>No</v>
      </c>
      <c r="E207" s="27">
        <v>139.4</v>
      </c>
      <c r="F207" s="27">
        <v>147.19999999999999</v>
      </c>
      <c r="G207" s="27">
        <v>136.6</v>
      </c>
      <c r="H207" s="27">
        <v>143.69999999999999</v>
      </c>
      <c r="I207" s="27">
        <v>124.6</v>
      </c>
      <c r="J207" s="27">
        <v>150.1</v>
      </c>
      <c r="K207" s="27">
        <v>149.4</v>
      </c>
      <c r="L207" s="27">
        <v>125.4</v>
      </c>
      <c r="M207" s="27">
        <v>114.4</v>
      </c>
      <c r="N207" s="27">
        <v>138.69999999999999</v>
      </c>
      <c r="O207" s="27">
        <v>133.1</v>
      </c>
      <c r="P207" s="27">
        <v>155.9</v>
      </c>
      <c r="Q207" s="27">
        <v>141.30000000000001</v>
      </c>
      <c r="R207" s="21">
        <f t="shared" si="22"/>
        <v>1799.8000000000002</v>
      </c>
      <c r="S207" s="21">
        <v>152.1</v>
      </c>
      <c r="T207" s="21">
        <v>146.1</v>
      </c>
      <c r="U207" s="21">
        <v>151.30000000000001</v>
      </c>
      <c r="V207" s="21">
        <f t="shared" si="23"/>
        <v>449.5</v>
      </c>
      <c r="W207" s="22">
        <v>139.25</v>
      </c>
      <c r="X207" s="21">
        <v>149</v>
      </c>
      <c r="Y207" s="21">
        <v>144</v>
      </c>
      <c r="Z207" s="22">
        <f t="shared" si="24"/>
        <v>432.25</v>
      </c>
      <c r="AA207" s="21">
        <v>140</v>
      </c>
      <c r="AB207" s="21">
        <v>132</v>
      </c>
      <c r="AC207" s="21">
        <f t="shared" si="25"/>
        <v>272</v>
      </c>
      <c r="AD207" s="27">
        <v>129.9</v>
      </c>
      <c r="AE207" s="27">
        <v>140</v>
      </c>
      <c r="AF207" s="27">
        <v>147.6</v>
      </c>
      <c r="AG207" s="21">
        <f t="shared" si="26"/>
        <v>287.60000000000002</v>
      </c>
      <c r="AH207" s="27">
        <v>157.69999999999999</v>
      </c>
      <c r="AI207" s="27">
        <v>137.4</v>
      </c>
      <c r="AJ207" s="21">
        <f t="shared" si="27"/>
        <v>295.10000000000002</v>
      </c>
      <c r="AK207" s="21">
        <v>142.1</v>
      </c>
    </row>
    <row r="208" spans="1:37">
      <c r="A208" s="21" t="s">
        <v>33</v>
      </c>
      <c r="B208" s="26">
        <v>2018</v>
      </c>
      <c r="C208" s="21" t="s">
        <v>42</v>
      </c>
      <c r="D208" s="21" t="str">
        <f t="shared" si="21"/>
        <v>No</v>
      </c>
      <c r="E208" s="27">
        <v>137</v>
      </c>
      <c r="F208" s="27">
        <v>143.1</v>
      </c>
      <c r="G208" s="27">
        <v>132.80000000000001</v>
      </c>
      <c r="H208" s="27">
        <v>141.5</v>
      </c>
      <c r="I208" s="27">
        <v>117.8</v>
      </c>
      <c r="J208" s="27">
        <v>140</v>
      </c>
      <c r="K208" s="27">
        <v>151.30000000000001</v>
      </c>
      <c r="L208" s="27">
        <v>113.5</v>
      </c>
      <c r="M208" s="27">
        <v>112.3</v>
      </c>
      <c r="N208" s="27">
        <v>141.19999999999999</v>
      </c>
      <c r="O208" s="27">
        <v>127.7</v>
      </c>
      <c r="P208" s="27">
        <v>151.30000000000001</v>
      </c>
      <c r="Q208" s="27">
        <v>138.9</v>
      </c>
      <c r="R208" s="21">
        <f t="shared" si="22"/>
        <v>1748.4</v>
      </c>
      <c r="S208" s="21">
        <v>140.80000000000001</v>
      </c>
      <c r="T208" s="21">
        <v>129.30000000000001</v>
      </c>
      <c r="U208" s="21">
        <v>139.1</v>
      </c>
      <c r="V208" s="21">
        <f t="shared" si="23"/>
        <v>409.20000000000005</v>
      </c>
      <c r="W208" s="22">
        <v>145.30000000000001</v>
      </c>
      <c r="X208" s="21">
        <v>131.19999999999999</v>
      </c>
      <c r="Y208" s="21">
        <v>134.9</v>
      </c>
      <c r="Z208" s="22">
        <f t="shared" si="24"/>
        <v>411.4</v>
      </c>
      <c r="AA208" s="21">
        <v>135.69999999999999</v>
      </c>
      <c r="AB208" s="21">
        <v>129.30000000000001</v>
      </c>
      <c r="AC208" s="21">
        <f t="shared" si="25"/>
        <v>265</v>
      </c>
      <c r="AD208" s="27">
        <v>122.5</v>
      </c>
      <c r="AE208" s="27">
        <v>130.19999999999999</v>
      </c>
      <c r="AF208" s="27">
        <v>145.19999999999999</v>
      </c>
      <c r="AG208" s="21">
        <f t="shared" si="26"/>
        <v>275.39999999999998</v>
      </c>
      <c r="AH208" s="27">
        <v>163.30000000000001</v>
      </c>
      <c r="AI208" s="27">
        <v>131.9</v>
      </c>
      <c r="AJ208" s="21">
        <f t="shared" si="27"/>
        <v>295.20000000000005</v>
      </c>
      <c r="AK208" s="21">
        <v>138.1</v>
      </c>
    </row>
    <row r="209" spans="1:37">
      <c r="A209" s="21" t="s">
        <v>34</v>
      </c>
      <c r="B209" s="26">
        <v>2018</v>
      </c>
      <c r="C209" s="21" t="s">
        <v>42</v>
      </c>
      <c r="D209" s="21" t="str">
        <f t="shared" si="21"/>
        <v>No</v>
      </c>
      <c r="E209" s="27">
        <v>138.6</v>
      </c>
      <c r="F209" s="27">
        <v>145.80000000000001</v>
      </c>
      <c r="G209" s="27">
        <v>135.1</v>
      </c>
      <c r="H209" s="27">
        <v>142.9</v>
      </c>
      <c r="I209" s="27">
        <v>122.1</v>
      </c>
      <c r="J209" s="27">
        <v>145.4</v>
      </c>
      <c r="K209" s="27">
        <v>150</v>
      </c>
      <c r="L209" s="27">
        <v>121.4</v>
      </c>
      <c r="M209" s="27">
        <v>113.7</v>
      </c>
      <c r="N209" s="27">
        <v>139.5</v>
      </c>
      <c r="O209" s="27">
        <v>130.80000000000001</v>
      </c>
      <c r="P209" s="27">
        <v>153.80000000000001</v>
      </c>
      <c r="Q209" s="27">
        <v>140.4</v>
      </c>
      <c r="R209" s="21">
        <f t="shared" si="22"/>
        <v>1779.5</v>
      </c>
      <c r="S209" s="21">
        <v>147.69999999999999</v>
      </c>
      <c r="T209" s="21">
        <v>139.1</v>
      </c>
      <c r="U209" s="21">
        <v>146.5</v>
      </c>
      <c r="V209" s="21">
        <f t="shared" si="23"/>
        <v>433.29999999999995</v>
      </c>
      <c r="W209" s="22">
        <v>145.30000000000001</v>
      </c>
      <c r="X209" s="21">
        <v>142.30000000000001</v>
      </c>
      <c r="Y209" s="21">
        <v>139.69999999999999</v>
      </c>
      <c r="Z209" s="22">
        <f t="shared" si="24"/>
        <v>427.3</v>
      </c>
      <c r="AA209" s="21">
        <v>138.4</v>
      </c>
      <c r="AB209" s="21">
        <v>130.9</v>
      </c>
      <c r="AC209" s="21">
        <f t="shared" si="25"/>
        <v>269.3</v>
      </c>
      <c r="AD209" s="27">
        <v>126</v>
      </c>
      <c r="AE209" s="27">
        <v>134.5</v>
      </c>
      <c r="AF209" s="27">
        <v>146.19999999999999</v>
      </c>
      <c r="AG209" s="21">
        <f t="shared" si="26"/>
        <v>280.7</v>
      </c>
      <c r="AH209" s="27">
        <v>159.19999999999999</v>
      </c>
      <c r="AI209" s="27">
        <v>134.69999999999999</v>
      </c>
      <c r="AJ209" s="21">
        <f t="shared" si="27"/>
        <v>293.89999999999998</v>
      </c>
      <c r="AK209" s="21">
        <v>140.19999999999999</v>
      </c>
    </row>
    <row r="210" spans="1:37">
      <c r="A210" s="21" t="s">
        <v>30</v>
      </c>
      <c r="B210" s="26">
        <v>2018</v>
      </c>
      <c r="C210" s="21" t="s">
        <v>43</v>
      </c>
      <c r="D210" s="21" t="str">
        <f t="shared" si="21"/>
        <v>No</v>
      </c>
      <c r="E210" s="27">
        <v>139.30000000000001</v>
      </c>
      <c r="F210" s="27">
        <v>147.6</v>
      </c>
      <c r="G210" s="27">
        <v>134.6</v>
      </c>
      <c r="H210" s="27">
        <v>141.9</v>
      </c>
      <c r="I210" s="27">
        <v>123.5</v>
      </c>
      <c r="J210" s="27">
        <v>144.5</v>
      </c>
      <c r="K210" s="27">
        <v>147.6</v>
      </c>
      <c r="L210" s="27">
        <v>121.4</v>
      </c>
      <c r="M210" s="27">
        <v>112.3</v>
      </c>
      <c r="N210" s="27">
        <v>139.5</v>
      </c>
      <c r="O210" s="27">
        <v>134.6</v>
      </c>
      <c r="P210" s="27">
        <v>155.19999999999999</v>
      </c>
      <c r="Q210" s="27">
        <v>140.19999999999999</v>
      </c>
      <c r="R210" s="21">
        <f t="shared" si="22"/>
        <v>1782.2</v>
      </c>
      <c r="S210" s="21">
        <v>150.69999999999999</v>
      </c>
      <c r="T210" s="21">
        <v>144.5</v>
      </c>
      <c r="U210" s="21">
        <v>149.80000000000001</v>
      </c>
      <c r="V210" s="21">
        <f t="shared" si="23"/>
        <v>445</v>
      </c>
      <c r="W210" s="22">
        <v>139.25</v>
      </c>
      <c r="X210" s="21">
        <v>149.69999999999999</v>
      </c>
      <c r="Y210" s="21">
        <v>147.5</v>
      </c>
      <c r="Z210" s="22">
        <f t="shared" si="24"/>
        <v>436.45</v>
      </c>
      <c r="AA210" s="21">
        <v>144.80000000000001</v>
      </c>
      <c r="AB210" s="21">
        <v>134.4</v>
      </c>
      <c r="AC210" s="21">
        <f t="shared" si="25"/>
        <v>279.20000000000005</v>
      </c>
      <c r="AD210" s="27">
        <v>130.80000000000001</v>
      </c>
      <c r="AE210" s="27">
        <v>140.1</v>
      </c>
      <c r="AF210" s="27">
        <v>148</v>
      </c>
      <c r="AG210" s="21">
        <f t="shared" si="26"/>
        <v>288.10000000000002</v>
      </c>
      <c r="AH210" s="27">
        <v>159.6</v>
      </c>
      <c r="AI210" s="27">
        <v>139.80000000000001</v>
      </c>
      <c r="AJ210" s="21">
        <f t="shared" si="27"/>
        <v>299.39999999999998</v>
      </c>
      <c r="AK210" s="21">
        <v>142.19999999999999</v>
      </c>
    </row>
    <row r="211" spans="1:37">
      <c r="A211" s="21" t="s">
        <v>33</v>
      </c>
      <c r="B211" s="26">
        <v>2018</v>
      </c>
      <c r="C211" s="21" t="s">
        <v>43</v>
      </c>
      <c r="D211" s="21" t="str">
        <f t="shared" si="21"/>
        <v>No</v>
      </c>
      <c r="E211" s="27">
        <v>137.6</v>
      </c>
      <c r="F211" s="27">
        <v>144.9</v>
      </c>
      <c r="G211" s="27">
        <v>133.5</v>
      </c>
      <c r="H211" s="27">
        <v>141.5</v>
      </c>
      <c r="I211" s="27">
        <v>118</v>
      </c>
      <c r="J211" s="27">
        <v>139.5</v>
      </c>
      <c r="K211" s="27">
        <v>153</v>
      </c>
      <c r="L211" s="27">
        <v>113.2</v>
      </c>
      <c r="M211" s="27">
        <v>112.8</v>
      </c>
      <c r="N211" s="27">
        <v>141.1</v>
      </c>
      <c r="O211" s="27">
        <v>127.6</v>
      </c>
      <c r="P211" s="27">
        <v>152</v>
      </c>
      <c r="Q211" s="27">
        <v>139.4</v>
      </c>
      <c r="R211" s="21">
        <f t="shared" si="22"/>
        <v>1754.1</v>
      </c>
      <c r="S211" s="21">
        <v>141.5</v>
      </c>
      <c r="T211" s="21">
        <v>129.80000000000001</v>
      </c>
      <c r="U211" s="21">
        <v>139.69999999999999</v>
      </c>
      <c r="V211" s="21">
        <f t="shared" si="23"/>
        <v>411</v>
      </c>
      <c r="W211" s="22">
        <v>146.30000000000001</v>
      </c>
      <c r="X211" s="21">
        <v>133.4</v>
      </c>
      <c r="Y211" s="21">
        <v>135.1</v>
      </c>
      <c r="Z211" s="22">
        <f t="shared" si="24"/>
        <v>414.80000000000007</v>
      </c>
      <c r="AA211" s="21">
        <v>136.19999999999999</v>
      </c>
      <c r="AB211" s="21">
        <v>130.4</v>
      </c>
      <c r="AC211" s="21">
        <f t="shared" si="25"/>
        <v>266.60000000000002</v>
      </c>
      <c r="AD211" s="27">
        <v>123.3</v>
      </c>
      <c r="AE211" s="27">
        <v>130.69999999999999</v>
      </c>
      <c r="AF211" s="27">
        <v>145.5</v>
      </c>
      <c r="AG211" s="21">
        <f t="shared" si="26"/>
        <v>276.2</v>
      </c>
      <c r="AH211" s="27">
        <v>164</v>
      </c>
      <c r="AI211" s="27">
        <v>132.5</v>
      </c>
      <c r="AJ211" s="21">
        <f t="shared" si="27"/>
        <v>296.5</v>
      </c>
      <c r="AK211" s="21">
        <v>138.9</v>
      </c>
    </row>
    <row r="212" spans="1:37">
      <c r="A212" s="21" t="s">
        <v>34</v>
      </c>
      <c r="B212" s="26">
        <v>2018</v>
      </c>
      <c r="C212" s="21" t="s">
        <v>43</v>
      </c>
      <c r="D212" s="21" t="str">
        <f t="shared" si="21"/>
        <v>No</v>
      </c>
      <c r="E212" s="27">
        <v>137.4</v>
      </c>
      <c r="F212" s="27">
        <v>149.5</v>
      </c>
      <c r="G212" s="27">
        <v>137.30000000000001</v>
      </c>
      <c r="H212" s="27">
        <v>141.9</v>
      </c>
      <c r="I212" s="27">
        <v>121.1</v>
      </c>
      <c r="J212" s="27">
        <v>142.5</v>
      </c>
      <c r="K212" s="27">
        <v>146.69999999999999</v>
      </c>
      <c r="L212" s="27">
        <v>119.1</v>
      </c>
      <c r="M212" s="27">
        <v>111.9</v>
      </c>
      <c r="N212" s="27">
        <v>141</v>
      </c>
      <c r="O212" s="27">
        <v>133.6</v>
      </c>
      <c r="P212" s="27">
        <v>154.5</v>
      </c>
      <c r="Q212" s="27">
        <v>139.69999999999999</v>
      </c>
      <c r="R212" s="21">
        <f t="shared" si="22"/>
        <v>1776.2</v>
      </c>
      <c r="S212" s="21">
        <v>148</v>
      </c>
      <c r="T212" s="21">
        <v>139.19999999999999</v>
      </c>
      <c r="U212" s="21">
        <v>146.80000000000001</v>
      </c>
      <c r="V212" s="21">
        <f t="shared" si="23"/>
        <v>434</v>
      </c>
      <c r="W212" s="22">
        <v>146.9</v>
      </c>
      <c r="X212" s="21">
        <v>145.30000000000001</v>
      </c>
      <c r="Y212" s="21">
        <v>142.19999999999999</v>
      </c>
      <c r="Z212" s="22">
        <f t="shared" si="24"/>
        <v>434.40000000000003</v>
      </c>
      <c r="AA212" s="21">
        <v>142.1</v>
      </c>
      <c r="AB212" s="21">
        <v>132</v>
      </c>
      <c r="AC212" s="21">
        <f t="shared" si="25"/>
        <v>274.10000000000002</v>
      </c>
      <c r="AD212" s="27">
        <v>125.5</v>
      </c>
      <c r="AE212" s="27">
        <v>136.5</v>
      </c>
      <c r="AF212" s="27">
        <v>147.80000000000001</v>
      </c>
      <c r="AG212" s="21">
        <f t="shared" si="26"/>
        <v>284.3</v>
      </c>
      <c r="AH212" s="27">
        <v>162.6</v>
      </c>
      <c r="AI212" s="27">
        <v>136.30000000000001</v>
      </c>
      <c r="AJ212" s="21">
        <f t="shared" si="27"/>
        <v>298.89999999999998</v>
      </c>
      <c r="AK212" s="21">
        <v>140.80000000000001</v>
      </c>
    </row>
    <row r="213" spans="1:37">
      <c r="A213" s="21" t="s">
        <v>30</v>
      </c>
      <c r="B213" s="26">
        <v>2018</v>
      </c>
      <c r="C213" s="21" t="s">
        <v>45</v>
      </c>
      <c r="D213" s="21" t="str">
        <f t="shared" si="21"/>
        <v>No</v>
      </c>
      <c r="E213" s="27">
        <v>137.1</v>
      </c>
      <c r="F213" s="27">
        <v>150.80000000000001</v>
      </c>
      <c r="G213" s="27">
        <v>136.69999999999999</v>
      </c>
      <c r="H213" s="27">
        <v>141.9</v>
      </c>
      <c r="I213" s="27">
        <v>122.8</v>
      </c>
      <c r="J213" s="27">
        <v>143.9</v>
      </c>
      <c r="K213" s="27">
        <v>147.5</v>
      </c>
      <c r="L213" s="27">
        <v>121</v>
      </c>
      <c r="M213" s="27">
        <v>111.6</v>
      </c>
      <c r="N213" s="27">
        <v>140.6</v>
      </c>
      <c r="O213" s="27">
        <v>137.5</v>
      </c>
      <c r="P213" s="27">
        <v>156.1</v>
      </c>
      <c r="Q213" s="27">
        <v>140</v>
      </c>
      <c r="R213" s="21">
        <f t="shared" si="22"/>
        <v>1787.4999999999995</v>
      </c>
      <c r="S213" s="21">
        <v>151.69999999999999</v>
      </c>
      <c r="T213" s="21">
        <v>145.5</v>
      </c>
      <c r="U213" s="21">
        <v>150.80000000000001</v>
      </c>
      <c r="V213" s="21">
        <f t="shared" si="23"/>
        <v>448</v>
      </c>
      <c r="W213" s="22">
        <v>139.25</v>
      </c>
      <c r="X213" s="21">
        <v>150.30000000000001</v>
      </c>
      <c r="Y213" s="21">
        <v>148</v>
      </c>
      <c r="Z213" s="22">
        <f t="shared" si="24"/>
        <v>437.55</v>
      </c>
      <c r="AA213" s="21">
        <v>145.4</v>
      </c>
      <c r="AB213" s="21">
        <v>133.1</v>
      </c>
      <c r="AC213" s="21">
        <f t="shared" si="25"/>
        <v>278.5</v>
      </c>
      <c r="AD213" s="27">
        <v>130.30000000000001</v>
      </c>
      <c r="AE213" s="27">
        <v>143.1</v>
      </c>
      <c r="AF213" s="27">
        <v>150.19999999999999</v>
      </c>
      <c r="AG213" s="21">
        <f t="shared" si="26"/>
        <v>293.29999999999995</v>
      </c>
      <c r="AH213" s="27">
        <v>161.9</v>
      </c>
      <c r="AI213" s="27">
        <v>140.1</v>
      </c>
      <c r="AJ213" s="21">
        <f t="shared" si="27"/>
        <v>302</v>
      </c>
      <c r="AK213" s="21">
        <v>142.4</v>
      </c>
    </row>
    <row r="214" spans="1:37">
      <c r="A214" s="21" t="s">
        <v>33</v>
      </c>
      <c r="B214" s="26">
        <v>2018</v>
      </c>
      <c r="C214" s="21" t="s">
        <v>45</v>
      </c>
      <c r="D214" s="21" t="str">
        <f t="shared" si="21"/>
        <v>No</v>
      </c>
      <c r="E214" s="27">
        <v>138.1</v>
      </c>
      <c r="F214" s="27">
        <v>146.30000000000001</v>
      </c>
      <c r="G214" s="27">
        <v>137.80000000000001</v>
      </c>
      <c r="H214" s="27">
        <v>141.6</v>
      </c>
      <c r="I214" s="27">
        <v>118.1</v>
      </c>
      <c r="J214" s="27">
        <v>141.5</v>
      </c>
      <c r="K214" s="27">
        <v>145.19999999999999</v>
      </c>
      <c r="L214" s="27">
        <v>115.3</v>
      </c>
      <c r="M214" s="27">
        <v>112.5</v>
      </c>
      <c r="N214" s="27">
        <v>141.4</v>
      </c>
      <c r="O214" s="27">
        <v>128</v>
      </c>
      <c r="P214" s="27">
        <v>152.6</v>
      </c>
      <c r="Q214" s="27">
        <v>139.1</v>
      </c>
      <c r="R214" s="21">
        <f t="shared" si="22"/>
        <v>1757.4999999999998</v>
      </c>
      <c r="S214" s="21">
        <v>142.4</v>
      </c>
      <c r="T214" s="21">
        <v>130.19999999999999</v>
      </c>
      <c r="U214" s="21">
        <v>140.5</v>
      </c>
      <c r="V214" s="21">
        <f t="shared" si="23"/>
        <v>413.1</v>
      </c>
      <c r="W214" s="22">
        <v>146.9</v>
      </c>
      <c r="X214" s="21">
        <v>136.69999999999999</v>
      </c>
      <c r="Y214" s="21">
        <v>135.80000000000001</v>
      </c>
      <c r="Z214" s="22">
        <f t="shared" si="24"/>
        <v>419.40000000000003</v>
      </c>
      <c r="AA214" s="21">
        <v>136.80000000000001</v>
      </c>
      <c r="AB214" s="21">
        <v>130.5</v>
      </c>
      <c r="AC214" s="21">
        <f t="shared" si="25"/>
        <v>267.3</v>
      </c>
      <c r="AD214" s="27">
        <v>121.2</v>
      </c>
      <c r="AE214" s="27">
        <v>131.30000000000001</v>
      </c>
      <c r="AF214" s="27">
        <v>146.1</v>
      </c>
      <c r="AG214" s="21">
        <f t="shared" si="26"/>
        <v>277.39999999999998</v>
      </c>
      <c r="AH214" s="27">
        <v>164.4</v>
      </c>
      <c r="AI214" s="27">
        <v>132.19999999999999</v>
      </c>
      <c r="AJ214" s="21">
        <f t="shared" si="27"/>
        <v>296.60000000000002</v>
      </c>
      <c r="AK214" s="21">
        <v>139</v>
      </c>
    </row>
    <row r="215" spans="1:37">
      <c r="A215" s="21" t="s">
        <v>34</v>
      </c>
      <c r="B215" s="26">
        <v>2018</v>
      </c>
      <c r="C215" s="21" t="s">
        <v>45</v>
      </c>
      <c r="D215" s="21" t="str">
        <f t="shared" si="21"/>
        <v>No</v>
      </c>
      <c r="E215" s="27">
        <v>137.4</v>
      </c>
      <c r="F215" s="27">
        <v>149.19999999999999</v>
      </c>
      <c r="G215" s="27">
        <v>137.1</v>
      </c>
      <c r="H215" s="27">
        <v>141.80000000000001</v>
      </c>
      <c r="I215" s="27">
        <v>121.1</v>
      </c>
      <c r="J215" s="27">
        <v>142.80000000000001</v>
      </c>
      <c r="K215" s="27">
        <v>146.69999999999999</v>
      </c>
      <c r="L215" s="27">
        <v>119.1</v>
      </c>
      <c r="M215" s="27">
        <v>111.9</v>
      </c>
      <c r="N215" s="27">
        <v>140.9</v>
      </c>
      <c r="O215" s="27">
        <v>133.5</v>
      </c>
      <c r="P215" s="27">
        <v>154.5</v>
      </c>
      <c r="Q215" s="27">
        <v>139.69999999999999</v>
      </c>
      <c r="R215" s="21">
        <f t="shared" si="22"/>
        <v>1775.7000000000003</v>
      </c>
      <c r="S215" s="21">
        <v>148</v>
      </c>
      <c r="T215" s="21">
        <v>139.1</v>
      </c>
      <c r="U215" s="21">
        <v>146.69999999999999</v>
      </c>
      <c r="V215" s="21">
        <f t="shared" si="23"/>
        <v>433.8</v>
      </c>
      <c r="W215" s="22">
        <v>146.9</v>
      </c>
      <c r="X215" s="21">
        <v>145.1</v>
      </c>
      <c r="Y215" s="21">
        <v>142.19999999999999</v>
      </c>
      <c r="Z215" s="22">
        <f t="shared" si="24"/>
        <v>434.2</v>
      </c>
      <c r="AA215" s="21">
        <v>142.1</v>
      </c>
      <c r="AB215" s="21">
        <v>132</v>
      </c>
      <c r="AC215" s="21">
        <f t="shared" si="25"/>
        <v>274.10000000000002</v>
      </c>
      <c r="AD215" s="27">
        <v>125.5</v>
      </c>
      <c r="AE215" s="27">
        <v>136.5</v>
      </c>
      <c r="AF215" s="27">
        <v>147.80000000000001</v>
      </c>
      <c r="AG215" s="21">
        <f t="shared" si="26"/>
        <v>284.3</v>
      </c>
      <c r="AH215" s="27">
        <v>162.6</v>
      </c>
      <c r="AI215" s="27">
        <v>136.30000000000001</v>
      </c>
      <c r="AJ215" s="21">
        <f t="shared" si="27"/>
        <v>298.89999999999998</v>
      </c>
      <c r="AK215" s="21">
        <v>140.80000000000001</v>
      </c>
    </row>
    <row r="216" spans="1:37">
      <c r="A216" s="21" t="s">
        <v>30</v>
      </c>
      <c r="B216" s="26">
        <v>2018</v>
      </c>
      <c r="C216" s="21" t="s">
        <v>46</v>
      </c>
      <c r="D216" s="21" t="str">
        <f t="shared" si="21"/>
        <v>No</v>
      </c>
      <c r="E216" s="27">
        <v>137.1</v>
      </c>
      <c r="F216" s="27">
        <v>151.9</v>
      </c>
      <c r="G216" s="27">
        <v>137.4</v>
      </c>
      <c r="H216" s="27">
        <v>142.4</v>
      </c>
      <c r="I216" s="27">
        <v>124.2</v>
      </c>
      <c r="J216" s="27">
        <v>140.19999999999999</v>
      </c>
      <c r="K216" s="27">
        <v>136.6</v>
      </c>
      <c r="L216" s="27">
        <v>120.9</v>
      </c>
      <c r="M216" s="27">
        <v>109.9</v>
      </c>
      <c r="N216" s="27">
        <v>140.19999999999999</v>
      </c>
      <c r="O216" s="27">
        <v>137.80000000000001</v>
      </c>
      <c r="P216" s="27">
        <v>156</v>
      </c>
      <c r="Q216" s="27">
        <v>138.5</v>
      </c>
      <c r="R216" s="21">
        <f t="shared" si="22"/>
        <v>1773.1000000000001</v>
      </c>
      <c r="S216" s="21">
        <v>151.6</v>
      </c>
      <c r="T216" s="21">
        <v>145.9</v>
      </c>
      <c r="U216" s="21">
        <v>150.80000000000001</v>
      </c>
      <c r="V216" s="21">
        <f t="shared" si="23"/>
        <v>448.3</v>
      </c>
      <c r="W216" s="22">
        <v>139.25</v>
      </c>
      <c r="X216" s="21">
        <v>149</v>
      </c>
      <c r="Y216" s="21">
        <v>149.5</v>
      </c>
      <c r="Z216" s="22">
        <f t="shared" si="24"/>
        <v>437.75</v>
      </c>
      <c r="AA216" s="21">
        <v>149.6</v>
      </c>
      <c r="AB216" s="21">
        <v>133.19999999999999</v>
      </c>
      <c r="AC216" s="21">
        <f t="shared" si="25"/>
        <v>282.79999999999995</v>
      </c>
      <c r="AD216" s="27">
        <v>128.9</v>
      </c>
      <c r="AE216" s="27">
        <v>143.30000000000001</v>
      </c>
      <c r="AF216" s="27">
        <v>155.1</v>
      </c>
      <c r="AG216" s="21">
        <f t="shared" si="26"/>
        <v>298.39999999999998</v>
      </c>
      <c r="AH216" s="27">
        <v>162.4</v>
      </c>
      <c r="AI216" s="27">
        <v>141.6</v>
      </c>
      <c r="AJ216" s="21">
        <f t="shared" si="27"/>
        <v>304</v>
      </c>
      <c r="AK216" s="21">
        <v>141.9</v>
      </c>
    </row>
    <row r="217" spans="1:37">
      <c r="A217" s="21" t="s">
        <v>33</v>
      </c>
      <c r="B217" s="26">
        <v>2018</v>
      </c>
      <c r="C217" s="21" t="s">
        <v>46</v>
      </c>
      <c r="D217" s="21" t="str">
        <f t="shared" si="21"/>
        <v>No</v>
      </c>
      <c r="E217" s="27">
        <v>138.5</v>
      </c>
      <c r="F217" s="27">
        <v>147.80000000000001</v>
      </c>
      <c r="G217" s="27">
        <v>141.1</v>
      </c>
      <c r="H217" s="27">
        <v>141.6</v>
      </c>
      <c r="I217" s="27">
        <v>118.1</v>
      </c>
      <c r="J217" s="27">
        <v>138.5</v>
      </c>
      <c r="K217" s="27">
        <v>132.4</v>
      </c>
      <c r="L217" s="27">
        <v>117.5</v>
      </c>
      <c r="M217" s="27">
        <v>111</v>
      </c>
      <c r="N217" s="27">
        <v>141.5</v>
      </c>
      <c r="O217" s="27">
        <v>128.1</v>
      </c>
      <c r="P217" s="27">
        <v>152.9</v>
      </c>
      <c r="Q217" s="27">
        <v>137.6</v>
      </c>
      <c r="R217" s="21">
        <f t="shared" si="22"/>
        <v>1746.6</v>
      </c>
      <c r="S217" s="21">
        <v>142.69999999999999</v>
      </c>
      <c r="T217" s="21">
        <v>130.30000000000001</v>
      </c>
      <c r="U217" s="21">
        <v>140.80000000000001</v>
      </c>
      <c r="V217" s="21">
        <f t="shared" si="23"/>
        <v>413.8</v>
      </c>
      <c r="W217" s="22">
        <v>146.5</v>
      </c>
      <c r="X217" s="21">
        <v>132.4</v>
      </c>
      <c r="Y217" s="21">
        <v>136.19999999999999</v>
      </c>
      <c r="Z217" s="22">
        <f t="shared" si="24"/>
        <v>415.09999999999997</v>
      </c>
      <c r="AA217" s="21">
        <v>137.30000000000001</v>
      </c>
      <c r="AB217" s="21">
        <v>130.80000000000001</v>
      </c>
      <c r="AC217" s="21">
        <f t="shared" si="25"/>
        <v>268.10000000000002</v>
      </c>
      <c r="AD217" s="27">
        <v>118.8</v>
      </c>
      <c r="AE217" s="27">
        <v>131.69999999999999</v>
      </c>
      <c r="AF217" s="27">
        <v>146.5</v>
      </c>
      <c r="AG217" s="21">
        <f t="shared" si="26"/>
        <v>278.2</v>
      </c>
      <c r="AH217" s="27">
        <v>164.6</v>
      </c>
      <c r="AI217" s="27">
        <v>131.69999999999999</v>
      </c>
      <c r="AJ217" s="21">
        <f t="shared" si="27"/>
        <v>296.29999999999995</v>
      </c>
      <c r="AK217" s="21">
        <v>138</v>
      </c>
    </row>
    <row r="218" spans="1:37">
      <c r="A218" s="21" t="s">
        <v>34</v>
      </c>
      <c r="B218" s="26">
        <v>2018</v>
      </c>
      <c r="C218" s="21" t="s">
        <v>46</v>
      </c>
      <c r="D218" s="21" t="str">
        <f t="shared" si="21"/>
        <v>No</v>
      </c>
      <c r="E218" s="27">
        <v>137.5</v>
      </c>
      <c r="F218" s="27">
        <v>150.5</v>
      </c>
      <c r="G218" s="27">
        <v>138.80000000000001</v>
      </c>
      <c r="H218" s="27">
        <v>142.1</v>
      </c>
      <c r="I218" s="27">
        <v>122</v>
      </c>
      <c r="J218" s="27">
        <v>139.4</v>
      </c>
      <c r="K218" s="27">
        <v>135.19999999999999</v>
      </c>
      <c r="L218" s="27">
        <v>119.8</v>
      </c>
      <c r="M218" s="27">
        <v>110.3</v>
      </c>
      <c r="N218" s="27">
        <v>140.6</v>
      </c>
      <c r="O218" s="27">
        <v>133.80000000000001</v>
      </c>
      <c r="P218" s="27">
        <v>154.6</v>
      </c>
      <c r="Q218" s="27">
        <v>138.19999999999999</v>
      </c>
      <c r="R218" s="21">
        <f t="shared" si="22"/>
        <v>1762.7999999999997</v>
      </c>
      <c r="S218" s="21">
        <v>148.1</v>
      </c>
      <c r="T218" s="21">
        <v>139.4</v>
      </c>
      <c r="U218" s="21">
        <v>146.80000000000001</v>
      </c>
      <c r="V218" s="21">
        <f t="shared" si="23"/>
        <v>434.3</v>
      </c>
      <c r="W218" s="22">
        <v>146.5</v>
      </c>
      <c r="X218" s="21">
        <v>142.69999999999999</v>
      </c>
      <c r="Y218" s="21">
        <v>143.19999999999999</v>
      </c>
      <c r="Z218" s="22">
        <f t="shared" si="24"/>
        <v>432.4</v>
      </c>
      <c r="AA218" s="21">
        <v>144.9</v>
      </c>
      <c r="AB218" s="21">
        <v>132.19999999999999</v>
      </c>
      <c r="AC218" s="21">
        <f t="shared" si="25"/>
        <v>277.10000000000002</v>
      </c>
      <c r="AD218" s="27">
        <v>123.6</v>
      </c>
      <c r="AE218" s="27">
        <v>136.80000000000001</v>
      </c>
      <c r="AF218" s="27">
        <v>150.1</v>
      </c>
      <c r="AG218" s="21">
        <f t="shared" si="26"/>
        <v>286.89999999999998</v>
      </c>
      <c r="AH218" s="27">
        <v>163</v>
      </c>
      <c r="AI218" s="27">
        <v>136.80000000000001</v>
      </c>
      <c r="AJ218" s="21">
        <f t="shared" si="27"/>
        <v>299.8</v>
      </c>
      <c r="AK218" s="21">
        <v>140.1</v>
      </c>
    </row>
    <row r="219" spans="1:37">
      <c r="A219" s="21" t="s">
        <v>30</v>
      </c>
      <c r="B219" s="26">
        <v>2019</v>
      </c>
      <c r="C219" s="21" t="s">
        <v>31</v>
      </c>
      <c r="D219" s="21" t="str">
        <f t="shared" si="21"/>
        <v>No</v>
      </c>
      <c r="E219" s="27">
        <v>136.6</v>
      </c>
      <c r="F219" s="27">
        <v>152.5</v>
      </c>
      <c r="G219" s="27">
        <v>138.19999999999999</v>
      </c>
      <c r="H219" s="27">
        <v>142.4</v>
      </c>
      <c r="I219" s="27">
        <v>123.9</v>
      </c>
      <c r="J219" s="27">
        <v>135.5</v>
      </c>
      <c r="K219" s="27">
        <v>131.69999999999999</v>
      </c>
      <c r="L219" s="27">
        <v>121.3</v>
      </c>
      <c r="M219" s="27">
        <v>108.4</v>
      </c>
      <c r="N219" s="27">
        <v>138.9</v>
      </c>
      <c r="O219" s="27">
        <v>137</v>
      </c>
      <c r="P219" s="27">
        <v>155.80000000000001</v>
      </c>
      <c r="Q219" s="27">
        <v>137.4</v>
      </c>
      <c r="R219" s="21">
        <f t="shared" si="22"/>
        <v>1759.6000000000001</v>
      </c>
      <c r="S219" s="21">
        <v>150.6</v>
      </c>
      <c r="T219" s="21">
        <v>145.1</v>
      </c>
      <c r="U219" s="21">
        <v>149.9</v>
      </c>
      <c r="V219" s="21">
        <f t="shared" si="23"/>
        <v>445.6</v>
      </c>
      <c r="W219" s="22">
        <v>139.25</v>
      </c>
      <c r="X219" s="21">
        <v>146.19999999999999</v>
      </c>
      <c r="Y219" s="21">
        <v>150.1</v>
      </c>
      <c r="Z219" s="22">
        <f t="shared" si="24"/>
        <v>435.54999999999995</v>
      </c>
      <c r="AA219" s="21">
        <v>149.6</v>
      </c>
      <c r="AB219" s="21">
        <v>133.5</v>
      </c>
      <c r="AC219" s="21">
        <f t="shared" si="25"/>
        <v>283.10000000000002</v>
      </c>
      <c r="AD219" s="27">
        <v>128.6</v>
      </c>
      <c r="AE219" s="27">
        <v>142.9</v>
      </c>
      <c r="AF219" s="27">
        <v>155.19999999999999</v>
      </c>
      <c r="AG219" s="21">
        <f t="shared" si="26"/>
        <v>298.10000000000002</v>
      </c>
      <c r="AH219" s="27">
        <v>162.69999999999999</v>
      </c>
      <c r="AI219" s="27">
        <v>141.69999999999999</v>
      </c>
      <c r="AJ219" s="21">
        <f t="shared" si="27"/>
        <v>304.39999999999998</v>
      </c>
      <c r="AK219" s="21">
        <v>141</v>
      </c>
    </row>
    <row r="220" spans="1:37">
      <c r="A220" s="21" t="s">
        <v>33</v>
      </c>
      <c r="B220" s="26">
        <v>2019</v>
      </c>
      <c r="C220" s="21" t="s">
        <v>31</v>
      </c>
      <c r="D220" s="21" t="str">
        <f t="shared" si="21"/>
        <v>No</v>
      </c>
      <c r="E220" s="27">
        <v>138.30000000000001</v>
      </c>
      <c r="F220" s="27">
        <v>149.4</v>
      </c>
      <c r="G220" s="27">
        <v>143.5</v>
      </c>
      <c r="H220" s="27">
        <v>141.69999999999999</v>
      </c>
      <c r="I220" s="27">
        <v>118.1</v>
      </c>
      <c r="J220" s="27">
        <v>135.19999999999999</v>
      </c>
      <c r="K220" s="27">
        <v>130.5</v>
      </c>
      <c r="L220" s="27">
        <v>118.2</v>
      </c>
      <c r="M220" s="27">
        <v>110.4</v>
      </c>
      <c r="N220" s="27">
        <v>140.4</v>
      </c>
      <c r="O220" s="27">
        <v>128.1</v>
      </c>
      <c r="P220" s="27">
        <v>153.19999999999999</v>
      </c>
      <c r="Q220" s="27">
        <v>137.30000000000001</v>
      </c>
      <c r="R220" s="21">
        <f t="shared" si="22"/>
        <v>1744.3000000000002</v>
      </c>
      <c r="S220" s="21">
        <v>143</v>
      </c>
      <c r="T220" s="21">
        <v>130.4</v>
      </c>
      <c r="U220" s="21">
        <v>141.1</v>
      </c>
      <c r="V220" s="21">
        <f t="shared" si="23"/>
        <v>414.5</v>
      </c>
      <c r="W220" s="22">
        <v>147.69999999999999</v>
      </c>
      <c r="X220" s="21">
        <v>128.6</v>
      </c>
      <c r="Y220" s="21">
        <v>136.30000000000001</v>
      </c>
      <c r="Z220" s="22">
        <f t="shared" si="24"/>
        <v>412.59999999999997</v>
      </c>
      <c r="AA220" s="21">
        <v>137.80000000000001</v>
      </c>
      <c r="AB220" s="21">
        <v>131.69999999999999</v>
      </c>
      <c r="AC220" s="21">
        <f t="shared" si="25"/>
        <v>269.5</v>
      </c>
      <c r="AD220" s="27">
        <v>118.6</v>
      </c>
      <c r="AE220" s="27">
        <v>131.9</v>
      </c>
      <c r="AF220" s="27">
        <v>146.6</v>
      </c>
      <c r="AG220" s="21">
        <f t="shared" si="26"/>
        <v>278.5</v>
      </c>
      <c r="AH220" s="27">
        <v>164.7</v>
      </c>
      <c r="AI220" s="27">
        <v>131.80000000000001</v>
      </c>
      <c r="AJ220" s="21">
        <f t="shared" si="27"/>
        <v>296.5</v>
      </c>
      <c r="AK220" s="21">
        <v>138</v>
      </c>
    </row>
    <row r="221" spans="1:37">
      <c r="A221" s="21" t="s">
        <v>34</v>
      </c>
      <c r="B221" s="26">
        <v>2019</v>
      </c>
      <c r="C221" s="21" t="s">
        <v>31</v>
      </c>
      <c r="D221" s="21" t="str">
        <f t="shared" si="21"/>
        <v>No</v>
      </c>
      <c r="E221" s="27">
        <v>137.1</v>
      </c>
      <c r="F221" s="27">
        <v>151.4</v>
      </c>
      <c r="G221" s="27">
        <v>140.19999999999999</v>
      </c>
      <c r="H221" s="27">
        <v>142.1</v>
      </c>
      <c r="I221" s="27">
        <v>121.8</v>
      </c>
      <c r="J221" s="27">
        <v>135.4</v>
      </c>
      <c r="K221" s="27">
        <v>131.30000000000001</v>
      </c>
      <c r="L221" s="27">
        <v>120.3</v>
      </c>
      <c r="M221" s="27">
        <v>109.1</v>
      </c>
      <c r="N221" s="27">
        <v>139.4</v>
      </c>
      <c r="O221" s="27">
        <v>133.30000000000001</v>
      </c>
      <c r="P221" s="27">
        <v>154.6</v>
      </c>
      <c r="Q221" s="27">
        <v>137.4</v>
      </c>
      <c r="R221" s="21">
        <f t="shared" si="22"/>
        <v>1753.3999999999999</v>
      </c>
      <c r="S221" s="21">
        <v>147.6</v>
      </c>
      <c r="T221" s="21">
        <v>139</v>
      </c>
      <c r="U221" s="21">
        <v>146.4</v>
      </c>
      <c r="V221" s="21">
        <f t="shared" si="23"/>
        <v>433</v>
      </c>
      <c r="W221" s="22">
        <v>147.69999999999999</v>
      </c>
      <c r="X221" s="21">
        <v>139.5</v>
      </c>
      <c r="Y221" s="21">
        <v>143.6</v>
      </c>
      <c r="Z221" s="22">
        <f t="shared" si="24"/>
        <v>430.79999999999995</v>
      </c>
      <c r="AA221" s="21">
        <v>145.1</v>
      </c>
      <c r="AB221" s="21">
        <v>132.80000000000001</v>
      </c>
      <c r="AC221" s="21">
        <f t="shared" si="25"/>
        <v>277.89999999999998</v>
      </c>
      <c r="AD221" s="27">
        <v>123.3</v>
      </c>
      <c r="AE221" s="27">
        <v>136.69999999999999</v>
      </c>
      <c r="AF221" s="27">
        <v>150.19999999999999</v>
      </c>
      <c r="AG221" s="21">
        <f t="shared" si="26"/>
        <v>286.89999999999998</v>
      </c>
      <c r="AH221" s="27">
        <v>163.19999999999999</v>
      </c>
      <c r="AI221" s="27">
        <v>136.9</v>
      </c>
      <c r="AJ221" s="21">
        <f t="shared" si="27"/>
        <v>300.10000000000002</v>
      </c>
      <c r="AK221" s="21">
        <v>139.6</v>
      </c>
    </row>
    <row r="222" spans="1:37">
      <c r="A222" s="21" t="s">
        <v>30</v>
      </c>
      <c r="B222" s="26">
        <v>2019</v>
      </c>
      <c r="C222" s="21" t="s">
        <v>35</v>
      </c>
      <c r="D222" s="21" t="str">
        <f t="shared" si="21"/>
        <v>No</v>
      </c>
      <c r="E222" s="27">
        <v>136.80000000000001</v>
      </c>
      <c r="F222" s="27">
        <v>153</v>
      </c>
      <c r="G222" s="27">
        <v>139.1</v>
      </c>
      <c r="H222" s="27">
        <v>142.5</v>
      </c>
      <c r="I222" s="27">
        <v>124.1</v>
      </c>
      <c r="J222" s="27">
        <v>135.80000000000001</v>
      </c>
      <c r="K222" s="27">
        <v>128.69999999999999</v>
      </c>
      <c r="L222" s="27">
        <v>121.5</v>
      </c>
      <c r="M222" s="27">
        <v>108.3</v>
      </c>
      <c r="N222" s="27">
        <v>139.19999999999999</v>
      </c>
      <c r="O222" s="27">
        <v>137.4</v>
      </c>
      <c r="P222" s="27">
        <v>156.19999999999999</v>
      </c>
      <c r="Q222" s="27">
        <v>137.19999999999999</v>
      </c>
      <c r="R222" s="21">
        <f t="shared" si="22"/>
        <v>1759.8000000000002</v>
      </c>
      <c r="S222" s="21">
        <v>150.5</v>
      </c>
      <c r="T222" s="21">
        <v>146.1</v>
      </c>
      <c r="U222" s="21">
        <v>149.9</v>
      </c>
      <c r="V222" s="21">
        <f t="shared" si="23"/>
        <v>446.5</v>
      </c>
      <c r="W222" s="22">
        <v>139.25</v>
      </c>
      <c r="X222" s="21">
        <v>145.30000000000001</v>
      </c>
      <c r="Y222" s="21">
        <v>150.1</v>
      </c>
      <c r="Z222" s="22">
        <f t="shared" si="24"/>
        <v>434.65</v>
      </c>
      <c r="AA222" s="21">
        <v>149.9</v>
      </c>
      <c r="AB222" s="21">
        <v>134.9</v>
      </c>
      <c r="AC222" s="21">
        <f t="shared" si="25"/>
        <v>284.8</v>
      </c>
      <c r="AD222" s="27">
        <v>129.19999999999999</v>
      </c>
      <c r="AE222" s="27">
        <v>143.4</v>
      </c>
      <c r="AF222" s="27">
        <v>155.5</v>
      </c>
      <c r="AG222" s="21">
        <f t="shared" si="26"/>
        <v>298.89999999999998</v>
      </c>
      <c r="AH222" s="27">
        <v>162.80000000000001</v>
      </c>
      <c r="AI222" s="27">
        <v>142.19999999999999</v>
      </c>
      <c r="AJ222" s="21">
        <f t="shared" si="27"/>
        <v>305</v>
      </c>
      <c r="AK222" s="21">
        <v>141</v>
      </c>
    </row>
    <row r="223" spans="1:37">
      <c r="A223" s="21" t="s">
        <v>33</v>
      </c>
      <c r="B223" s="26">
        <v>2019</v>
      </c>
      <c r="C223" s="21" t="s">
        <v>35</v>
      </c>
      <c r="D223" s="21" t="str">
        <f t="shared" si="21"/>
        <v>No</v>
      </c>
      <c r="E223" s="27">
        <v>139.4</v>
      </c>
      <c r="F223" s="27">
        <v>150.1</v>
      </c>
      <c r="G223" s="27">
        <v>145.30000000000001</v>
      </c>
      <c r="H223" s="27">
        <v>141.69999999999999</v>
      </c>
      <c r="I223" s="27">
        <v>118.4</v>
      </c>
      <c r="J223" s="27">
        <v>137</v>
      </c>
      <c r="K223" s="27">
        <v>131.6</v>
      </c>
      <c r="L223" s="27">
        <v>119.9</v>
      </c>
      <c r="M223" s="27">
        <v>110.4</v>
      </c>
      <c r="N223" s="27">
        <v>140.80000000000001</v>
      </c>
      <c r="O223" s="27">
        <v>128.30000000000001</v>
      </c>
      <c r="P223" s="27">
        <v>153.5</v>
      </c>
      <c r="Q223" s="27">
        <v>138</v>
      </c>
      <c r="R223" s="21">
        <f t="shared" si="22"/>
        <v>1754.4</v>
      </c>
      <c r="S223" s="21">
        <v>143.30000000000001</v>
      </c>
      <c r="T223" s="21">
        <v>130.80000000000001</v>
      </c>
      <c r="U223" s="21">
        <v>141.4</v>
      </c>
      <c r="V223" s="21">
        <f t="shared" si="23"/>
        <v>415.5</v>
      </c>
      <c r="W223" s="22">
        <v>148.5</v>
      </c>
      <c r="X223" s="21">
        <v>127.1</v>
      </c>
      <c r="Y223" s="21">
        <v>136.6</v>
      </c>
      <c r="Z223" s="22">
        <f t="shared" si="24"/>
        <v>412.20000000000005</v>
      </c>
      <c r="AA223" s="21">
        <v>138.5</v>
      </c>
      <c r="AB223" s="21">
        <v>133</v>
      </c>
      <c r="AC223" s="21">
        <f t="shared" si="25"/>
        <v>271.5</v>
      </c>
      <c r="AD223" s="27">
        <v>119.2</v>
      </c>
      <c r="AE223" s="27">
        <v>132.19999999999999</v>
      </c>
      <c r="AF223" s="27">
        <v>146.6</v>
      </c>
      <c r="AG223" s="21">
        <f t="shared" si="26"/>
        <v>278.79999999999995</v>
      </c>
      <c r="AH223" s="27">
        <v>164.9</v>
      </c>
      <c r="AI223" s="27">
        <v>132.4</v>
      </c>
      <c r="AJ223" s="21">
        <f t="shared" si="27"/>
        <v>297.3</v>
      </c>
      <c r="AK223" s="21">
        <v>138.6</v>
      </c>
    </row>
    <row r="224" spans="1:37">
      <c r="A224" s="21" t="s">
        <v>34</v>
      </c>
      <c r="B224" s="26">
        <v>2019</v>
      </c>
      <c r="C224" s="21" t="s">
        <v>35</v>
      </c>
      <c r="D224" s="21" t="str">
        <f t="shared" si="21"/>
        <v>No</v>
      </c>
      <c r="E224" s="27">
        <v>137.6</v>
      </c>
      <c r="F224" s="27">
        <v>152</v>
      </c>
      <c r="G224" s="27">
        <v>141.5</v>
      </c>
      <c r="H224" s="27">
        <v>142.19999999999999</v>
      </c>
      <c r="I224" s="27">
        <v>122</v>
      </c>
      <c r="J224" s="27">
        <v>136.4</v>
      </c>
      <c r="K224" s="27">
        <v>129.69999999999999</v>
      </c>
      <c r="L224" s="27">
        <v>121</v>
      </c>
      <c r="M224" s="27">
        <v>109</v>
      </c>
      <c r="N224" s="27">
        <v>139.69999999999999</v>
      </c>
      <c r="O224" s="27">
        <v>133.6</v>
      </c>
      <c r="P224" s="27">
        <v>154.9</v>
      </c>
      <c r="Q224" s="27">
        <v>137.5</v>
      </c>
      <c r="R224" s="21">
        <f t="shared" si="22"/>
        <v>1757.1</v>
      </c>
      <c r="S224" s="21">
        <v>147.69999999999999</v>
      </c>
      <c r="T224" s="21">
        <v>139.69999999999999</v>
      </c>
      <c r="U224" s="21">
        <v>146.5</v>
      </c>
      <c r="V224" s="21">
        <f t="shared" si="23"/>
        <v>433.9</v>
      </c>
      <c r="W224" s="22">
        <v>148.5</v>
      </c>
      <c r="X224" s="21">
        <v>138.4</v>
      </c>
      <c r="Y224" s="21">
        <v>143.69999999999999</v>
      </c>
      <c r="Z224" s="22">
        <f t="shared" si="24"/>
        <v>430.59999999999997</v>
      </c>
      <c r="AA224" s="21">
        <v>145.6</v>
      </c>
      <c r="AB224" s="21">
        <v>134.1</v>
      </c>
      <c r="AC224" s="21">
        <f t="shared" si="25"/>
        <v>279.7</v>
      </c>
      <c r="AD224" s="27">
        <v>123.9</v>
      </c>
      <c r="AE224" s="27">
        <v>137.1</v>
      </c>
      <c r="AF224" s="27">
        <v>150.30000000000001</v>
      </c>
      <c r="AG224" s="21">
        <f t="shared" si="26"/>
        <v>287.39999999999998</v>
      </c>
      <c r="AH224" s="27">
        <v>163.4</v>
      </c>
      <c r="AI224" s="27">
        <v>137.4</v>
      </c>
      <c r="AJ224" s="21">
        <f t="shared" si="27"/>
        <v>300.8</v>
      </c>
      <c r="AK224" s="21">
        <v>139.9</v>
      </c>
    </row>
    <row r="225" spans="1:37">
      <c r="A225" s="21" t="s">
        <v>30</v>
      </c>
      <c r="B225" s="26">
        <v>2019</v>
      </c>
      <c r="C225" s="21" t="s">
        <v>36</v>
      </c>
      <c r="D225" s="21" t="str">
        <f t="shared" si="21"/>
        <v>No</v>
      </c>
      <c r="E225" s="27">
        <v>136.9</v>
      </c>
      <c r="F225" s="27">
        <v>154.1</v>
      </c>
      <c r="G225" s="27">
        <v>138.69999999999999</v>
      </c>
      <c r="H225" s="27">
        <v>142.5</v>
      </c>
      <c r="I225" s="27">
        <v>124.1</v>
      </c>
      <c r="J225" s="27">
        <v>136.1</v>
      </c>
      <c r="K225" s="27">
        <v>128.19999999999999</v>
      </c>
      <c r="L225" s="27">
        <v>122.3</v>
      </c>
      <c r="M225" s="27">
        <v>108.3</v>
      </c>
      <c r="N225" s="27">
        <v>138.9</v>
      </c>
      <c r="O225" s="27">
        <v>137.4</v>
      </c>
      <c r="P225" s="27">
        <v>156.4</v>
      </c>
      <c r="Q225" s="27">
        <v>137.30000000000001</v>
      </c>
      <c r="R225" s="21">
        <f t="shared" si="22"/>
        <v>1761.2000000000003</v>
      </c>
      <c r="S225" s="21">
        <v>150.80000000000001</v>
      </c>
      <c r="T225" s="21">
        <v>146.1</v>
      </c>
      <c r="U225" s="21">
        <v>150.1</v>
      </c>
      <c r="V225" s="21">
        <f t="shared" si="23"/>
        <v>447</v>
      </c>
      <c r="W225" s="22">
        <v>139.25</v>
      </c>
      <c r="X225" s="21">
        <v>146.4</v>
      </c>
      <c r="Y225" s="21">
        <v>150</v>
      </c>
      <c r="Z225" s="22">
        <f t="shared" si="24"/>
        <v>435.65</v>
      </c>
      <c r="AA225" s="21">
        <v>150.4</v>
      </c>
      <c r="AB225" s="21">
        <v>134</v>
      </c>
      <c r="AC225" s="21">
        <f t="shared" si="25"/>
        <v>284.39999999999998</v>
      </c>
      <c r="AD225" s="27">
        <v>129.9</v>
      </c>
      <c r="AE225" s="27">
        <v>143.80000000000001</v>
      </c>
      <c r="AF225" s="27">
        <v>155.5</v>
      </c>
      <c r="AG225" s="21">
        <f t="shared" si="26"/>
        <v>299.3</v>
      </c>
      <c r="AH225" s="27">
        <v>162.9</v>
      </c>
      <c r="AI225" s="27">
        <v>142.4</v>
      </c>
      <c r="AJ225" s="21">
        <f t="shared" si="27"/>
        <v>305.3</v>
      </c>
      <c r="AK225" s="21">
        <v>141.19999999999999</v>
      </c>
    </row>
    <row r="226" spans="1:37">
      <c r="A226" s="21" t="s">
        <v>33</v>
      </c>
      <c r="B226" s="26">
        <v>2019</v>
      </c>
      <c r="C226" s="21" t="s">
        <v>36</v>
      </c>
      <c r="D226" s="21" t="str">
        <f t="shared" si="21"/>
        <v>No</v>
      </c>
      <c r="E226" s="27">
        <v>139.69999999999999</v>
      </c>
      <c r="F226" s="27">
        <v>151.1</v>
      </c>
      <c r="G226" s="27">
        <v>142.9</v>
      </c>
      <c r="H226" s="27">
        <v>141.9</v>
      </c>
      <c r="I226" s="27">
        <v>118.4</v>
      </c>
      <c r="J226" s="27">
        <v>139.4</v>
      </c>
      <c r="K226" s="27">
        <v>141.19999999999999</v>
      </c>
      <c r="L226" s="27">
        <v>120.7</v>
      </c>
      <c r="M226" s="27">
        <v>110.4</v>
      </c>
      <c r="N226" s="27">
        <v>140.69999999999999</v>
      </c>
      <c r="O226" s="27">
        <v>128.5</v>
      </c>
      <c r="P226" s="27">
        <v>153.9</v>
      </c>
      <c r="Q226" s="27">
        <v>139.6</v>
      </c>
      <c r="R226" s="21">
        <f t="shared" si="22"/>
        <v>1768.4</v>
      </c>
      <c r="S226" s="21">
        <v>143.5</v>
      </c>
      <c r="T226" s="21">
        <v>131.19999999999999</v>
      </c>
      <c r="U226" s="21">
        <v>141.6</v>
      </c>
      <c r="V226" s="21">
        <f t="shared" si="23"/>
        <v>416.29999999999995</v>
      </c>
      <c r="W226" s="22">
        <v>149</v>
      </c>
      <c r="X226" s="21">
        <v>128.80000000000001</v>
      </c>
      <c r="Y226" s="21">
        <v>136.80000000000001</v>
      </c>
      <c r="Z226" s="22">
        <f t="shared" si="24"/>
        <v>414.6</v>
      </c>
      <c r="AA226" s="21">
        <v>139.19999999999999</v>
      </c>
      <c r="AB226" s="21">
        <v>132.5</v>
      </c>
      <c r="AC226" s="21">
        <f t="shared" si="25"/>
        <v>271.7</v>
      </c>
      <c r="AD226" s="27">
        <v>119.9</v>
      </c>
      <c r="AE226" s="27">
        <v>133</v>
      </c>
      <c r="AF226" s="27">
        <v>146.69999999999999</v>
      </c>
      <c r="AG226" s="21">
        <f t="shared" si="26"/>
        <v>279.7</v>
      </c>
      <c r="AH226" s="27">
        <v>165.3</v>
      </c>
      <c r="AI226" s="27">
        <v>132.80000000000001</v>
      </c>
      <c r="AJ226" s="21">
        <f t="shared" si="27"/>
        <v>298.10000000000002</v>
      </c>
      <c r="AK226" s="21">
        <v>139.5</v>
      </c>
    </row>
    <row r="227" spans="1:37">
      <c r="A227" s="21" t="s">
        <v>34</v>
      </c>
      <c r="B227" s="26">
        <v>2019</v>
      </c>
      <c r="C227" s="21" t="s">
        <v>36</v>
      </c>
      <c r="D227" s="21" t="str">
        <f t="shared" si="21"/>
        <v>No</v>
      </c>
      <c r="E227" s="27">
        <v>137.80000000000001</v>
      </c>
      <c r="F227" s="27">
        <v>153</v>
      </c>
      <c r="G227" s="27">
        <v>140.30000000000001</v>
      </c>
      <c r="H227" s="27">
        <v>142.30000000000001</v>
      </c>
      <c r="I227" s="27">
        <v>122</v>
      </c>
      <c r="J227" s="27">
        <v>137.6</v>
      </c>
      <c r="K227" s="27">
        <v>132.6</v>
      </c>
      <c r="L227" s="27">
        <v>121.8</v>
      </c>
      <c r="M227" s="27">
        <v>109</v>
      </c>
      <c r="N227" s="27">
        <v>139.5</v>
      </c>
      <c r="O227" s="27">
        <v>133.69999999999999</v>
      </c>
      <c r="P227" s="27">
        <v>155.19999999999999</v>
      </c>
      <c r="Q227" s="27">
        <v>138.1</v>
      </c>
      <c r="R227" s="21">
        <f t="shared" si="22"/>
        <v>1762.9</v>
      </c>
      <c r="S227" s="21">
        <v>147.9</v>
      </c>
      <c r="T227" s="21">
        <v>139.9</v>
      </c>
      <c r="U227" s="21">
        <v>146.69999999999999</v>
      </c>
      <c r="V227" s="21">
        <f t="shared" si="23"/>
        <v>434.5</v>
      </c>
      <c r="W227" s="22">
        <v>149</v>
      </c>
      <c r="X227" s="21">
        <v>139.69999999999999</v>
      </c>
      <c r="Y227" s="21">
        <v>143.80000000000001</v>
      </c>
      <c r="Z227" s="22">
        <f t="shared" si="24"/>
        <v>432.5</v>
      </c>
      <c r="AA227" s="21">
        <v>146.19999999999999</v>
      </c>
      <c r="AB227" s="21">
        <v>133.4</v>
      </c>
      <c r="AC227" s="21">
        <f t="shared" si="25"/>
        <v>279.60000000000002</v>
      </c>
      <c r="AD227" s="27">
        <v>124.6</v>
      </c>
      <c r="AE227" s="27">
        <v>137.69999999999999</v>
      </c>
      <c r="AF227" s="27">
        <v>150.30000000000001</v>
      </c>
      <c r="AG227" s="21">
        <f t="shared" si="26"/>
        <v>288</v>
      </c>
      <c r="AH227" s="27">
        <v>163.5</v>
      </c>
      <c r="AI227" s="27">
        <v>137.69999999999999</v>
      </c>
      <c r="AJ227" s="21">
        <f t="shared" si="27"/>
        <v>301.2</v>
      </c>
      <c r="AK227" s="21">
        <v>140.4</v>
      </c>
    </row>
    <row r="228" spans="1:37">
      <c r="A228" s="21" t="s">
        <v>30</v>
      </c>
      <c r="B228" s="26">
        <v>2019</v>
      </c>
      <c r="C228" s="21" t="s">
        <v>38</v>
      </c>
      <c r="D228" s="21" t="str">
        <f t="shared" si="21"/>
        <v>No</v>
      </c>
      <c r="E228" s="27">
        <v>137.4</v>
      </c>
      <c r="F228" s="27">
        <v>159.5</v>
      </c>
      <c r="G228" s="27">
        <v>134.5</v>
      </c>
      <c r="H228" s="27">
        <v>142.6</v>
      </c>
      <c r="I228" s="27">
        <v>124</v>
      </c>
      <c r="J228" s="27">
        <v>143.69999999999999</v>
      </c>
      <c r="K228" s="27">
        <v>133.4</v>
      </c>
      <c r="L228" s="27">
        <v>125.1</v>
      </c>
      <c r="M228" s="27">
        <v>109.3</v>
      </c>
      <c r="N228" s="27">
        <v>139.30000000000001</v>
      </c>
      <c r="O228" s="27">
        <v>137.69999999999999</v>
      </c>
      <c r="P228" s="27">
        <v>156.4</v>
      </c>
      <c r="Q228" s="27">
        <v>139.19999999999999</v>
      </c>
      <c r="R228" s="21">
        <f t="shared" si="22"/>
        <v>1782.1000000000001</v>
      </c>
      <c r="S228" s="21">
        <v>151.30000000000001</v>
      </c>
      <c r="T228" s="21">
        <v>146.6</v>
      </c>
      <c r="U228" s="21">
        <v>150.69999999999999</v>
      </c>
      <c r="V228" s="21">
        <f t="shared" si="23"/>
        <v>448.59999999999997</v>
      </c>
      <c r="W228" s="22">
        <v>139.25</v>
      </c>
      <c r="X228" s="21">
        <v>146.9</v>
      </c>
      <c r="Y228" s="21">
        <v>149.5</v>
      </c>
      <c r="Z228" s="22">
        <f t="shared" si="24"/>
        <v>435.65</v>
      </c>
      <c r="AA228" s="21">
        <v>151.30000000000001</v>
      </c>
      <c r="AB228" s="21">
        <v>133.9</v>
      </c>
      <c r="AC228" s="21">
        <f t="shared" si="25"/>
        <v>285.20000000000005</v>
      </c>
      <c r="AD228" s="27">
        <v>130.19999999999999</v>
      </c>
      <c r="AE228" s="27">
        <v>145.9</v>
      </c>
      <c r="AF228" s="27">
        <v>156.69999999999999</v>
      </c>
      <c r="AG228" s="21">
        <f t="shared" si="26"/>
        <v>302.60000000000002</v>
      </c>
      <c r="AH228" s="27">
        <v>163.30000000000001</v>
      </c>
      <c r="AI228" s="27">
        <v>142.9</v>
      </c>
      <c r="AJ228" s="21">
        <f t="shared" si="27"/>
        <v>306.20000000000005</v>
      </c>
      <c r="AK228" s="21">
        <v>142.4</v>
      </c>
    </row>
    <row r="229" spans="1:37">
      <c r="A229" s="21" t="s">
        <v>33</v>
      </c>
      <c r="B229" s="26">
        <v>2019</v>
      </c>
      <c r="C229" s="21" t="s">
        <v>38</v>
      </c>
      <c r="D229" s="21" t="str">
        <f t="shared" si="21"/>
        <v>No</v>
      </c>
      <c r="E229" s="27">
        <v>140.4</v>
      </c>
      <c r="F229" s="27">
        <v>156.69999999999999</v>
      </c>
      <c r="G229" s="27">
        <v>138.30000000000001</v>
      </c>
      <c r="H229" s="27">
        <v>142.4</v>
      </c>
      <c r="I229" s="27">
        <v>118.6</v>
      </c>
      <c r="J229" s="27">
        <v>149.69999999999999</v>
      </c>
      <c r="K229" s="27">
        <v>161.6</v>
      </c>
      <c r="L229" s="27">
        <v>124.4</v>
      </c>
      <c r="M229" s="27">
        <v>111.2</v>
      </c>
      <c r="N229" s="27">
        <v>141</v>
      </c>
      <c r="O229" s="27">
        <v>128.9</v>
      </c>
      <c r="P229" s="27">
        <v>154.5</v>
      </c>
      <c r="Q229" s="27">
        <v>143.80000000000001</v>
      </c>
      <c r="R229" s="21">
        <f t="shared" si="22"/>
        <v>1811.5000000000002</v>
      </c>
      <c r="S229" s="21">
        <v>144</v>
      </c>
      <c r="T229" s="21">
        <v>131.69999999999999</v>
      </c>
      <c r="U229" s="21">
        <v>142.19999999999999</v>
      </c>
      <c r="V229" s="21">
        <f t="shared" si="23"/>
        <v>417.9</v>
      </c>
      <c r="W229" s="22">
        <v>150.1</v>
      </c>
      <c r="X229" s="21">
        <v>129.4</v>
      </c>
      <c r="Y229" s="21">
        <v>137.19999999999999</v>
      </c>
      <c r="Z229" s="22">
        <f t="shared" si="24"/>
        <v>416.7</v>
      </c>
      <c r="AA229" s="21">
        <v>139.80000000000001</v>
      </c>
      <c r="AB229" s="21">
        <v>132.6</v>
      </c>
      <c r="AC229" s="21">
        <f t="shared" si="25"/>
        <v>272.39999999999998</v>
      </c>
      <c r="AD229" s="27">
        <v>120.1</v>
      </c>
      <c r="AE229" s="27">
        <v>134</v>
      </c>
      <c r="AF229" s="27">
        <v>148</v>
      </c>
      <c r="AG229" s="21">
        <f t="shared" si="26"/>
        <v>282</v>
      </c>
      <c r="AH229" s="27">
        <v>166.2</v>
      </c>
      <c r="AI229" s="27">
        <v>133.30000000000001</v>
      </c>
      <c r="AJ229" s="21">
        <f t="shared" si="27"/>
        <v>299.5</v>
      </c>
      <c r="AK229" s="21">
        <v>141.5</v>
      </c>
    </row>
    <row r="230" spans="1:37">
      <c r="A230" s="21" t="s">
        <v>34</v>
      </c>
      <c r="B230" s="26">
        <v>2019</v>
      </c>
      <c r="C230" s="21" t="s">
        <v>38</v>
      </c>
      <c r="D230" s="21" t="str">
        <f t="shared" si="21"/>
        <v>No</v>
      </c>
      <c r="E230" s="27">
        <v>138.30000000000001</v>
      </c>
      <c r="F230" s="27">
        <v>158.5</v>
      </c>
      <c r="G230" s="27">
        <v>136</v>
      </c>
      <c r="H230" s="27">
        <v>142.5</v>
      </c>
      <c r="I230" s="27">
        <v>122</v>
      </c>
      <c r="J230" s="27">
        <v>146.5</v>
      </c>
      <c r="K230" s="27">
        <v>143</v>
      </c>
      <c r="L230" s="27">
        <v>124.9</v>
      </c>
      <c r="M230" s="27">
        <v>109.9</v>
      </c>
      <c r="N230" s="27">
        <v>139.9</v>
      </c>
      <c r="O230" s="27">
        <v>134</v>
      </c>
      <c r="P230" s="27">
        <v>155.5</v>
      </c>
      <c r="Q230" s="27">
        <v>140.9</v>
      </c>
      <c r="R230" s="21">
        <f t="shared" si="22"/>
        <v>1791.9000000000003</v>
      </c>
      <c r="S230" s="21">
        <v>148.4</v>
      </c>
      <c r="T230" s="21">
        <v>140.4</v>
      </c>
      <c r="U230" s="21">
        <v>147.30000000000001</v>
      </c>
      <c r="V230" s="21">
        <f t="shared" si="23"/>
        <v>436.1</v>
      </c>
      <c r="W230" s="22">
        <v>150.1</v>
      </c>
      <c r="X230" s="21">
        <v>140.30000000000001</v>
      </c>
      <c r="Y230" s="21">
        <v>143.69999999999999</v>
      </c>
      <c r="Z230" s="22">
        <f t="shared" si="24"/>
        <v>434.09999999999997</v>
      </c>
      <c r="AA230" s="21">
        <v>146.9</v>
      </c>
      <c r="AB230" s="21">
        <v>133.4</v>
      </c>
      <c r="AC230" s="21">
        <f t="shared" si="25"/>
        <v>280.3</v>
      </c>
      <c r="AD230" s="27">
        <v>124.9</v>
      </c>
      <c r="AE230" s="27">
        <v>139.19999999999999</v>
      </c>
      <c r="AF230" s="27">
        <v>151.6</v>
      </c>
      <c r="AG230" s="21">
        <f t="shared" si="26"/>
        <v>290.79999999999995</v>
      </c>
      <c r="AH230" s="27">
        <v>164.1</v>
      </c>
      <c r="AI230" s="27">
        <v>138.19999999999999</v>
      </c>
      <c r="AJ230" s="21">
        <f t="shared" si="27"/>
        <v>302.29999999999995</v>
      </c>
      <c r="AK230" s="21">
        <v>142</v>
      </c>
    </row>
    <row r="231" spans="1:37">
      <c r="A231" s="21" t="s">
        <v>30</v>
      </c>
      <c r="B231" s="26">
        <v>2019</v>
      </c>
      <c r="C231" s="21" t="s">
        <v>39</v>
      </c>
      <c r="D231" s="21" t="str">
        <f t="shared" si="21"/>
        <v>No</v>
      </c>
      <c r="E231" s="27">
        <v>137.80000000000001</v>
      </c>
      <c r="F231" s="27">
        <v>163.5</v>
      </c>
      <c r="G231" s="27">
        <v>136.19999999999999</v>
      </c>
      <c r="H231" s="27">
        <v>143.19999999999999</v>
      </c>
      <c r="I231" s="27">
        <v>124.3</v>
      </c>
      <c r="J231" s="27">
        <v>143.30000000000001</v>
      </c>
      <c r="K231" s="27">
        <v>140.6</v>
      </c>
      <c r="L231" s="27">
        <v>128.69999999999999</v>
      </c>
      <c r="M231" s="27">
        <v>110.6</v>
      </c>
      <c r="N231" s="27">
        <v>140.4</v>
      </c>
      <c r="O231" s="27">
        <v>138</v>
      </c>
      <c r="P231" s="27">
        <v>156.6</v>
      </c>
      <c r="Q231" s="27">
        <v>141</v>
      </c>
      <c r="R231" s="21">
        <f t="shared" si="22"/>
        <v>1804.1999999999998</v>
      </c>
      <c r="S231" s="21">
        <v>151.4</v>
      </c>
      <c r="T231" s="21">
        <v>146.5</v>
      </c>
      <c r="U231" s="21">
        <v>150.69999999999999</v>
      </c>
      <c r="V231" s="21">
        <f t="shared" si="23"/>
        <v>448.59999999999997</v>
      </c>
      <c r="W231" s="22">
        <v>139.25</v>
      </c>
      <c r="X231" s="21">
        <v>147.80000000000001</v>
      </c>
      <c r="Y231" s="21">
        <v>149.6</v>
      </c>
      <c r="Z231" s="22">
        <f t="shared" si="24"/>
        <v>436.65</v>
      </c>
      <c r="AA231" s="21">
        <v>151.69999999999999</v>
      </c>
      <c r="AB231" s="21">
        <v>134.80000000000001</v>
      </c>
      <c r="AC231" s="21">
        <f t="shared" si="25"/>
        <v>286.5</v>
      </c>
      <c r="AD231" s="27">
        <v>130.19999999999999</v>
      </c>
      <c r="AE231" s="27">
        <v>146.4</v>
      </c>
      <c r="AF231" s="27">
        <v>157.69999999999999</v>
      </c>
      <c r="AG231" s="21">
        <f t="shared" si="26"/>
        <v>304.10000000000002</v>
      </c>
      <c r="AH231" s="27">
        <v>164.2</v>
      </c>
      <c r="AI231" s="27">
        <v>143.30000000000001</v>
      </c>
      <c r="AJ231" s="21">
        <f t="shared" si="27"/>
        <v>307.5</v>
      </c>
      <c r="AK231" s="21">
        <v>143.6</v>
      </c>
    </row>
    <row r="232" spans="1:37">
      <c r="A232" s="21" t="s">
        <v>33</v>
      </c>
      <c r="B232" s="26">
        <v>2019</v>
      </c>
      <c r="C232" s="21" t="s">
        <v>39</v>
      </c>
      <c r="D232" s="21" t="str">
        <f t="shared" si="21"/>
        <v>No</v>
      </c>
      <c r="E232" s="27">
        <v>140.69999999999999</v>
      </c>
      <c r="F232" s="27">
        <v>159.6</v>
      </c>
      <c r="G232" s="27">
        <v>140.4</v>
      </c>
      <c r="H232" s="27">
        <v>143.4</v>
      </c>
      <c r="I232" s="27">
        <v>118.6</v>
      </c>
      <c r="J232" s="27">
        <v>150.9</v>
      </c>
      <c r="K232" s="27">
        <v>169.8</v>
      </c>
      <c r="L232" s="27">
        <v>127.4</v>
      </c>
      <c r="M232" s="27">
        <v>111.8</v>
      </c>
      <c r="N232" s="27">
        <v>141</v>
      </c>
      <c r="O232" s="27">
        <v>129</v>
      </c>
      <c r="P232" s="27">
        <v>155.1</v>
      </c>
      <c r="Q232" s="27">
        <v>145.6</v>
      </c>
      <c r="R232" s="21">
        <f t="shared" si="22"/>
        <v>1833.2999999999997</v>
      </c>
      <c r="S232" s="21">
        <v>144.30000000000001</v>
      </c>
      <c r="T232" s="21">
        <v>131.69999999999999</v>
      </c>
      <c r="U232" s="21">
        <v>142.4</v>
      </c>
      <c r="V232" s="21">
        <f t="shared" si="23"/>
        <v>418.4</v>
      </c>
      <c r="W232" s="22">
        <v>149.4</v>
      </c>
      <c r="X232" s="21">
        <v>130.5</v>
      </c>
      <c r="Y232" s="21">
        <v>137.4</v>
      </c>
      <c r="Z232" s="22">
        <f t="shared" si="24"/>
        <v>417.29999999999995</v>
      </c>
      <c r="AA232" s="21">
        <v>140.30000000000001</v>
      </c>
      <c r="AB232" s="21">
        <v>133.69999999999999</v>
      </c>
      <c r="AC232" s="21">
        <f t="shared" si="25"/>
        <v>274</v>
      </c>
      <c r="AD232" s="27">
        <v>119.6</v>
      </c>
      <c r="AE232" s="27">
        <v>134.30000000000001</v>
      </c>
      <c r="AF232" s="27">
        <v>148.9</v>
      </c>
      <c r="AG232" s="21">
        <f t="shared" si="26"/>
        <v>283.20000000000005</v>
      </c>
      <c r="AH232" s="27">
        <v>166.7</v>
      </c>
      <c r="AI232" s="27">
        <v>133.6</v>
      </c>
      <c r="AJ232" s="21">
        <f t="shared" si="27"/>
        <v>300.29999999999995</v>
      </c>
      <c r="AK232" s="21">
        <v>142.1</v>
      </c>
    </row>
    <row r="233" spans="1:37">
      <c r="A233" s="21" t="s">
        <v>34</v>
      </c>
      <c r="B233" s="26">
        <v>2019</v>
      </c>
      <c r="C233" s="21" t="s">
        <v>39</v>
      </c>
      <c r="D233" s="21" t="str">
        <f t="shared" si="21"/>
        <v>No</v>
      </c>
      <c r="E233" s="27">
        <v>138.69999999999999</v>
      </c>
      <c r="F233" s="27">
        <v>162.1</v>
      </c>
      <c r="G233" s="27">
        <v>137.80000000000001</v>
      </c>
      <c r="H233" s="27">
        <v>143.30000000000001</v>
      </c>
      <c r="I233" s="27">
        <v>122.2</v>
      </c>
      <c r="J233" s="27">
        <v>146.80000000000001</v>
      </c>
      <c r="K233" s="27">
        <v>150.5</v>
      </c>
      <c r="L233" s="27">
        <v>128.30000000000001</v>
      </c>
      <c r="M233" s="27">
        <v>111</v>
      </c>
      <c r="N233" s="27">
        <v>140.6</v>
      </c>
      <c r="O233" s="27">
        <v>134.19999999999999</v>
      </c>
      <c r="P233" s="27">
        <v>155.9</v>
      </c>
      <c r="Q233" s="27">
        <v>142.69999999999999</v>
      </c>
      <c r="R233" s="21">
        <f t="shared" si="22"/>
        <v>1814.1000000000001</v>
      </c>
      <c r="S233" s="21">
        <v>148.6</v>
      </c>
      <c r="T233" s="21">
        <v>140.4</v>
      </c>
      <c r="U233" s="21">
        <v>147.4</v>
      </c>
      <c r="V233" s="21">
        <f t="shared" si="23"/>
        <v>436.4</v>
      </c>
      <c r="W233" s="22">
        <v>149.4</v>
      </c>
      <c r="X233" s="21">
        <v>141.19999999999999</v>
      </c>
      <c r="Y233" s="21">
        <v>143.80000000000001</v>
      </c>
      <c r="Z233" s="22">
        <f t="shared" si="24"/>
        <v>434.40000000000003</v>
      </c>
      <c r="AA233" s="21">
        <v>147.4</v>
      </c>
      <c r="AB233" s="21">
        <v>134.30000000000001</v>
      </c>
      <c r="AC233" s="21">
        <f t="shared" si="25"/>
        <v>281.70000000000005</v>
      </c>
      <c r="AD233" s="27">
        <v>124.6</v>
      </c>
      <c r="AE233" s="27">
        <v>139.6</v>
      </c>
      <c r="AF233" s="27">
        <v>152.5</v>
      </c>
      <c r="AG233" s="21">
        <f t="shared" si="26"/>
        <v>292.10000000000002</v>
      </c>
      <c r="AH233" s="27">
        <v>164.9</v>
      </c>
      <c r="AI233" s="27">
        <v>138.6</v>
      </c>
      <c r="AJ233" s="21">
        <f t="shared" si="27"/>
        <v>303.5</v>
      </c>
      <c r="AK233" s="21">
        <v>142.9</v>
      </c>
    </row>
    <row r="234" spans="1:37">
      <c r="A234" s="21" t="s">
        <v>30</v>
      </c>
      <c r="B234" s="26">
        <v>2019</v>
      </c>
      <c r="C234" s="21" t="s">
        <v>40</v>
      </c>
      <c r="D234" s="21" t="str">
        <f t="shared" si="21"/>
        <v>No</v>
      </c>
      <c r="E234" s="27">
        <v>138.4</v>
      </c>
      <c r="F234" s="27">
        <v>164</v>
      </c>
      <c r="G234" s="27">
        <v>138.4</v>
      </c>
      <c r="H234" s="27">
        <v>143.9</v>
      </c>
      <c r="I234" s="27">
        <v>124.4</v>
      </c>
      <c r="J234" s="27">
        <v>146.4</v>
      </c>
      <c r="K234" s="27">
        <v>150.1</v>
      </c>
      <c r="L234" s="27">
        <v>130.6</v>
      </c>
      <c r="M234" s="27">
        <v>110.8</v>
      </c>
      <c r="N234" s="27">
        <v>141.69999999999999</v>
      </c>
      <c r="O234" s="27">
        <v>138.5</v>
      </c>
      <c r="P234" s="27">
        <v>156.69999999999999</v>
      </c>
      <c r="Q234" s="27">
        <v>143</v>
      </c>
      <c r="R234" s="21">
        <f t="shared" si="22"/>
        <v>1826.8999999999999</v>
      </c>
      <c r="S234" s="21">
        <v>151.6</v>
      </c>
      <c r="T234" s="21">
        <v>146.6</v>
      </c>
      <c r="U234" s="21">
        <v>150.9</v>
      </c>
      <c r="V234" s="21">
        <f t="shared" si="23"/>
        <v>449.1</v>
      </c>
      <c r="W234" s="22">
        <v>139.25</v>
      </c>
      <c r="X234" s="21">
        <v>146.80000000000001</v>
      </c>
      <c r="Y234" s="21">
        <v>150</v>
      </c>
      <c r="Z234" s="22">
        <f t="shared" si="24"/>
        <v>436.05</v>
      </c>
      <c r="AA234" s="21">
        <v>152.19999999999999</v>
      </c>
      <c r="AB234" s="21">
        <v>136.1</v>
      </c>
      <c r="AC234" s="21">
        <f t="shared" si="25"/>
        <v>288.29999999999995</v>
      </c>
      <c r="AD234" s="27">
        <v>131.19999999999999</v>
      </c>
      <c r="AE234" s="27">
        <v>147.5</v>
      </c>
      <c r="AF234" s="27">
        <v>159.1</v>
      </c>
      <c r="AG234" s="21">
        <f t="shared" si="26"/>
        <v>306.60000000000002</v>
      </c>
      <c r="AH234" s="27">
        <v>164.5</v>
      </c>
      <c r="AI234" s="27">
        <v>144.19999999999999</v>
      </c>
      <c r="AJ234" s="21">
        <f t="shared" si="27"/>
        <v>308.7</v>
      </c>
      <c r="AK234" s="21">
        <v>144.9</v>
      </c>
    </row>
    <row r="235" spans="1:37">
      <c r="A235" s="21" t="s">
        <v>33</v>
      </c>
      <c r="B235" s="26">
        <v>2019</v>
      </c>
      <c r="C235" s="21" t="s">
        <v>40</v>
      </c>
      <c r="D235" s="21" t="str">
        <f t="shared" si="21"/>
        <v>No</v>
      </c>
      <c r="E235" s="27">
        <v>141.4</v>
      </c>
      <c r="F235" s="27">
        <v>160.19999999999999</v>
      </c>
      <c r="G235" s="27">
        <v>142.5</v>
      </c>
      <c r="H235" s="27">
        <v>144.1</v>
      </c>
      <c r="I235" s="27">
        <v>119.3</v>
      </c>
      <c r="J235" s="27">
        <v>154.69999999999999</v>
      </c>
      <c r="K235" s="27">
        <v>180.1</v>
      </c>
      <c r="L235" s="27">
        <v>128.9</v>
      </c>
      <c r="M235" s="27">
        <v>111.8</v>
      </c>
      <c r="N235" s="27">
        <v>141.6</v>
      </c>
      <c r="O235" s="27">
        <v>129.5</v>
      </c>
      <c r="P235" s="27">
        <v>155.6</v>
      </c>
      <c r="Q235" s="27">
        <v>147.69999999999999</v>
      </c>
      <c r="R235" s="21">
        <f t="shared" si="22"/>
        <v>1857.3999999999999</v>
      </c>
      <c r="S235" s="21">
        <v>144.69999999999999</v>
      </c>
      <c r="T235" s="21">
        <v>131.9</v>
      </c>
      <c r="U235" s="21">
        <v>142.69999999999999</v>
      </c>
      <c r="V235" s="21">
        <f t="shared" si="23"/>
        <v>419.3</v>
      </c>
      <c r="W235" s="22">
        <v>150.6</v>
      </c>
      <c r="X235" s="21">
        <v>127</v>
      </c>
      <c r="Y235" s="21">
        <v>137.69999999999999</v>
      </c>
      <c r="Z235" s="22">
        <f t="shared" si="24"/>
        <v>415.3</v>
      </c>
      <c r="AA235" s="21">
        <v>140.80000000000001</v>
      </c>
      <c r="AB235" s="21">
        <v>135.1</v>
      </c>
      <c r="AC235" s="21">
        <f t="shared" si="25"/>
        <v>275.89999999999998</v>
      </c>
      <c r="AD235" s="27">
        <v>120.6</v>
      </c>
      <c r="AE235" s="27">
        <v>135</v>
      </c>
      <c r="AF235" s="27">
        <v>150.4</v>
      </c>
      <c r="AG235" s="21">
        <f t="shared" si="26"/>
        <v>285.39999999999998</v>
      </c>
      <c r="AH235" s="27">
        <v>167.2</v>
      </c>
      <c r="AI235" s="27">
        <v>134.5</v>
      </c>
      <c r="AJ235" s="21">
        <f t="shared" si="27"/>
        <v>301.7</v>
      </c>
      <c r="AK235" s="21">
        <v>143.30000000000001</v>
      </c>
    </row>
    <row r="236" spans="1:37">
      <c r="A236" s="21" t="s">
        <v>34</v>
      </c>
      <c r="B236" s="26">
        <v>2019</v>
      </c>
      <c r="C236" s="21" t="s">
        <v>40</v>
      </c>
      <c r="D236" s="21" t="str">
        <f t="shared" si="21"/>
        <v>No</v>
      </c>
      <c r="E236" s="27">
        <v>139.30000000000001</v>
      </c>
      <c r="F236" s="27">
        <v>162.69999999999999</v>
      </c>
      <c r="G236" s="27">
        <v>140</v>
      </c>
      <c r="H236" s="27">
        <v>144</v>
      </c>
      <c r="I236" s="27">
        <v>122.5</v>
      </c>
      <c r="J236" s="27">
        <v>150.30000000000001</v>
      </c>
      <c r="K236" s="27">
        <v>160.30000000000001</v>
      </c>
      <c r="L236" s="27">
        <v>130</v>
      </c>
      <c r="M236" s="27">
        <v>111.1</v>
      </c>
      <c r="N236" s="27">
        <v>141.69999999999999</v>
      </c>
      <c r="O236" s="27">
        <v>134.69999999999999</v>
      </c>
      <c r="P236" s="27">
        <v>156.19999999999999</v>
      </c>
      <c r="Q236" s="27">
        <v>144.69999999999999</v>
      </c>
      <c r="R236" s="21">
        <f t="shared" si="22"/>
        <v>1837.5</v>
      </c>
      <c r="S236" s="21">
        <v>148.9</v>
      </c>
      <c r="T236" s="21">
        <v>140.5</v>
      </c>
      <c r="U236" s="21">
        <v>147.6</v>
      </c>
      <c r="V236" s="21">
        <f t="shared" si="23"/>
        <v>437</v>
      </c>
      <c r="W236" s="22">
        <v>150.6</v>
      </c>
      <c r="X236" s="21">
        <v>139.30000000000001</v>
      </c>
      <c r="Y236" s="21">
        <v>144.19999999999999</v>
      </c>
      <c r="Z236" s="22">
        <f t="shared" si="24"/>
        <v>434.09999999999997</v>
      </c>
      <c r="AA236" s="21">
        <v>147.9</v>
      </c>
      <c r="AB236" s="21">
        <v>135.69999999999999</v>
      </c>
      <c r="AC236" s="21">
        <f t="shared" si="25"/>
        <v>283.60000000000002</v>
      </c>
      <c r="AD236" s="27">
        <v>125.6</v>
      </c>
      <c r="AE236" s="27">
        <v>140.5</v>
      </c>
      <c r="AF236" s="27">
        <v>154</v>
      </c>
      <c r="AG236" s="21">
        <f t="shared" si="26"/>
        <v>294.5</v>
      </c>
      <c r="AH236" s="27">
        <v>165.2</v>
      </c>
      <c r="AI236" s="27">
        <v>139.5</v>
      </c>
      <c r="AJ236" s="21">
        <f t="shared" si="27"/>
        <v>304.7</v>
      </c>
      <c r="AK236" s="21">
        <v>144.19999999999999</v>
      </c>
    </row>
    <row r="237" spans="1:37">
      <c r="A237" s="21" t="s">
        <v>30</v>
      </c>
      <c r="B237" s="26">
        <v>2019</v>
      </c>
      <c r="C237" s="21" t="s">
        <v>41</v>
      </c>
      <c r="D237" s="21" t="str">
        <f t="shared" si="21"/>
        <v>No</v>
      </c>
      <c r="E237" s="27">
        <v>139.19999999999999</v>
      </c>
      <c r="F237" s="27">
        <v>161.9</v>
      </c>
      <c r="G237" s="27">
        <v>137.1</v>
      </c>
      <c r="H237" s="27">
        <v>144.6</v>
      </c>
      <c r="I237" s="27">
        <v>124.7</v>
      </c>
      <c r="J237" s="27">
        <v>145.5</v>
      </c>
      <c r="K237" s="27">
        <v>156.19999999999999</v>
      </c>
      <c r="L237" s="27">
        <v>131.5</v>
      </c>
      <c r="M237" s="27">
        <v>111.7</v>
      </c>
      <c r="N237" s="27">
        <v>142.69999999999999</v>
      </c>
      <c r="O237" s="27">
        <v>138.5</v>
      </c>
      <c r="P237" s="27">
        <v>156.9</v>
      </c>
      <c r="Q237" s="27">
        <v>144</v>
      </c>
      <c r="R237" s="21">
        <f t="shared" si="22"/>
        <v>1834.5000000000002</v>
      </c>
      <c r="S237" s="21">
        <v>151.80000000000001</v>
      </c>
      <c r="T237" s="21">
        <v>146.6</v>
      </c>
      <c r="U237" s="21">
        <v>151.1</v>
      </c>
      <c r="V237" s="21">
        <f t="shared" si="23"/>
        <v>449.5</v>
      </c>
      <c r="W237" s="22">
        <v>139.25</v>
      </c>
      <c r="X237" s="21">
        <v>146.4</v>
      </c>
      <c r="Y237" s="21">
        <v>150.19999999999999</v>
      </c>
      <c r="Z237" s="22">
        <f t="shared" si="24"/>
        <v>435.84999999999997</v>
      </c>
      <c r="AA237" s="21">
        <v>152.69999999999999</v>
      </c>
      <c r="AB237" s="21">
        <v>138.80000000000001</v>
      </c>
      <c r="AC237" s="21">
        <f t="shared" si="25"/>
        <v>291.5</v>
      </c>
      <c r="AD237" s="27">
        <v>131.4</v>
      </c>
      <c r="AE237" s="27">
        <v>148</v>
      </c>
      <c r="AF237" s="27">
        <v>159.69999999999999</v>
      </c>
      <c r="AG237" s="21">
        <f t="shared" si="26"/>
        <v>307.7</v>
      </c>
      <c r="AH237" s="27">
        <v>165.1</v>
      </c>
      <c r="AI237" s="27">
        <v>144.9</v>
      </c>
      <c r="AJ237" s="21">
        <f t="shared" si="27"/>
        <v>310</v>
      </c>
      <c r="AK237" s="21">
        <v>145.69999999999999</v>
      </c>
    </row>
    <row r="238" spans="1:37">
      <c r="A238" s="21" t="s">
        <v>33</v>
      </c>
      <c r="B238" s="26">
        <v>2019</v>
      </c>
      <c r="C238" s="21" t="s">
        <v>41</v>
      </c>
      <c r="D238" s="21" t="str">
        <f t="shared" si="21"/>
        <v>No</v>
      </c>
      <c r="E238" s="27">
        <v>142.1</v>
      </c>
      <c r="F238" s="27">
        <v>158.30000000000001</v>
      </c>
      <c r="G238" s="27">
        <v>140.80000000000001</v>
      </c>
      <c r="H238" s="27">
        <v>144.9</v>
      </c>
      <c r="I238" s="27">
        <v>119.9</v>
      </c>
      <c r="J238" s="27">
        <v>153.9</v>
      </c>
      <c r="K238" s="27">
        <v>189.1</v>
      </c>
      <c r="L238" s="27">
        <v>129.80000000000001</v>
      </c>
      <c r="M238" s="27">
        <v>112.7</v>
      </c>
      <c r="N238" s="27">
        <v>142.5</v>
      </c>
      <c r="O238" s="27">
        <v>129.80000000000001</v>
      </c>
      <c r="P238" s="27">
        <v>156.19999999999999</v>
      </c>
      <c r="Q238" s="27">
        <v>149.1</v>
      </c>
      <c r="R238" s="21">
        <f t="shared" si="22"/>
        <v>1869.1</v>
      </c>
      <c r="S238" s="21">
        <v>145</v>
      </c>
      <c r="T238" s="21">
        <v>132.19999999999999</v>
      </c>
      <c r="U238" s="21">
        <v>143</v>
      </c>
      <c r="V238" s="21">
        <f t="shared" si="23"/>
        <v>420.2</v>
      </c>
      <c r="W238" s="22">
        <v>151.6</v>
      </c>
      <c r="X238" s="21">
        <v>125.5</v>
      </c>
      <c r="Y238" s="21">
        <v>138.1</v>
      </c>
      <c r="Z238" s="22">
        <f t="shared" si="24"/>
        <v>415.20000000000005</v>
      </c>
      <c r="AA238" s="21">
        <v>141.5</v>
      </c>
      <c r="AB238" s="21">
        <v>137.80000000000001</v>
      </c>
      <c r="AC238" s="21">
        <f t="shared" si="25"/>
        <v>279.3</v>
      </c>
      <c r="AD238" s="27">
        <v>120.8</v>
      </c>
      <c r="AE238" s="27">
        <v>135.4</v>
      </c>
      <c r="AF238" s="27">
        <v>151.5</v>
      </c>
      <c r="AG238" s="21">
        <f t="shared" si="26"/>
        <v>286.89999999999998</v>
      </c>
      <c r="AH238" s="27">
        <v>167.9</v>
      </c>
      <c r="AI238" s="27">
        <v>135.30000000000001</v>
      </c>
      <c r="AJ238" s="21">
        <f t="shared" si="27"/>
        <v>303.20000000000005</v>
      </c>
      <c r="AK238" s="21">
        <v>144.19999999999999</v>
      </c>
    </row>
    <row r="239" spans="1:37">
      <c r="A239" s="21" t="s">
        <v>34</v>
      </c>
      <c r="B239" s="26">
        <v>2019</v>
      </c>
      <c r="C239" s="21" t="s">
        <v>41</v>
      </c>
      <c r="D239" s="21" t="str">
        <f t="shared" si="21"/>
        <v>No</v>
      </c>
      <c r="E239" s="27">
        <v>140.1</v>
      </c>
      <c r="F239" s="27">
        <v>160.6</v>
      </c>
      <c r="G239" s="27">
        <v>138.5</v>
      </c>
      <c r="H239" s="27">
        <v>144.69999999999999</v>
      </c>
      <c r="I239" s="27">
        <v>122.9</v>
      </c>
      <c r="J239" s="27">
        <v>149.4</v>
      </c>
      <c r="K239" s="27">
        <v>167.4</v>
      </c>
      <c r="L239" s="27">
        <v>130.9</v>
      </c>
      <c r="M239" s="27">
        <v>112</v>
      </c>
      <c r="N239" s="27">
        <v>142.6</v>
      </c>
      <c r="O239" s="27">
        <v>134.9</v>
      </c>
      <c r="P239" s="27">
        <v>156.6</v>
      </c>
      <c r="Q239" s="27">
        <v>145.9</v>
      </c>
      <c r="R239" s="21">
        <f t="shared" si="22"/>
        <v>1846.5</v>
      </c>
      <c r="S239" s="21">
        <v>149.1</v>
      </c>
      <c r="T239" s="21">
        <v>140.6</v>
      </c>
      <c r="U239" s="21">
        <v>147.9</v>
      </c>
      <c r="V239" s="21">
        <f t="shared" si="23"/>
        <v>437.6</v>
      </c>
      <c r="W239" s="22">
        <v>151.6</v>
      </c>
      <c r="X239" s="21">
        <v>138.5</v>
      </c>
      <c r="Y239" s="21">
        <v>144.5</v>
      </c>
      <c r="Z239" s="22">
        <f t="shared" si="24"/>
        <v>434.6</v>
      </c>
      <c r="AA239" s="21">
        <v>148.5</v>
      </c>
      <c r="AB239" s="21">
        <v>138.4</v>
      </c>
      <c r="AC239" s="21">
        <f t="shared" si="25"/>
        <v>286.89999999999998</v>
      </c>
      <c r="AD239" s="27">
        <v>125.8</v>
      </c>
      <c r="AE239" s="27">
        <v>140.9</v>
      </c>
      <c r="AF239" s="27">
        <v>154.9</v>
      </c>
      <c r="AG239" s="21">
        <f t="shared" si="26"/>
        <v>295.8</v>
      </c>
      <c r="AH239" s="27">
        <v>165.8</v>
      </c>
      <c r="AI239" s="27">
        <v>140.19999999999999</v>
      </c>
      <c r="AJ239" s="21">
        <f t="shared" si="27"/>
        <v>306</v>
      </c>
      <c r="AK239" s="21">
        <v>145</v>
      </c>
    </row>
    <row r="240" spans="1:37">
      <c r="A240" s="21" t="s">
        <v>30</v>
      </c>
      <c r="B240" s="26">
        <v>2019</v>
      </c>
      <c r="C240" s="21" t="s">
        <v>42</v>
      </c>
      <c r="D240" s="21" t="str">
        <f t="shared" si="21"/>
        <v>No</v>
      </c>
      <c r="E240" s="27">
        <v>140.1</v>
      </c>
      <c r="F240" s="27">
        <v>161.9</v>
      </c>
      <c r="G240" s="27">
        <v>138.30000000000001</v>
      </c>
      <c r="H240" s="27">
        <v>145.69999999999999</v>
      </c>
      <c r="I240" s="27">
        <v>125.1</v>
      </c>
      <c r="J240" s="27">
        <v>143.80000000000001</v>
      </c>
      <c r="K240" s="27">
        <v>163.4</v>
      </c>
      <c r="L240" s="27">
        <v>132.19999999999999</v>
      </c>
      <c r="M240" s="27">
        <v>112.8</v>
      </c>
      <c r="N240" s="27">
        <v>144.19999999999999</v>
      </c>
      <c r="O240" s="27">
        <v>138.5</v>
      </c>
      <c r="P240" s="27">
        <v>157.19999999999999</v>
      </c>
      <c r="Q240" s="27">
        <v>145.5</v>
      </c>
      <c r="R240" s="21">
        <f t="shared" si="22"/>
        <v>1848.7</v>
      </c>
      <c r="S240" s="21">
        <v>151.69999999999999</v>
      </c>
      <c r="T240" s="21">
        <v>146.6</v>
      </c>
      <c r="U240" s="21">
        <v>151</v>
      </c>
      <c r="V240" s="21">
        <f t="shared" si="23"/>
        <v>449.29999999999995</v>
      </c>
      <c r="W240" s="22">
        <v>139.25</v>
      </c>
      <c r="X240" s="21">
        <v>146.9</v>
      </c>
      <c r="Y240" s="21">
        <v>150.30000000000001</v>
      </c>
      <c r="Z240" s="22">
        <f t="shared" si="24"/>
        <v>436.45</v>
      </c>
      <c r="AA240" s="21">
        <v>153.4</v>
      </c>
      <c r="AB240" s="21">
        <v>140.19999999999999</v>
      </c>
      <c r="AC240" s="21">
        <f t="shared" si="25"/>
        <v>293.60000000000002</v>
      </c>
      <c r="AD240" s="27">
        <v>131.6</v>
      </c>
      <c r="AE240" s="27">
        <v>148.30000000000001</v>
      </c>
      <c r="AF240" s="27">
        <v>160.19999999999999</v>
      </c>
      <c r="AG240" s="21">
        <f t="shared" si="26"/>
        <v>308.5</v>
      </c>
      <c r="AH240" s="27">
        <v>165.7</v>
      </c>
      <c r="AI240" s="27">
        <v>145.4</v>
      </c>
      <c r="AJ240" s="21">
        <f t="shared" si="27"/>
        <v>311.10000000000002</v>
      </c>
      <c r="AK240" s="21">
        <v>146.69999999999999</v>
      </c>
    </row>
    <row r="241" spans="1:37">
      <c r="A241" s="21" t="s">
        <v>33</v>
      </c>
      <c r="B241" s="26">
        <v>2019</v>
      </c>
      <c r="C241" s="21" t="s">
        <v>42</v>
      </c>
      <c r="D241" s="21" t="str">
        <f t="shared" si="21"/>
        <v>No</v>
      </c>
      <c r="E241" s="27">
        <v>142.69999999999999</v>
      </c>
      <c r="F241" s="27">
        <v>158.69999999999999</v>
      </c>
      <c r="G241" s="27">
        <v>141.6</v>
      </c>
      <c r="H241" s="27">
        <v>144.9</v>
      </c>
      <c r="I241" s="27">
        <v>120.8</v>
      </c>
      <c r="J241" s="27">
        <v>149.80000000000001</v>
      </c>
      <c r="K241" s="27">
        <v>192.4</v>
      </c>
      <c r="L241" s="27">
        <v>130.30000000000001</v>
      </c>
      <c r="M241" s="27">
        <v>114</v>
      </c>
      <c r="N241" s="27">
        <v>143.80000000000001</v>
      </c>
      <c r="O241" s="27">
        <v>130</v>
      </c>
      <c r="P241" s="27">
        <v>156.4</v>
      </c>
      <c r="Q241" s="27">
        <v>149.5</v>
      </c>
      <c r="R241" s="21">
        <f t="shared" si="22"/>
        <v>1874.9</v>
      </c>
      <c r="S241" s="21">
        <v>145.30000000000001</v>
      </c>
      <c r="T241" s="21">
        <v>132.19999999999999</v>
      </c>
      <c r="U241" s="21">
        <v>143.30000000000001</v>
      </c>
      <c r="V241" s="21">
        <f t="shared" si="23"/>
        <v>420.8</v>
      </c>
      <c r="W241" s="22">
        <v>152.19999999999999</v>
      </c>
      <c r="X241" s="21">
        <v>126.6</v>
      </c>
      <c r="Y241" s="21">
        <v>138.30000000000001</v>
      </c>
      <c r="Z241" s="22">
        <f t="shared" si="24"/>
        <v>417.09999999999997</v>
      </c>
      <c r="AA241" s="21">
        <v>141.9</v>
      </c>
      <c r="AB241" s="21">
        <v>139</v>
      </c>
      <c r="AC241" s="21">
        <f t="shared" si="25"/>
        <v>280.89999999999998</v>
      </c>
      <c r="AD241" s="27">
        <v>121.2</v>
      </c>
      <c r="AE241" s="27">
        <v>135.9</v>
      </c>
      <c r="AF241" s="27">
        <v>151.6</v>
      </c>
      <c r="AG241" s="21">
        <f t="shared" si="26"/>
        <v>287.5</v>
      </c>
      <c r="AH241" s="27">
        <v>168.6</v>
      </c>
      <c r="AI241" s="27">
        <v>135.69999999999999</v>
      </c>
      <c r="AJ241" s="21">
        <f t="shared" si="27"/>
        <v>304.29999999999995</v>
      </c>
      <c r="AK241" s="21">
        <v>144.69999999999999</v>
      </c>
    </row>
    <row r="242" spans="1:37">
      <c r="A242" s="21" t="s">
        <v>34</v>
      </c>
      <c r="B242" s="26">
        <v>2019</v>
      </c>
      <c r="C242" s="21" t="s">
        <v>42</v>
      </c>
      <c r="D242" s="21" t="str">
        <f t="shared" si="21"/>
        <v>No</v>
      </c>
      <c r="E242" s="27">
        <v>140.9</v>
      </c>
      <c r="F242" s="27">
        <v>160.80000000000001</v>
      </c>
      <c r="G242" s="27">
        <v>139.6</v>
      </c>
      <c r="H242" s="27">
        <v>145.4</v>
      </c>
      <c r="I242" s="27">
        <v>123.5</v>
      </c>
      <c r="J242" s="27">
        <v>146.6</v>
      </c>
      <c r="K242" s="27">
        <v>173.2</v>
      </c>
      <c r="L242" s="27">
        <v>131.6</v>
      </c>
      <c r="M242" s="27">
        <v>113.2</v>
      </c>
      <c r="N242" s="27">
        <v>144.1</v>
      </c>
      <c r="O242" s="27">
        <v>135</v>
      </c>
      <c r="P242" s="27">
        <v>156.80000000000001</v>
      </c>
      <c r="Q242" s="27">
        <v>147</v>
      </c>
      <c r="R242" s="21">
        <f t="shared" si="22"/>
        <v>1857.6999999999998</v>
      </c>
      <c r="S242" s="21">
        <v>149.19999999999999</v>
      </c>
      <c r="T242" s="21">
        <v>140.6</v>
      </c>
      <c r="U242" s="21">
        <v>147.9</v>
      </c>
      <c r="V242" s="21">
        <f t="shared" si="23"/>
        <v>437.69999999999993</v>
      </c>
      <c r="W242" s="22">
        <v>152.19999999999999</v>
      </c>
      <c r="X242" s="21">
        <v>139.19999999999999</v>
      </c>
      <c r="Y242" s="21">
        <v>144.6</v>
      </c>
      <c r="Z242" s="22">
        <f t="shared" si="24"/>
        <v>436</v>
      </c>
      <c r="AA242" s="21">
        <v>149</v>
      </c>
      <c r="AB242" s="21">
        <v>139.69999999999999</v>
      </c>
      <c r="AC242" s="21">
        <f t="shared" si="25"/>
        <v>288.7</v>
      </c>
      <c r="AD242" s="27">
        <v>126.1</v>
      </c>
      <c r="AE242" s="27">
        <v>141.30000000000001</v>
      </c>
      <c r="AF242" s="27">
        <v>155.19999999999999</v>
      </c>
      <c r="AG242" s="21">
        <f t="shared" si="26"/>
        <v>296.5</v>
      </c>
      <c r="AH242" s="27">
        <v>166.5</v>
      </c>
      <c r="AI242" s="27">
        <v>140.69999999999999</v>
      </c>
      <c r="AJ242" s="21">
        <f t="shared" si="27"/>
        <v>307.2</v>
      </c>
      <c r="AK242" s="21">
        <v>145.80000000000001</v>
      </c>
    </row>
    <row r="243" spans="1:37">
      <c r="A243" s="21" t="s">
        <v>30</v>
      </c>
      <c r="B243" s="26">
        <v>2019</v>
      </c>
      <c r="C243" s="21" t="s">
        <v>43</v>
      </c>
      <c r="D243" s="21" t="str">
        <f t="shared" si="21"/>
        <v>No</v>
      </c>
      <c r="E243" s="27">
        <v>141</v>
      </c>
      <c r="F243" s="27">
        <v>161.6</v>
      </c>
      <c r="G243" s="27">
        <v>141.19999999999999</v>
      </c>
      <c r="H243" s="27">
        <v>146.5</v>
      </c>
      <c r="I243" s="27">
        <v>125.6</v>
      </c>
      <c r="J243" s="27">
        <v>145.69999999999999</v>
      </c>
      <c r="K243" s="27">
        <v>178.8</v>
      </c>
      <c r="L243" s="27">
        <v>133.1</v>
      </c>
      <c r="M243" s="27">
        <v>113.6</v>
      </c>
      <c r="N243" s="27">
        <v>145.5</v>
      </c>
      <c r="O243" s="27">
        <v>138.6</v>
      </c>
      <c r="P243" s="27">
        <v>157.4</v>
      </c>
      <c r="Q243" s="27">
        <v>148.30000000000001</v>
      </c>
      <c r="R243" s="21">
        <f t="shared" si="22"/>
        <v>1876.8999999999996</v>
      </c>
      <c r="S243" s="21">
        <v>151.69999999999999</v>
      </c>
      <c r="T243" s="21">
        <v>146.69999999999999</v>
      </c>
      <c r="U243" s="21">
        <v>151</v>
      </c>
      <c r="V243" s="21">
        <f t="shared" si="23"/>
        <v>449.4</v>
      </c>
      <c r="W243" s="22">
        <v>139.25</v>
      </c>
      <c r="X243" s="21">
        <v>147.69999999999999</v>
      </c>
      <c r="Y243" s="21">
        <v>150.6</v>
      </c>
      <c r="Z243" s="22">
        <f t="shared" si="24"/>
        <v>437.54999999999995</v>
      </c>
      <c r="AA243" s="21">
        <v>153.69999999999999</v>
      </c>
      <c r="AB243" s="21">
        <v>140.30000000000001</v>
      </c>
      <c r="AC243" s="21">
        <f t="shared" si="25"/>
        <v>294</v>
      </c>
      <c r="AD243" s="27">
        <v>131.69999999999999</v>
      </c>
      <c r="AE243" s="27">
        <v>148.69999999999999</v>
      </c>
      <c r="AF243" s="27">
        <v>160.69999999999999</v>
      </c>
      <c r="AG243" s="21">
        <f t="shared" si="26"/>
        <v>309.39999999999998</v>
      </c>
      <c r="AH243" s="27">
        <v>166.3</v>
      </c>
      <c r="AI243" s="27">
        <v>145.69999999999999</v>
      </c>
      <c r="AJ243" s="21">
        <f t="shared" si="27"/>
        <v>312</v>
      </c>
      <c r="AK243" s="21">
        <v>148.30000000000001</v>
      </c>
    </row>
    <row r="244" spans="1:37">
      <c r="A244" s="21" t="s">
        <v>33</v>
      </c>
      <c r="B244" s="26">
        <v>2019</v>
      </c>
      <c r="C244" s="21" t="s">
        <v>43</v>
      </c>
      <c r="D244" s="21" t="str">
        <f t="shared" si="21"/>
        <v>No</v>
      </c>
      <c r="E244" s="27">
        <v>143.5</v>
      </c>
      <c r="F244" s="27">
        <v>159.80000000000001</v>
      </c>
      <c r="G244" s="27">
        <v>144.69999999999999</v>
      </c>
      <c r="H244" s="27">
        <v>145.6</v>
      </c>
      <c r="I244" s="27">
        <v>121.1</v>
      </c>
      <c r="J244" s="27">
        <v>150.6</v>
      </c>
      <c r="K244" s="27">
        <v>207.2</v>
      </c>
      <c r="L244" s="27">
        <v>131.19999999999999</v>
      </c>
      <c r="M244" s="27">
        <v>114.8</v>
      </c>
      <c r="N244" s="27">
        <v>145.19999999999999</v>
      </c>
      <c r="O244" s="27">
        <v>130.19999999999999</v>
      </c>
      <c r="P244" s="27">
        <v>156.80000000000001</v>
      </c>
      <c r="Q244" s="27">
        <v>151.9</v>
      </c>
      <c r="R244" s="21">
        <f t="shared" si="22"/>
        <v>1902.6000000000001</v>
      </c>
      <c r="S244" s="21">
        <v>145.9</v>
      </c>
      <c r="T244" s="21">
        <v>132.4</v>
      </c>
      <c r="U244" s="21">
        <v>143.9</v>
      </c>
      <c r="V244" s="21">
        <f t="shared" si="23"/>
        <v>422.20000000000005</v>
      </c>
      <c r="W244" s="22">
        <v>153</v>
      </c>
      <c r="X244" s="21">
        <v>128.9</v>
      </c>
      <c r="Y244" s="21">
        <v>138.69999999999999</v>
      </c>
      <c r="Z244" s="22">
        <f t="shared" si="24"/>
        <v>420.59999999999997</v>
      </c>
      <c r="AA244" s="21">
        <v>142.4</v>
      </c>
      <c r="AB244" s="21">
        <v>139.5</v>
      </c>
      <c r="AC244" s="21">
        <f t="shared" si="25"/>
        <v>281.89999999999998</v>
      </c>
      <c r="AD244" s="27">
        <v>121.5</v>
      </c>
      <c r="AE244" s="27">
        <v>136.19999999999999</v>
      </c>
      <c r="AF244" s="27">
        <v>151.69999999999999</v>
      </c>
      <c r="AG244" s="21">
        <f t="shared" si="26"/>
        <v>287.89999999999998</v>
      </c>
      <c r="AH244" s="27">
        <v>169.3</v>
      </c>
      <c r="AI244" s="27">
        <v>136</v>
      </c>
      <c r="AJ244" s="21">
        <f t="shared" si="27"/>
        <v>305.3</v>
      </c>
      <c r="AK244" s="21">
        <v>146</v>
      </c>
    </row>
    <row r="245" spans="1:37">
      <c r="A245" s="21" t="s">
        <v>34</v>
      </c>
      <c r="B245" s="26">
        <v>2019</v>
      </c>
      <c r="C245" s="21" t="s">
        <v>43</v>
      </c>
      <c r="D245" s="21" t="str">
        <f t="shared" si="21"/>
        <v>No</v>
      </c>
      <c r="E245" s="27">
        <v>141.80000000000001</v>
      </c>
      <c r="F245" s="27">
        <v>161</v>
      </c>
      <c r="G245" s="27">
        <v>142.6</v>
      </c>
      <c r="H245" s="27">
        <v>146.19999999999999</v>
      </c>
      <c r="I245" s="27">
        <v>123.9</v>
      </c>
      <c r="J245" s="27">
        <v>148</v>
      </c>
      <c r="K245" s="27">
        <v>188.4</v>
      </c>
      <c r="L245" s="27">
        <v>132.5</v>
      </c>
      <c r="M245" s="27">
        <v>114</v>
      </c>
      <c r="N245" s="27">
        <v>145.4</v>
      </c>
      <c r="O245" s="27">
        <v>135.1</v>
      </c>
      <c r="P245" s="27">
        <v>157.1</v>
      </c>
      <c r="Q245" s="27">
        <v>149.6</v>
      </c>
      <c r="R245" s="21">
        <f t="shared" si="22"/>
        <v>1885.5999999999997</v>
      </c>
      <c r="S245" s="21">
        <v>149.4</v>
      </c>
      <c r="T245" s="21">
        <v>140.80000000000001</v>
      </c>
      <c r="U245" s="21">
        <v>148.19999999999999</v>
      </c>
      <c r="V245" s="21">
        <f t="shared" si="23"/>
        <v>438.40000000000003</v>
      </c>
      <c r="W245" s="22">
        <v>153</v>
      </c>
      <c r="X245" s="21">
        <v>140.6</v>
      </c>
      <c r="Y245" s="21">
        <v>145</v>
      </c>
      <c r="Z245" s="22">
        <f t="shared" si="24"/>
        <v>438.6</v>
      </c>
      <c r="AA245" s="21">
        <v>149.4</v>
      </c>
      <c r="AB245" s="21">
        <v>140</v>
      </c>
      <c r="AC245" s="21">
        <f t="shared" si="25"/>
        <v>289.39999999999998</v>
      </c>
      <c r="AD245" s="27">
        <v>126.3</v>
      </c>
      <c r="AE245" s="27">
        <v>141.69999999999999</v>
      </c>
      <c r="AF245" s="27">
        <v>155.4</v>
      </c>
      <c r="AG245" s="21">
        <f t="shared" si="26"/>
        <v>297.10000000000002</v>
      </c>
      <c r="AH245" s="27">
        <v>167.1</v>
      </c>
      <c r="AI245" s="27">
        <v>141</v>
      </c>
      <c r="AJ245" s="21">
        <f t="shared" si="27"/>
        <v>308.10000000000002</v>
      </c>
      <c r="AK245" s="21">
        <v>147.19999999999999</v>
      </c>
    </row>
    <row r="246" spans="1:37">
      <c r="A246" s="21" t="s">
        <v>30</v>
      </c>
      <c r="B246" s="26">
        <v>2019</v>
      </c>
      <c r="C246" s="21" t="s">
        <v>45</v>
      </c>
      <c r="D246" s="21" t="str">
        <f t="shared" si="21"/>
        <v>No</v>
      </c>
      <c r="E246" s="27">
        <v>141.80000000000001</v>
      </c>
      <c r="F246" s="27">
        <v>163.69999999999999</v>
      </c>
      <c r="G246" s="27">
        <v>143.80000000000001</v>
      </c>
      <c r="H246" s="27">
        <v>147.1</v>
      </c>
      <c r="I246" s="27">
        <v>126</v>
      </c>
      <c r="J246" s="27">
        <v>146.19999999999999</v>
      </c>
      <c r="K246" s="27">
        <v>191.4</v>
      </c>
      <c r="L246" s="27">
        <v>136.19999999999999</v>
      </c>
      <c r="M246" s="27">
        <v>113.8</v>
      </c>
      <c r="N246" s="27">
        <v>147.30000000000001</v>
      </c>
      <c r="O246" s="27">
        <v>138.69999999999999</v>
      </c>
      <c r="P246" s="27">
        <v>157.69999999999999</v>
      </c>
      <c r="Q246" s="27">
        <v>150.9</v>
      </c>
      <c r="R246" s="21">
        <f t="shared" si="22"/>
        <v>1904.6000000000001</v>
      </c>
      <c r="S246" s="21">
        <v>152.30000000000001</v>
      </c>
      <c r="T246" s="21">
        <v>147</v>
      </c>
      <c r="U246" s="21">
        <v>151.5</v>
      </c>
      <c r="V246" s="21">
        <f t="shared" si="23"/>
        <v>450.8</v>
      </c>
      <c r="W246" s="22">
        <v>139.25</v>
      </c>
      <c r="X246" s="21">
        <v>148.4</v>
      </c>
      <c r="Y246" s="21">
        <v>150.9</v>
      </c>
      <c r="Z246" s="22">
        <f t="shared" si="24"/>
        <v>438.54999999999995</v>
      </c>
      <c r="AA246" s="21">
        <v>154.30000000000001</v>
      </c>
      <c r="AB246" s="21">
        <v>140.6</v>
      </c>
      <c r="AC246" s="21">
        <f t="shared" si="25"/>
        <v>294.89999999999998</v>
      </c>
      <c r="AD246" s="27">
        <v>132.1</v>
      </c>
      <c r="AE246" s="27">
        <v>149.1</v>
      </c>
      <c r="AF246" s="27">
        <v>160.80000000000001</v>
      </c>
      <c r="AG246" s="21">
        <f t="shared" si="26"/>
        <v>309.89999999999998</v>
      </c>
      <c r="AH246" s="27">
        <v>167.2</v>
      </c>
      <c r="AI246" s="27">
        <v>146.1</v>
      </c>
      <c r="AJ246" s="21">
        <f t="shared" si="27"/>
        <v>313.29999999999995</v>
      </c>
      <c r="AK246" s="21">
        <v>149.9</v>
      </c>
    </row>
    <row r="247" spans="1:37">
      <c r="A247" s="21" t="s">
        <v>33</v>
      </c>
      <c r="B247" s="26">
        <v>2019</v>
      </c>
      <c r="C247" s="21" t="s">
        <v>45</v>
      </c>
      <c r="D247" s="21" t="str">
        <f t="shared" si="21"/>
        <v>No</v>
      </c>
      <c r="E247" s="27">
        <v>144.1</v>
      </c>
      <c r="F247" s="27">
        <v>162.4</v>
      </c>
      <c r="G247" s="27">
        <v>148.4</v>
      </c>
      <c r="H247" s="27">
        <v>145.9</v>
      </c>
      <c r="I247" s="27">
        <v>121.5</v>
      </c>
      <c r="J247" s="27">
        <v>148.80000000000001</v>
      </c>
      <c r="K247" s="27">
        <v>215.7</v>
      </c>
      <c r="L247" s="27">
        <v>134.6</v>
      </c>
      <c r="M247" s="27">
        <v>115</v>
      </c>
      <c r="N247" s="27">
        <v>146.30000000000001</v>
      </c>
      <c r="O247" s="27">
        <v>130.5</v>
      </c>
      <c r="P247" s="27">
        <v>157.19999999999999</v>
      </c>
      <c r="Q247" s="27">
        <v>153.6</v>
      </c>
      <c r="R247" s="21">
        <f t="shared" si="22"/>
        <v>1923.9999999999998</v>
      </c>
      <c r="S247" s="21">
        <v>146.30000000000001</v>
      </c>
      <c r="T247" s="21">
        <v>132.6</v>
      </c>
      <c r="U247" s="21">
        <v>144.19999999999999</v>
      </c>
      <c r="V247" s="21">
        <f t="shared" si="23"/>
        <v>423.09999999999997</v>
      </c>
      <c r="W247" s="22">
        <v>153.5</v>
      </c>
      <c r="X247" s="21">
        <v>132.19999999999999</v>
      </c>
      <c r="Y247" s="21">
        <v>139.1</v>
      </c>
      <c r="Z247" s="22">
        <f t="shared" si="24"/>
        <v>424.79999999999995</v>
      </c>
      <c r="AA247" s="21">
        <v>142.80000000000001</v>
      </c>
      <c r="AB247" s="21">
        <v>139.80000000000001</v>
      </c>
      <c r="AC247" s="21">
        <f t="shared" si="25"/>
        <v>282.60000000000002</v>
      </c>
      <c r="AD247" s="27">
        <v>121.7</v>
      </c>
      <c r="AE247" s="27">
        <v>136.69999999999999</v>
      </c>
      <c r="AF247" s="27">
        <v>151.80000000000001</v>
      </c>
      <c r="AG247" s="21">
        <f t="shared" si="26"/>
        <v>288.5</v>
      </c>
      <c r="AH247" s="27">
        <v>169.9</v>
      </c>
      <c r="AI247" s="27">
        <v>136.30000000000001</v>
      </c>
      <c r="AJ247" s="21">
        <f t="shared" si="27"/>
        <v>306.20000000000005</v>
      </c>
      <c r="AK247" s="21">
        <v>147</v>
      </c>
    </row>
    <row r="248" spans="1:37">
      <c r="A248" s="21" t="s">
        <v>34</v>
      </c>
      <c r="B248" s="26">
        <v>2019</v>
      </c>
      <c r="C248" s="21" t="s">
        <v>45</v>
      </c>
      <c r="D248" s="21" t="str">
        <f t="shared" si="21"/>
        <v>No</v>
      </c>
      <c r="E248" s="27">
        <v>142.5</v>
      </c>
      <c r="F248" s="27">
        <v>163.19999999999999</v>
      </c>
      <c r="G248" s="27">
        <v>145.6</v>
      </c>
      <c r="H248" s="27">
        <v>146.69999999999999</v>
      </c>
      <c r="I248" s="27">
        <v>124.3</v>
      </c>
      <c r="J248" s="27">
        <v>147.4</v>
      </c>
      <c r="K248" s="27">
        <v>199.6</v>
      </c>
      <c r="L248" s="27">
        <v>135.69999999999999</v>
      </c>
      <c r="M248" s="27">
        <v>114.2</v>
      </c>
      <c r="N248" s="27">
        <v>147</v>
      </c>
      <c r="O248" s="27">
        <v>135.30000000000001</v>
      </c>
      <c r="P248" s="27">
        <v>157.5</v>
      </c>
      <c r="Q248" s="27">
        <v>151.9</v>
      </c>
      <c r="R248" s="21">
        <f t="shared" si="22"/>
        <v>1910.9</v>
      </c>
      <c r="S248" s="21">
        <v>149.9</v>
      </c>
      <c r="T248" s="21">
        <v>141</v>
      </c>
      <c r="U248" s="21">
        <v>148.6</v>
      </c>
      <c r="V248" s="21">
        <f t="shared" si="23"/>
        <v>439.5</v>
      </c>
      <c r="W248" s="22">
        <v>153.5</v>
      </c>
      <c r="X248" s="21">
        <v>142.30000000000001</v>
      </c>
      <c r="Y248" s="21">
        <v>145.30000000000001</v>
      </c>
      <c r="Z248" s="22">
        <f t="shared" si="24"/>
        <v>441.1</v>
      </c>
      <c r="AA248" s="21">
        <v>149.9</v>
      </c>
      <c r="AB248" s="21">
        <v>140.30000000000001</v>
      </c>
      <c r="AC248" s="21">
        <f t="shared" si="25"/>
        <v>290.20000000000005</v>
      </c>
      <c r="AD248" s="27">
        <v>126.6</v>
      </c>
      <c r="AE248" s="27">
        <v>142.1</v>
      </c>
      <c r="AF248" s="27">
        <v>155.5</v>
      </c>
      <c r="AG248" s="21">
        <f t="shared" si="26"/>
        <v>297.60000000000002</v>
      </c>
      <c r="AH248" s="27">
        <v>167.9</v>
      </c>
      <c r="AI248" s="27">
        <v>141.30000000000001</v>
      </c>
      <c r="AJ248" s="21">
        <f t="shared" si="27"/>
        <v>309.20000000000005</v>
      </c>
      <c r="AK248" s="21">
        <v>148.6</v>
      </c>
    </row>
    <row r="249" spans="1:37">
      <c r="A249" s="21" t="s">
        <v>30</v>
      </c>
      <c r="B249" s="26">
        <v>2019</v>
      </c>
      <c r="C249" s="21" t="s">
        <v>46</v>
      </c>
      <c r="D249" s="21" t="str">
        <f t="shared" si="21"/>
        <v>No</v>
      </c>
      <c r="E249" s="27">
        <v>142.80000000000001</v>
      </c>
      <c r="F249" s="27">
        <v>165.3</v>
      </c>
      <c r="G249" s="27">
        <v>149.5</v>
      </c>
      <c r="H249" s="27">
        <v>148.69999999999999</v>
      </c>
      <c r="I249" s="27">
        <v>127.5</v>
      </c>
      <c r="J249" s="27">
        <v>144.30000000000001</v>
      </c>
      <c r="K249" s="27">
        <v>209.5</v>
      </c>
      <c r="L249" s="27">
        <v>138.80000000000001</v>
      </c>
      <c r="M249" s="27">
        <v>113.6</v>
      </c>
      <c r="N249" s="27">
        <v>149.1</v>
      </c>
      <c r="O249" s="27">
        <v>139.30000000000001</v>
      </c>
      <c r="P249" s="27">
        <v>158.30000000000001</v>
      </c>
      <c r="Q249" s="27">
        <v>154.30000000000001</v>
      </c>
      <c r="R249" s="21">
        <f t="shared" si="22"/>
        <v>1940.9999999999995</v>
      </c>
      <c r="S249" s="21">
        <v>152.6</v>
      </c>
      <c r="T249" s="21">
        <v>147.30000000000001</v>
      </c>
      <c r="U249" s="21">
        <v>151.9</v>
      </c>
      <c r="V249" s="21">
        <f t="shared" si="23"/>
        <v>451.79999999999995</v>
      </c>
      <c r="W249" s="22">
        <v>139.25</v>
      </c>
      <c r="X249" s="21">
        <v>149.9</v>
      </c>
      <c r="Y249" s="21">
        <v>151.19999999999999</v>
      </c>
      <c r="Z249" s="22">
        <f t="shared" si="24"/>
        <v>440.34999999999997</v>
      </c>
      <c r="AA249" s="21">
        <v>154.80000000000001</v>
      </c>
      <c r="AB249" s="21">
        <v>140.6</v>
      </c>
      <c r="AC249" s="21">
        <f t="shared" si="25"/>
        <v>295.39999999999998</v>
      </c>
      <c r="AD249" s="27">
        <v>135</v>
      </c>
      <c r="AE249" s="27">
        <v>149.5</v>
      </c>
      <c r="AF249" s="27">
        <v>161.1</v>
      </c>
      <c r="AG249" s="21">
        <f t="shared" si="26"/>
        <v>310.60000000000002</v>
      </c>
      <c r="AH249" s="27">
        <v>167.8</v>
      </c>
      <c r="AI249" s="27">
        <v>147.1</v>
      </c>
      <c r="AJ249" s="21">
        <f t="shared" si="27"/>
        <v>314.89999999999998</v>
      </c>
      <c r="AK249" s="21">
        <v>152.30000000000001</v>
      </c>
    </row>
    <row r="250" spans="1:37">
      <c r="A250" s="21" t="s">
        <v>33</v>
      </c>
      <c r="B250" s="26">
        <v>2019</v>
      </c>
      <c r="C250" s="21" t="s">
        <v>46</v>
      </c>
      <c r="D250" s="21" t="str">
        <f t="shared" si="21"/>
        <v>No</v>
      </c>
      <c r="E250" s="27">
        <v>144.9</v>
      </c>
      <c r="F250" s="27">
        <v>164.5</v>
      </c>
      <c r="G250" s="27">
        <v>153.69999999999999</v>
      </c>
      <c r="H250" s="27">
        <v>147.5</v>
      </c>
      <c r="I250" s="27">
        <v>122.7</v>
      </c>
      <c r="J250" s="27">
        <v>147.19999999999999</v>
      </c>
      <c r="K250" s="27">
        <v>231.5</v>
      </c>
      <c r="L250" s="27">
        <v>137.19999999999999</v>
      </c>
      <c r="M250" s="27">
        <v>114.7</v>
      </c>
      <c r="N250" s="27">
        <v>148</v>
      </c>
      <c r="O250" s="27">
        <v>130.80000000000001</v>
      </c>
      <c r="P250" s="27">
        <v>157.69999999999999</v>
      </c>
      <c r="Q250" s="27">
        <v>156.30000000000001</v>
      </c>
      <c r="R250" s="21">
        <f t="shared" si="22"/>
        <v>1956.7</v>
      </c>
      <c r="S250" s="21">
        <v>146.80000000000001</v>
      </c>
      <c r="T250" s="21">
        <v>132.80000000000001</v>
      </c>
      <c r="U250" s="21">
        <v>144.6</v>
      </c>
      <c r="V250" s="21">
        <f t="shared" si="23"/>
        <v>424.20000000000005</v>
      </c>
      <c r="W250" s="22">
        <v>152.80000000000001</v>
      </c>
      <c r="X250" s="21">
        <v>133.6</v>
      </c>
      <c r="Y250" s="21">
        <v>139.80000000000001</v>
      </c>
      <c r="Z250" s="22">
        <f t="shared" si="24"/>
        <v>426.2</v>
      </c>
      <c r="AA250" s="21">
        <v>143.19999999999999</v>
      </c>
      <c r="AB250" s="21">
        <v>140.19999999999999</v>
      </c>
      <c r="AC250" s="21">
        <f t="shared" si="25"/>
        <v>283.39999999999998</v>
      </c>
      <c r="AD250" s="27">
        <v>125.2</v>
      </c>
      <c r="AE250" s="27">
        <v>136.80000000000001</v>
      </c>
      <c r="AF250" s="27">
        <v>151.9</v>
      </c>
      <c r="AG250" s="21">
        <f t="shared" si="26"/>
        <v>288.70000000000005</v>
      </c>
      <c r="AH250" s="27">
        <v>170.4</v>
      </c>
      <c r="AI250" s="27">
        <v>137.69999999999999</v>
      </c>
      <c r="AJ250" s="21">
        <f t="shared" si="27"/>
        <v>308.10000000000002</v>
      </c>
      <c r="AK250" s="21">
        <v>148.30000000000001</v>
      </c>
    </row>
    <row r="251" spans="1:37">
      <c r="A251" s="21" t="s">
        <v>34</v>
      </c>
      <c r="B251" s="26">
        <v>2019</v>
      </c>
      <c r="C251" s="21" t="s">
        <v>46</v>
      </c>
      <c r="D251" s="21" t="str">
        <f t="shared" si="21"/>
        <v>No</v>
      </c>
      <c r="E251" s="27">
        <v>143.5</v>
      </c>
      <c r="F251" s="27">
        <v>165</v>
      </c>
      <c r="G251" s="27">
        <v>151.1</v>
      </c>
      <c r="H251" s="27">
        <v>148.30000000000001</v>
      </c>
      <c r="I251" s="27">
        <v>125.7</v>
      </c>
      <c r="J251" s="27">
        <v>145.69999999999999</v>
      </c>
      <c r="K251" s="27">
        <v>217</v>
      </c>
      <c r="L251" s="27">
        <v>138.30000000000001</v>
      </c>
      <c r="M251" s="27">
        <v>114</v>
      </c>
      <c r="N251" s="27">
        <v>148.69999999999999</v>
      </c>
      <c r="O251" s="27">
        <v>135.80000000000001</v>
      </c>
      <c r="P251" s="27">
        <v>158</v>
      </c>
      <c r="Q251" s="27">
        <v>155</v>
      </c>
      <c r="R251" s="21">
        <f t="shared" si="22"/>
        <v>1946.1000000000001</v>
      </c>
      <c r="S251" s="21">
        <v>150.30000000000001</v>
      </c>
      <c r="T251" s="21">
        <v>141.30000000000001</v>
      </c>
      <c r="U251" s="21">
        <v>149</v>
      </c>
      <c r="V251" s="21">
        <f t="shared" si="23"/>
        <v>440.6</v>
      </c>
      <c r="W251" s="22">
        <v>152.80000000000001</v>
      </c>
      <c r="X251" s="21">
        <v>143.69999999999999</v>
      </c>
      <c r="Y251" s="21">
        <v>145.80000000000001</v>
      </c>
      <c r="Z251" s="22">
        <f t="shared" si="24"/>
        <v>442.3</v>
      </c>
      <c r="AA251" s="21">
        <v>150.4</v>
      </c>
      <c r="AB251" s="21">
        <v>140.4</v>
      </c>
      <c r="AC251" s="21">
        <f t="shared" si="25"/>
        <v>290.8</v>
      </c>
      <c r="AD251" s="27">
        <v>129.80000000000001</v>
      </c>
      <c r="AE251" s="27">
        <v>142.30000000000001</v>
      </c>
      <c r="AF251" s="27">
        <v>155.69999999999999</v>
      </c>
      <c r="AG251" s="21">
        <f t="shared" si="26"/>
        <v>298</v>
      </c>
      <c r="AH251" s="27">
        <v>168.5</v>
      </c>
      <c r="AI251" s="27">
        <v>142.5</v>
      </c>
      <c r="AJ251" s="21">
        <f t="shared" si="27"/>
        <v>311</v>
      </c>
      <c r="AK251" s="21">
        <v>150.4</v>
      </c>
    </row>
    <row r="252" spans="1:37">
      <c r="A252" s="21" t="s">
        <v>30</v>
      </c>
      <c r="B252" s="26">
        <v>2020</v>
      </c>
      <c r="C252" s="21" t="s">
        <v>31</v>
      </c>
      <c r="D252" s="21" t="str">
        <f t="shared" si="21"/>
        <v>No</v>
      </c>
      <c r="E252" s="27">
        <v>143.69999999999999</v>
      </c>
      <c r="F252" s="27">
        <v>167.3</v>
      </c>
      <c r="G252" s="27">
        <v>153.5</v>
      </c>
      <c r="H252" s="27">
        <v>150.5</v>
      </c>
      <c r="I252" s="27">
        <v>132</v>
      </c>
      <c r="J252" s="27">
        <v>142.19999999999999</v>
      </c>
      <c r="K252" s="27">
        <v>191.5</v>
      </c>
      <c r="L252" s="27">
        <v>141.1</v>
      </c>
      <c r="M252" s="27">
        <v>113.8</v>
      </c>
      <c r="N252" s="27">
        <v>151.6</v>
      </c>
      <c r="O252" s="27">
        <v>139.69999999999999</v>
      </c>
      <c r="P252" s="27">
        <v>158.69999999999999</v>
      </c>
      <c r="Q252" s="27">
        <v>153</v>
      </c>
      <c r="R252" s="21">
        <f t="shared" si="22"/>
        <v>1938.6</v>
      </c>
      <c r="S252" s="21">
        <v>152.80000000000001</v>
      </c>
      <c r="T252" s="21">
        <v>147.4</v>
      </c>
      <c r="U252" s="21">
        <v>152.1</v>
      </c>
      <c r="V252" s="21">
        <f t="shared" si="23"/>
        <v>452.30000000000007</v>
      </c>
      <c r="W252" s="22">
        <v>139.25</v>
      </c>
      <c r="X252" s="21">
        <v>150.4</v>
      </c>
      <c r="Y252" s="21">
        <v>151.69999999999999</v>
      </c>
      <c r="Z252" s="22">
        <f t="shared" si="24"/>
        <v>441.34999999999997</v>
      </c>
      <c r="AA252" s="21">
        <v>155.69999999999999</v>
      </c>
      <c r="AB252" s="21">
        <v>142.5</v>
      </c>
      <c r="AC252" s="21">
        <f t="shared" si="25"/>
        <v>298.2</v>
      </c>
      <c r="AD252" s="27">
        <v>136.30000000000001</v>
      </c>
      <c r="AE252" s="27">
        <v>150.1</v>
      </c>
      <c r="AF252" s="27">
        <v>161.69999999999999</v>
      </c>
      <c r="AG252" s="21">
        <f t="shared" si="26"/>
        <v>311.79999999999995</v>
      </c>
      <c r="AH252" s="27">
        <v>168.6</v>
      </c>
      <c r="AI252" s="27">
        <v>148.1</v>
      </c>
      <c r="AJ252" s="21">
        <f t="shared" si="27"/>
        <v>316.7</v>
      </c>
      <c r="AK252" s="21">
        <v>151.9</v>
      </c>
    </row>
    <row r="253" spans="1:37">
      <c r="A253" s="21" t="s">
        <v>33</v>
      </c>
      <c r="B253" s="26">
        <v>2020</v>
      </c>
      <c r="C253" s="21" t="s">
        <v>31</v>
      </c>
      <c r="D253" s="21" t="str">
        <f t="shared" si="21"/>
        <v>No</v>
      </c>
      <c r="E253" s="27">
        <v>145.6</v>
      </c>
      <c r="F253" s="27">
        <v>167.6</v>
      </c>
      <c r="G253" s="27">
        <v>157</v>
      </c>
      <c r="H253" s="27">
        <v>149.30000000000001</v>
      </c>
      <c r="I253" s="27">
        <v>126.3</v>
      </c>
      <c r="J253" s="27">
        <v>144.4</v>
      </c>
      <c r="K253" s="27">
        <v>207.8</v>
      </c>
      <c r="L253" s="27">
        <v>139.1</v>
      </c>
      <c r="M253" s="27">
        <v>114.8</v>
      </c>
      <c r="N253" s="27">
        <v>149.5</v>
      </c>
      <c r="O253" s="27">
        <v>131.1</v>
      </c>
      <c r="P253" s="27">
        <v>158.5</v>
      </c>
      <c r="Q253" s="27">
        <v>154.4</v>
      </c>
      <c r="R253" s="21">
        <f t="shared" si="22"/>
        <v>1945.3999999999999</v>
      </c>
      <c r="S253" s="21">
        <v>147</v>
      </c>
      <c r="T253" s="21">
        <v>133.19999999999999</v>
      </c>
      <c r="U253" s="21">
        <v>144.9</v>
      </c>
      <c r="V253" s="21">
        <f t="shared" si="23"/>
        <v>425.1</v>
      </c>
      <c r="W253" s="22">
        <v>153.9</v>
      </c>
      <c r="X253" s="21">
        <v>135.1</v>
      </c>
      <c r="Y253" s="21">
        <v>140.1</v>
      </c>
      <c r="Z253" s="22">
        <f t="shared" si="24"/>
        <v>429.1</v>
      </c>
      <c r="AA253" s="21">
        <v>143.80000000000001</v>
      </c>
      <c r="AB253" s="21">
        <v>142.1</v>
      </c>
      <c r="AC253" s="21">
        <f t="shared" si="25"/>
        <v>285.89999999999998</v>
      </c>
      <c r="AD253" s="27">
        <v>126.1</v>
      </c>
      <c r="AE253" s="27">
        <v>137.19999999999999</v>
      </c>
      <c r="AF253" s="27">
        <v>152.1</v>
      </c>
      <c r="AG253" s="21">
        <f t="shared" si="26"/>
        <v>289.29999999999995</v>
      </c>
      <c r="AH253" s="27">
        <v>170.8</v>
      </c>
      <c r="AI253" s="27">
        <v>138.4</v>
      </c>
      <c r="AJ253" s="21">
        <f t="shared" si="27"/>
        <v>309.20000000000005</v>
      </c>
      <c r="AK253" s="21">
        <v>148.19999999999999</v>
      </c>
    </row>
    <row r="254" spans="1:37">
      <c r="A254" s="21" t="s">
        <v>34</v>
      </c>
      <c r="B254" s="26">
        <v>2020</v>
      </c>
      <c r="C254" s="21" t="s">
        <v>31</v>
      </c>
      <c r="D254" s="21" t="str">
        <f t="shared" si="21"/>
        <v>No</v>
      </c>
      <c r="E254" s="27">
        <v>144.30000000000001</v>
      </c>
      <c r="F254" s="27">
        <v>167.4</v>
      </c>
      <c r="G254" s="27">
        <v>154.9</v>
      </c>
      <c r="H254" s="27">
        <v>150.1</v>
      </c>
      <c r="I254" s="27">
        <v>129.9</v>
      </c>
      <c r="J254" s="27">
        <v>143.19999999999999</v>
      </c>
      <c r="K254" s="27">
        <v>197</v>
      </c>
      <c r="L254" s="27">
        <v>140.4</v>
      </c>
      <c r="M254" s="27">
        <v>114.1</v>
      </c>
      <c r="N254" s="27">
        <v>150.9</v>
      </c>
      <c r="O254" s="27">
        <v>136.1</v>
      </c>
      <c r="P254" s="27">
        <v>158.6</v>
      </c>
      <c r="Q254" s="27">
        <v>153.5</v>
      </c>
      <c r="R254" s="21">
        <f t="shared" si="22"/>
        <v>1940.3999999999999</v>
      </c>
      <c r="S254" s="21">
        <v>150.5</v>
      </c>
      <c r="T254" s="21">
        <v>141.5</v>
      </c>
      <c r="U254" s="21">
        <v>149.19999999999999</v>
      </c>
      <c r="V254" s="21">
        <f t="shared" si="23"/>
        <v>441.2</v>
      </c>
      <c r="W254" s="22">
        <v>153.9</v>
      </c>
      <c r="X254" s="21">
        <v>144.6</v>
      </c>
      <c r="Y254" s="21">
        <v>146.19999999999999</v>
      </c>
      <c r="Z254" s="22">
        <f t="shared" si="24"/>
        <v>444.7</v>
      </c>
      <c r="AA254" s="21">
        <v>151.19999999999999</v>
      </c>
      <c r="AB254" s="21">
        <v>142.30000000000001</v>
      </c>
      <c r="AC254" s="21">
        <f t="shared" si="25"/>
        <v>293.5</v>
      </c>
      <c r="AD254" s="27">
        <v>130.9</v>
      </c>
      <c r="AE254" s="27">
        <v>142.80000000000001</v>
      </c>
      <c r="AF254" s="27">
        <v>156.1</v>
      </c>
      <c r="AG254" s="21">
        <f t="shared" si="26"/>
        <v>298.89999999999998</v>
      </c>
      <c r="AH254" s="27">
        <v>169.2</v>
      </c>
      <c r="AI254" s="27">
        <v>143.4</v>
      </c>
      <c r="AJ254" s="21">
        <f t="shared" si="27"/>
        <v>312.60000000000002</v>
      </c>
      <c r="AK254" s="21">
        <v>150.19999999999999</v>
      </c>
    </row>
    <row r="255" spans="1:37">
      <c r="A255" s="21" t="s">
        <v>30</v>
      </c>
      <c r="B255" s="26">
        <v>2020</v>
      </c>
      <c r="C255" s="21" t="s">
        <v>35</v>
      </c>
      <c r="D255" s="21" t="str">
        <f t="shared" si="21"/>
        <v>No</v>
      </c>
      <c r="E255" s="27">
        <v>144.19999999999999</v>
      </c>
      <c r="F255" s="27">
        <v>167.5</v>
      </c>
      <c r="G255" s="27">
        <v>150.9</v>
      </c>
      <c r="H255" s="27">
        <v>150.9</v>
      </c>
      <c r="I255" s="27">
        <v>133.69999999999999</v>
      </c>
      <c r="J255" s="27">
        <v>140.69999999999999</v>
      </c>
      <c r="K255" s="27">
        <v>165.1</v>
      </c>
      <c r="L255" s="27">
        <v>141.80000000000001</v>
      </c>
      <c r="M255" s="27">
        <v>113.1</v>
      </c>
      <c r="N255" s="27">
        <v>152.80000000000001</v>
      </c>
      <c r="O255" s="27">
        <v>140.1</v>
      </c>
      <c r="P255" s="27">
        <v>159.19999999999999</v>
      </c>
      <c r="Q255" s="27">
        <v>149.80000000000001</v>
      </c>
      <c r="R255" s="21">
        <f t="shared" si="22"/>
        <v>1909.7999999999997</v>
      </c>
      <c r="S255" s="21">
        <v>153</v>
      </c>
      <c r="T255" s="21">
        <v>147.5</v>
      </c>
      <c r="U255" s="21">
        <v>152.30000000000001</v>
      </c>
      <c r="V255" s="21">
        <f t="shared" si="23"/>
        <v>452.8</v>
      </c>
      <c r="W255" s="22">
        <v>139.25</v>
      </c>
      <c r="X255" s="21">
        <v>152.30000000000001</v>
      </c>
      <c r="Y255" s="21">
        <v>151.80000000000001</v>
      </c>
      <c r="Z255" s="22">
        <f t="shared" si="24"/>
        <v>443.35</v>
      </c>
      <c r="AA255" s="21">
        <v>156.19999999999999</v>
      </c>
      <c r="AB255" s="21">
        <v>143.4</v>
      </c>
      <c r="AC255" s="21">
        <f t="shared" si="25"/>
        <v>299.60000000000002</v>
      </c>
      <c r="AD255" s="27">
        <v>136</v>
      </c>
      <c r="AE255" s="27">
        <v>150.4</v>
      </c>
      <c r="AF255" s="27">
        <v>161.9</v>
      </c>
      <c r="AG255" s="21">
        <f t="shared" si="26"/>
        <v>312.3</v>
      </c>
      <c r="AH255" s="27">
        <v>169.4</v>
      </c>
      <c r="AI255" s="27">
        <v>148.4</v>
      </c>
      <c r="AJ255" s="21">
        <f t="shared" si="27"/>
        <v>317.8</v>
      </c>
      <c r="AK255" s="21">
        <v>150.4</v>
      </c>
    </row>
    <row r="256" spans="1:37">
      <c r="A256" s="21" t="s">
        <v>33</v>
      </c>
      <c r="B256" s="26">
        <v>2020</v>
      </c>
      <c r="C256" s="21" t="s">
        <v>35</v>
      </c>
      <c r="D256" s="21" t="str">
        <f t="shared" si="21"/>
        <v>No</v>
      </c>
      <c r="E256" s="27">
        <v>146.19999999999999</v>
      </c>
      <c r="F256" s="27">
        <v>167.6</v>
      </c>
      <c r="G256" s="27">
        <v>153.1</v>
      </c>
      <c r="H256" s="27">
        <v>150.69999999999999</v>
      </c>
      <c r="I256" s="27">
        <v>127.4</v>
      </c>
      <c r="J256" s="27">
        <v>143.1</v>
      </c>
      <c r="K256" s="27">
        <v>181.7</v>
      </c>
      <c r="L256" s="27">
        <v>139.6</v>
      </c>
      <c r="M256" s="27">
        <v>114.6</v>
      </c>
      <c r="N256" s="27">
        <v>150.4</v>
      </c>
      <c r="O256" s="27">
        <v>131.5</v>
      </c>
      <c r="P256" s="27">
        <v>159</v>
      </c>
      <c r="Q256" s="27">
        <v>151.69999999999999</v>
      </c>
      <c r="R256" s="21">
        <f t="shared" si="22"/>
        <v>1916.6</v>
      </c>
      <c r="S256" s="21">
        <v>147.30000000000001</v>
      </c>
      <c r="T256" s="21">
        <v>133.5</v>
      </c>
      <c r="U256" s="21">
        <v>145.19999999999999</v>
      </c>
      <c r="V256" s="21">
        <f t="shared" si="23"/>
        <v>426</v>
      </c>
      <c r="W256" s="22">
        <v>154.80000000000001</v>
      </c>
      <c r="X256" s="21">
        <v>138.9</v>
      </c>
      <c r="Y256" s="21">
        <v>140.4</v>
      </c>
      <c r="Z256" s="22">
        <f t="shared" si="24"/>
        <v>434.1</v>
      </c>
      <c r="AA256" s="21">
        <v>144.4</v>
      </c>
      <c r="AB256" s="21">
        <v>143.5</v>
      </c>
      <c r="AC256" s="21">
        <f t="shared" si="25"/>
        <v>287.89999999999998</v>
      </c>
      <c r="AD256" s="27">
        <v>125.2</v>
      </c>
      <c r="AE256" s="27">
        <v>137.69999999999999</v>
      </c>
      <c r="AF256" s="27">
        <v>152.19999999999999</v>
      </c>
      <c r="AG256" s="21">
        <f t="shared" si="26"/>
        <v>289.89999999999998</v>
      </c>
      <c r="AH256" s="27">
        <v>172</v>
      </c>
      <c r="AI256" s="27">
        <v>138.4</v>
      </c>
      <c r="AJ256" s="21">
        <f t="shared" si="27"/>
        <v>310.39999999999998</v>
      </c>
      <c r="AK256" s="21">
        <v>147.69999999999999</v>
      </c>
    </row>
    <row r="257" spans="1:37">
      <c r="A257" s="21" t="s">
        <v>34</v>
      </c>
      <c r="B257" s="26">
        <v>2020</v>
      </c>
      <c r="C257" s="21" t="s">
        <v>35</v>
      </c>
      <c r="D257" s="21" t="str">
        <f t="shared" si="21"/>
        <v>No</v>
      </c>
      <c r="E257" s="27">
        <v>144.80000000000001</v>
      </c>
      <c r="F257" s="27">
        <v>167.5</v>
      </c>
      <c r="G257" s="27">
        <v>151.80000000000001</v>
      </c>
      <c r="H257" s="27">
        <v>150.80000000000001</v>
      </c>
      <c r="I257" s="27">
        <v>131.4</v>
      </c>
      <c r="J257" s="27">
        <v>141.80000000000001</v>
      </c>
      <c r="K257" s="27">
        <v>170.7</v>
      </c>
      <c r="L257" s="27">
        <v>141.1</v>
      </c>
      <c r="M257" s="27">
        <v>113.6</v>
      </c>
      <c r="N257" s="27">
        <v>152</v>
      </c>
      <c r="O257" s="27">
        <v>136.5</v>
      </c>
      <c r="P257" s="27">
        <v>159.1</v>
      </c>
      <c r="Q257" s="27">
        <v>150.5</v>
      </c>
      <c r="R257" s="21">
        <f t="shared" si="22"/>
        <v>1911.6</v>
      </c>
      <c r="S257" s="21">
        <v>150.80000000000001</v>
      </c>
      <c r="T257" s="21">
        <v>141.69999999999999</v>
      </c>
      <c r="U257" s="21">
        <v>149.5</v>
      </c>
      <c r="V257" s="21">
        <f t="shared" si="23"/>
        <v>442</v>
      </c>
      <c r="W257" s="22">
        <v>154.80000000000001</v>
      </c>
      <c r="X257" s="21">
        <v>147.19999999999999</v>
      </c>
      <c r="Y257" s="21">
        <v>146.4</v>
      </c>
      <c r="Z257" s="22">
        <f t="shared" si="24"/>
        <v>448.4</v>
      </c>
      <c r="AA257" s="21">
        <v>151.69999999999999</v>
      </c>
      <c r="AB257" s="21">
        <v>143.4</v>
      </c>
      <c r="AC257" s="21">
        <f t="shared" si="25"/>
        <v>295.10000000000002</v>
      </c>
      <c r="AD257" s="27">
        <v>130.30000000000001</v>
      </c>
      <c r="AE257" s="27">
        <v>143.19999999999999</v>
      </c>
      <c r="AF257" s="27">
        <v>156.19999999999999</v>
      </c>
      <c r="AG257" s="21">
        <f t="shared" si="26"/>
        <v>299.39999999999998</v>
      </c>
      <c r="AH257" s="27">
        <v>170.1</v>
      </c>
      <c r="AI257" s="27">
        <v>143.6</v>
      </c>
      <c r="AJ257" s="21">
        <f t="shared" si="27"/>
        <v>313.7</v>
      </c>
      <c r="AK257" s="21">
        <v>149.1</v>
      </c>
    </row>
    <row r="258" spans="1:37">
      <c r="A258" s="21" t="s">
        <v>30</v>
      </c>
      <c r="B258" s="26">
        <v>2020</v>
      </c>
      <c r="C258" s="21" t="s">
        <v>36</v>
      </c>
      <c r="D258" s="21" t="str">
        <f t="shared" si="21"/>
        <v>No</v>
      </c>
      <c r="E258" s="27">
        <v>144.4</v>
      </c>
      <c r="F258" s="27">
        <v>166.8</v>
      </c>
      <c r="G258" s="27">
        <v>147.6</v>
      </c>
      <c r="H258" s="27">
        <v>151.69999999999999</v>
      </c>
      <c r="I258" s="27">
        <v>133.30000000000001</v>
      </c>
      <c r="J258" s="27">
        <v>141.80000000000001</v>
      </c>
      <c r="K258" s="27">
        <v>152.30000000000001</v>
      </c>
      <c r="L258" s="27">
        <v>141.80000000000001</v>
      </c>
      <c r="M258" s="27">
        <v>112.6</v>
      </c>
      <c r="N258" s="27">
        <v>154</v>
      </c>
      <c r="O258" s="27">
        <v>140.1</v>
      </c>
      <c r="P258" s="27">
        <v>160</v>
      </c>
      <c r="Q258" s="27">
        <v>148.19999999999999</v>
      </c>
      <c r="R258" s="21">
        <f t="shared" si="22"/>
        <v>1894.5999999999997</v>
      </c>
      <c r="S258" s="21">
        <v>153.4</v>
      </c>
      <c r="T258" s="21">
        <v>147.6</v>
      </c>
      <c r="U258" s="21">
        <v>152.5</v>
      </c>
      <c r="V258" s="21">
        <f t="shared" si="23"/>
        <v>453.5</v>
      </c>
      <c r="W258" s="22">
        <v>139.25</v>
      </c>
      <c r="X258" s="21">
        <v>153.4</v>
      </c>
      <c r="Y258" s="21">
        <v>151.5</v>
      </c>
      <c r="Z258" s="22">
        <f t="shared" si="24"/>
        <v>444.15</v>
      </c>
      <c r="AA258" s="21">
        <v>156.69999999999999</v>
      </c>
      <c r="AB258" s="21">
        <v>145.1</v>
      </c>
      <c r="AC258" s="21">
        <f t="shared" si="25"/>
        <v>301.79999999999995</v>
      </c>
      <c r="AD258" s="27">
        <v>135.80000000000001</v>
      </c>
      <c r="AE258" s="27">
        <v>151.19999999999999</v>
      </c>
      <c r="AF258" s="27">
        <v>161.19999999999999</v>
      </c>
      <c r="AG258" s="21">
        <f t="shared" si="26"/>
        <v>312.39999999999998</v>
      </c>
      <c r="AH258" s="27">
        <v>170.5</v>
      </c>
      <c r="AI258" s="27">
        <v>148.6</v>
      </c>
      <c r="AJ258" s="21">
        <f t="shared" si="27"/>
        <v>319.10000000000002</v>
      </c>
      <c r="AK258" s="21">
        <v>149.80000000000001</v>
      </c>
    </row>
    <row r="259" spans="1:37">
      <c r="A259" s="21" t="s">
        <v>33</v>
      </c>
      <c r="B259" s="26">
        <v>2020</v>
      </c>
      <c r="C259" s="21" t="s">
        <v>36</v>
      </c>
      <c r="D259" s="21" t="str">
        <f t="shared" si="21"/>
        <v>No</v>
      </c>
      <c r="E259" s="27">
        <v>146.5</v>
      </c>
      <c r="F259" s="27">
        <v>167.5</v>
      </c>
      <c r="G259" s="27">
        <v>148.9</v>
      </c>
      <c r="H259" s="27">
        <v>151.1</v>
      </c>
      <c r="I259" s="27">
        <v>127.5</v>
      </c>
      <c r="J259" s="27">
        <v>143.30000000000001</v>
      </c>
      <c r="K259" s="27">
        <v>167</v>
      </c>
      <c r="L259" s="27">
        <v>139.69999999999999</v>
      </c>
      <c r="M259" s="27">
        <v>114.4</v>
      </c>
      <c r="N259" s="27">
        <v>151.5</v>
      </c>
      <c r="O259" s="27">
        <v>131.9</v>
      </c>
      <c r="P259" s="27">
        <v>159.1</v>
      </c>
      <c r="Q259" s="27">
        <v>150.1</v>
      </c>
      <c r="R259" s="21">
        <f t="shared" si="22"/>
        <v>1898.5</v>
      </c>
      <c r="S259" s="21">
        <v>147.69999999999999</v>
      </c>
      <c r="T259" s="21">
        <v>133.80000000000001</v>
      </c>
      <c r="U259" s="21">
        <v>145.6</v>
      </c>
      <c r="V259" s="21">
        <f t="shared" si="23"/>
        <v>427.1</v>
      </c>
      <c r="W259" s="22">
        <v>154.5</v>
      </c>
      <c r="X259" s="21">
        <v>141.4</v>
      </c>
      <c r="Y259" s="21">
        <v>140.80000000000001</v>
      </c>
      <c r="Z259" s="22">
        <f t="shared" si="24"/>
        <v>436.7</v>
      </c>
      <c r="AA259" s="21">
        <v>145</v>
      </c>
      <c r="AB259" s="21">
        <v>145.30000000000001</v>
      </c>
      <c r="AC259" s="21">
        <f t="shared" si="25"/>
        <v>290.3</v>
      </c>
      <c r="AD259" s="27">
        <v>124.6</v>
      </c>
      <c r="AE259" s="27">
        <v>137.9</v>
      </c>
      <c r="AF259" s="27">
        <v>152.5</v>
      </c>
      <c r="AG259" s="21">
        <f t="shared" si="26"/>
        <v>290.39999999999998</v>
      </c>
      <c r="AH259" s="27">
        <v>173.3</v>
      </c>
      <c r="AI259" s="27">
        <v>138.69999999999999</v>
      </c>
      <c r="AJ259" s="21">
        <f t="shared" si="27"/>
        <v>312</v>
      </c>
      <c r="AK259" s="21">
        <v>147.30000000000001</v>
      </c>
    </row>
    <row r="260" spans="1:37">
      <c r="A260" s="21" t="s">
        <v>34</v>
      </c>
      <c r="B260" s="26">
        <v>2020</v>
      </c>
      <c r="C260" s="21" t="s">
        <v>36</v>
      </c>
      <c r="D260" s="21" t="str">
        <f t="shared" ref="D260:D323" si="28">IF(H260&gt;120,IF(M260&gt;120,"Yes","No"),"No")</f>
        <v>No</v>
      </c>
      <c r="E260" s="27">
        <v>145.1</v>
      </c>
      <c r="F260" s="27">
        <v>167</v>
      </c>
      <c r="G260" s="27">
        <v>148.1</v>
      </c>
      <c r="H260" s="27">
        <v>151.5</v>
      </c>
      <c r="I260" s="27">
        <v>131.19999999999999</v>
      </c>
      <c r="J260" s="27">
        <v>142.5</v>
      </c>
      <c r="K260" s="27">
        <v>157.30000000000001</v>
      </c>
      <c r="L260" s="27">
        <v>141.1</v>
      </c>
      <c r="M260" s="27">
        <v>113.2</v>
      </c>
      <c r="N260" s="27">
        <v>153.19999999999999</v>
      </c>
      <c r="O260" s="27">
        <v>136.69999999999999</v>
      </c>
      <c r="P260" s="27">
        <v>159.6</v>
      </c>
      <c r="Q260" s="27">
        <v>148.9</v>
      </c>
      <c r="R260" s="21">
        <f t="shared" ref="R260:R323" si="29">SUM(E260:Q260)</f>
        <v>1895.4</v>
      </c>
      <c r="S260" s="21">
        <v>151.19999999999999</v>
      </c>
      <c r="T260" s="21">
        <v>141.9</v>
      </c>
      <c r="U260" s="21">
        <v>149.80000000000001</v>
      </c>
      <c r="V260" s="21">
        <f t="shared" ref="V260:V323" si="30">SUM(S260:U260)</f>
        <v>442.90000000000003</v>
      </c>
      <c r="W260" s="22">
        <v>154.5</v>
      </c>
      <c r="X260" s="21">
        <v>148.9</v>
      </c>
      <c r="Y260" s="21">
        <v>146.4</v>
      </c>
      <c r="Z260" s="22">
        <f t="shared" ref="Z260:Z323" si="31">SUM(W260:Y260)</f>
        <v>449.79999999999995</v>
      </c>
      <c r="AA260" s="21">
        <v>152.30000000000001</v>
      </c>
      <c r="AB260" s="21">
        <v>145.19999999999999</v>
      </c>
      <c r="AC260" s="21">
        <f t="shared" ref="AC260:AC323" si="32">SUM(AA260:AB260)</f>
        <v>297.5</v>
      </c>
      <c r="AD260" s="27">
        <v>129.9</v>
      </c>
      <c r="AE260" s="27">
        <v>143.69999999999999</v>
      </c>
      <c r="AF260" s="27">
        <v>156.1</v>
      </c>
      <c r="AG260" s="21">
        <f t="shared" ref="AG260:AG323" si="33">SUM(AE260:AF260)</f>
        <v>299.79999999999995</v>
      </c>
      <c r="AH260" s="27">
        <v>171.2</v>
      </c>
      <c r="AI260" s="27">
        <v>143.80000000000001</v>
      </c>
      <c r="AJ260" s="21">
        <f t="shared" ref="AJ260:AJ323" si="34">SUM(AH260:AI260)</f>
        <v>315</v>
      </c>
      <c r="AK260" s="21">
        <v>148.6</v>
      </c>
    </row>
    <row r="261" spans="1:37">
      <c r="A261" s="21" t="s">
        <v>30</v>
      </c>
      <c r="B261" s="26">
        <v>2020</v>
      </c>
      <c r="C261" s="21" t="s">
        <v>37</v>
      </c>
      <c r="D261" s="21" t="str">
        <f t="shared" si="28"/>
        <v>No</v>
      </c>
      <c r="E261" s="27">
        <v>147.19999999999999</v>
      </c>
      <c r="F261" s="27" t="s">
        <v>32</v>
      </c>
      <c r="G261" s="27">
        <v>146.9</v>
      </c>
      <c r="H261" s="27">
        <v>155.6</v>
      </c>
      <c r="I261" s="27">
        <v>137.1</v>
      </c>
      <c r="J261" s="27">
        <v>147.30000000000001</v>
      </c>
      <c r="K261" s="27">
        <v>162.69999999999999</v>
      </c>
      <c r="L261" s="27">
        <v>150.19999999999999</v>
      </c>
      <c r="M261" s="27">
        <v>119.8</v>
      </c>
      <c r="N261" s="27">
        <v>158.69999999999999</v>
      </c>
      <c r="O261" s="27">
        <v>139.19999999999999</v>
      </c>
      <c r="P261" s="27" t="s">
        <v>32</v>
      </c>
      <c r="Q261" s="27">
        <v>150.1</v>
      </c>
      <c r="R261" s="28" t="s">
        <v>32</v>
      </c>
      <c r="S261" s="28" t="s">
        <v>32</v>
      </c>
      <c r="T261" s="28" t="s">
        <v>32</v>
      </c>
      <c r="U261" s="28" t="s">
        <v>32</v>
      </c>
      <c r="V261" s="28" t="s">
        <v>32</v>
      </c>
      <c r="W261" s="28">
        <v>139.25</v>
      </c>
      <c r="X261" s="28">
        <v>148.4</v>
      </c>
      <c r="Y261" s="28" t="s">
        <v>32</v>
      </c>
      <c r="Z261" s="28" t="s">
        <v>32</v>
      </c>
      <c r="AA261" s="28">
        <v>154.30000000000001</v>
      </c>
      <c r="AB261" s="28" t="s">
        <v>32</v>
      </c>
      <c r="AC261" s="28" t="s">
        <v>32</v>
      </c>
      <c r="AD261" s="27" t="s">
        <v>32</v>
      </c>
      <c r="AE261" s="27" t="s">
        <v>32</v>
      </c>
      <c r="AF261" s="27" t="s">
        <v>32</v>
      </c>
      <c r="AG261" s="28" t="s">
        <v>32</v>
      </c>
      <c r="AH261" s="27" t="s">
        <v>32</v>
      </c>
      <c r="AI261" s="27" t="s">
        <v>32</v>
      </c>
      <c r="AJ261" s="28" t="s">
        <v>32</v>
      </c>
      <c r="AK261" s="28" t="s">
        <v>32</v>
      </c>
    </row>
    <row r="262" spans="1:37">
      <c r="A262" s="21" t="s">
        <v>33</v>
      </c>
      <c r="B262" s="26">
        <v>2020</v>
      </c>
      <c r="C262" s="21" t="s">
        <v>37</v>
      </c>
      <c r="D262" s="21" t="str">
        <f t="shared" si="28"/>
        <v>Yes</v>
      </c>
      <c r="E262" s="27">
        <v>151.80000000000001</v>
      </c>
      <c r="F262" s="27" t="s">
        <v>32</v>
      </c>
      <c r="G262" s="27">
        <v>151.9</v>
      </c>
      <c r="H262" s="27">
        <v>155.5</v>
      </c>
      <c r="I262" s="27">
        <v>131.6</v>
      </c>
      <c r="J262" s="27">
        <v>152.9</v>
      </c>
      <c r="K262" s="27">
        <v>180</v>
      </c>
      <c r="L262" s="27">
        <v>150.80000000000001</v>
      </c>
      <c r="M262" s="27">
        <v>121.2</v>
      </c>
      <c r="N262" s="27">
        <v>154</v>
      </c>
      <c r="O262" s="27">
        <v>133.5</v>
      </c>
      <c r="P262" s="27" t="s">
        <v>32</v>
      </c>
      <c r="Q262" s="27">
        <v>153.5</v>
      </c>
      <c r="R262" s="28" t="s">
        <v>32</v>
      </c>
      <c r="S262" s="28" t="s">
        <v>32</v>
      </c>
      <c r="T262" s="28" t="s">
        <v>32</v>
      </c>
      <c r="U262" s="28" t="s">
        <v>32</v>
      </c>
      <c r="V262" s="28" t="s">
        <v>32</v>
      </c>
      <c r="W262" s="28">
        <v>155.6</v>
      </c>
      <c r="X262" s="28">
        <v>137.1</v>
      </c>
      <c r="Y262" s="28" t="s">
        <v>32</v>
      </c>
      <c r="Z262" s="28" t="s">
        <v>32</v>
      </c>
      <c r="AA262" s="28">
        <v>144.80000000000001</v>
      </c>
      <c r="AB262" s="28" t="s">
        <v>32</v>
      </c>
      <c r="AC262" s="28" t="s">
        <v>32</v>
      </c>
      <c r="AD262" s="27" t="s">
        <v>32</v>
      </c>
      <c r="AE262" s="27" t="s">
        <v>32</v>
      </c>
      <c r="AF262" s="27" t="s">
        <v>32</v>
      </c>
      <c r="AG262" s="28" t="s">
        <v>32</v>
      </c>
      <c r="AH262" s="27" t="s">
        <v>32</v>
      </c>
      <c r="AI262" s="27" t="s">
        <v>32</v>
      </c>
      <c r="AJ262" s="28" t="s">
        <v>32</v>
      </c>
      <c r="AK262" s="28" t="s">
        <v>32</v>
      </c>
    </row>
    <row r="263" spans="1:37">
      <c r="A263" s="21" t="s">
        <v>34</v>
      </c>
      <c r="B263" s="26">
        <v>2020</v>
      </c>
      <c r="C263" s="21" t="s">
        <v>37</v>
      </c>
      <c r="D263" s="21" t="str">
        <f t="shared" si="28"/>
        <v>Yes</v>
      </c>
      <c r="E263" s="27">
        <v>148.69999999999999</v>
      </c>
      <c r="F263" s="27" t="s">
        <v>32</v>
      </c>
      <c r="G263" s="27">
        <v>148.80000000000001</v>
      </c>
      <c r="H263" s="27">
        <v>155.6</v>
      </c>
      <c r="I263" s="27">
        <v>135.1</v>
      </c>
      <c r="J263" s="27">
        <v>149.9</v>
      </c>
      <c r="K263" s="27">
        <v>168.6</v>
      </c>
      <c r="L263" s="27">
        <v>150.4</v>
      </c>
      <c r="M263" s="27">
        <v>120.3</v>
      </c>
      <c r="N263" s="27">
        <v>157.1</v>
      </c>
      <c r="O263" s="27">
        <v>136.80000000000001</v>
      </c>
      <c r="P263" s="27" t="s">
        <v>32</v>
      </c>
      <c r="Q263" s="27">
        <v>151.4</v>
      </c>
      <c r="R263" s="28" t="s">
        <v>32</v>
      </c>
      <c r="S263" s="28" t="s">
        <v>32</v>
      </c>
      <c r="T263" s="28" t="s">
        <v>32</v>
      </c>
      <c r="U263" s="28" t="s">
        <v>32</v>
      </c>
      <c r="V263" s="28" t="s">
        <v>32</v>
      </c>
      <c r="W263" s="28">
        <v>155.6</v>
      </c>
      <c r="X263" s="28">
        <v>144.1</v>
      </c>
      <c r="Y263" s="28" t="s">
        <v>32</v>
      </c>
      <c r="Z263" s="28" t="s">
        <v>32</v>
      </c>
      <c r="AA263" s="28">
        <v>150.69999999999999</v>
      </c>
      <c r="AB263" s="28" t="s">
        <v>32</v>
      </c>
      <c r="AC263" s="28" t="s">
        <v>32</v>
      </c>
      <c r="AD263" s="27" t="s">
        <v>32</v>
      </c>
      <c r="AE263" s="27" t="s">
        <v>32</v>
      </c>
      <c r="AF263" s="27" t="s">
        <v>32</v>
      </c>
      <c r="AG263" s="28" t="s">
        <v>32</v>
      </c>
      <c r="AH263" s="27" t="s">
        <v>32</v>
      </c>
      <c r="AI263" s="27" t="s">
        <v>32</v>
      </c>
      <c r="AJ263" s="28" t="s">
        <v>32</v>
      </c>
      <c r="AK263" s="28" t="s">
        <v>32</v>
      </c>
    </row>
    <row r="264" spans="1:37">
      <c r="A264" s="21" t="s">
        <v>30</v>
      </c>
      <c r="B264" s="26">
        <v>2020</v>
      </c>
      <c r="C264" s="21" t="s">
        <v>38</v>
      </c>
      <c r="D264" s="21" t="str">
        <f t="shared" si="28"/>
        <v>Yes</v>
      </c>
      <c r="E264" s="27" t="s">
        <v>32</v>
      </c>
      <c r="F264" s="27" t="s">
        <v>32</v>
      </c>
      <c r="G264" s="27" t="s">
        <v>32</v>
      </c>
      <c r="H264" s="27" t="s">
        <v>32</v>
      </c>
      <c r="I264" s="27" t="s">
        <v>32</v>
      </c>
      <c r="J264" s="27" t="s">
        <v>32</v>
      </c>
      <c r="K264" s="27" t="s">
        <v>32</v>
      </c>
      <c r="L264" s="27" t="s">
        <v>32</v>
      </c>
      <c r="M264" s="27" t="s">
        <v>32</v>
      </c>
      <c r="N264" s="27" t="s">
        <v>32</v>
      </c>
      <c r="O264" s="27" t="s">
        <v>32</v>
      </c>
      <c r="P264" s="27" t="s">
        <v>32</v>
      </c>
      <c r="Q264" s="27" t="s">
        <v>32</v>
      </c>
      <c r="R264" s="28" t="s">
        <v>32</v>
      </c>
      <c r="S264" s="28" t="s">
        <v>32</v>
      </c>
      <c r="T264" s="28" t="s">
        <v>32</v>
      </c>
      <c r="U264" s="28" t="s">
        <v>32</v>
      </c>
      <c r="V264" s="28" t="s">
        <v>32</v>
      </c>
      <c r="W264" s="28">
        <v>139.25</v>
      </c>
      <c r="X264" s="28" t="s">
        <v>32</v>
      </c>
      <c r="Y264" s="28" t="s">
        <v>32</v>
      </c>
      <c r="Z264" s="28" t="s">
        <v>32</v>
      </c>
      <c r="AA264" s="28" t="s">
        <v>32</v>
      </c>
      <c r="AB264" s="28" t="s">
        <v>32</v>
      </c>
      <c r="AC264" s="28" t="s">
        <v>32</v>
      </c>
      <c r="AD264" s="27" t="s">
        <v>32</v>
      </c>
      <c r="AE264" s="27" t="s">
        <v>32</v>
      </c>
      <c r="AF264" s="27" t="s">
        <v>32</v>
      </c>
      <c r="AG264" s="28" t="s">
        <v>32</v>
      </c>
      <c r="AH264" s="27" t="s">
        <v>32</v>
      </c>
      <c r="AI264" s="27" t="s">
        <v>32</v>
      </c>
      <c r="AJ264" s="28" t="s">
        <v>32</v>
      </c>
      <c r="AK264" s="28" t="s">
        <v>32</v>
      </c>
    </row>
    <row r="265" spans="1:37">
      <c r="A265" s="21" t="s">
        <v>33</v>
      </c>
      <c r="B265" s="26">
        <v>2020</v>
      </c>
      <c r="C265" s="21" t="s">
        <v>38</v>
      </c>
      <c r="D265" s="21" t="str">
        <f t="shared" si="28"/>
        <v>Yes</v>
      </c>
      <c r="E265" s="27" t="s">
        <v>32</v>
      </c>
      <c r="F265" s="27" t="s">
        <v>32</v>
      </c>
      <c r="G265" s="27" t="s">
        <v>32</v>
      </c>
      <c r="H265" s="27" t="s">
        <v>32</v>
      </c>
      <c r="I265" s="27" t="s">
        <v>32</v>
      </c>
      <c r="J265" s="27" t="s">
        <v>32</v>
      </c>
      <c r="K265" s="27" t="s">
        <v>32</v>
      </c>
      <c r="L265" s="27" t="s">
        <v>32</v>
      </c>
      <c r="M265" s="27" t="s">
        <v>32</v>
      </c>
      <c r="N265" s="27" t="s">
        <v>32</v>
      </c>
      <c r="O265" s="27" t="s">
        <v>32</v>
      </c>
      <c r="P265" s="27" t="s">
        <v>32</v>
      </c>
      <c r="Q265" s="27" t="s">
        <v>32</v>
      </c>
      <c r="R265" s="28" t="s">
        <v>32</v>
      </c>
      <c r="S265" s="28" t="s">
        <v>32</v>
      </c>
      <c r="T265" s="28" t="s">
        <v>32</v>
      </c>
      <c r="U265" s="28" t="s">
        <v>32</v>
      </c>
      <c r="V265" s="28" t="s">
        <v>32</v>
      </c>
      <c r="W265" s="28">
        <v>139.25</v>
      </c>
      <c r="X265" s="28" t="s">
        <v>32</v>
      </c>
      <c r="Y265" s="28" t="s">
        <v>32</v>
      </c>
      <c r="Z265" s="28" t="s">
        <v>32</v>
      </c>
      <c r="AA265" s="28" t="s">
        <v>32</v>
      </c>
      <c r="AB265" s="28" t="s">
        <v>32</v>
      </c>
      <c r="AC265" s="28" t="s">
        <v>32</v>
      </c>
      <c r="AD265" s="27" t="s">
        <v>32</v>
      </c>
      <c r="AE265" s="27" t="s">
        <v>32</v>
      </c>
      <c r="AF265" s="27" t="s">
        <v>32</v>
      </c>
      <c r="AG265" s="28" t="s">
        <v>32</v>
      </c>
      <c r="AH265" s="27" t="s">
        <v>32</v>
      </c>
      <c r="AI265" s="27" t="s">
        <v>32</v>
      </c>
      <c r="AJ265" s="28" t="s">
        <v>32</v>
      </c>
      <c r="AK265" s="28" t="s">
        <v>32</v>
      </c>
    </row>
    <row r="266" spans="1:37">
      <c r="A266" s="21" t="s">
        <v>34</v>
      </c>
      <c r="B266" s="26">
        <v>2020</v>
      </c>
      <c r="C266" s="21" t="s">
        <v>38</v>
      </c>
      <c r="D266" s="21" t="str">
        <f t="shared" si="28"/>
        <v>Yes</v>
      </c>
      <c r="E266" s="27" t="s">
        <v>32</v>
      </c>
      <c r="F266" s="27" t="s">
        <v>32</v>
      </c>
      <c r="G266" s="27" t="s">
        <v>32</v>
      </c>
      <c r="H266" s="27" t="s">
        <v>32</v>
      </c>
      <c r="I266" s="27" t="s">
        <v>32</v>
      </c>
      <c r="J266" s="27" t="s">
        <v>32</v>
      </c>
      <c r="K266" s="27" t="s">
        <v>32</v>
      </c>
      <c r="L266" s="27" t="s">
        <v>32</v>
      </c>
      <c r="M266" s="27" t="s">
        <v>32</v>
      </c>
      <c r="N266" s="27" t="s">
        <v>32</v>
      </c>
      <c r="O266" s="27" t="s">
        <v>32</v>
      </c>
      <c r="P266" s="27" t="s">
        <v>32</v>
      </c>
      <c r="Q266" s="27" t="s">
        <v>32</v>
      </c>
      <c r="R266" s="28" t="s">
        <v>32</v>
      </c>
      <c r="S266" s="28" t="s">
        <v>32</v>
      </c>
      <c r="T266" s="28" t="s">
        <v>32</v>
      </c>
      <c r="U266" s="28" t="s">
        <v>32</v>
      </c>
      <c r="V266" s="28" t="s">
        <v>32</v>
      </c>
      <c r="W266" s="28">
        <v>139.25</v>
      </c>
      <c r="X266" s="28" t="s">
        <v>32</v>
      </c>
      <c r="Y266" s="28" t="s">
        <v>32</v>
      </c>
      <c r="Z266" s="28" t="s">
        <v>32</v>
      </c>
      <c r="AA266" s="28" t="s">
        <v>32</v>
      </c>
      <c r="AB266" s="28" t="s">
        <v>32</v>
      </c>
      <c r="AC266" s="28" t="s">
        <v>32</v>
      </c>
      <c r="AD266" s="27" t="s">
        <v>32</v>
      </c>
      <c r="AE266" s="27" t="s">
        <v>32</v>
      </c>
      <c r="AF266" s="27" t="s">
        <v>32</v>
      </c>
      <c r="AG266" s="28" t="s">
        <v>32</v>
      </c>
      <c r="AH266" s="27" t="s">
        <v>32</v>
      </c>
      <c r="AI266" s="27" t="s">
        <v>32</v>
      </c>
      <c r="AJ266" s="28" t="s">
        <v>32</v>
      </c>
      <c r="AK266" s="28" t="s">
        <v>32</v>
      </c>
    </row>
    <row r="267" spans="1:37">
      <c r="A267" s="21" t="s">
        <v>30</v>
      </c>
      <c r="B267" s="26">
        <v>2020</v>
      </c>
      <c r="C267" s="21" t="s">
        <v>39</v>
      </c>
      <c r="D267" s="21" t="str">
        <f t="shared" si="28"/>
        <v>No</v>
      </c>
      <c r="E267" s="27">
        <v>148.19999999999999</v>
      </c>
      <c r="F267" s="27">
        <v>190.3</v>
      </c>
      <c r="G267" s="27">
        <v>149.4</v>
      </c>
      <c r="H267" s="27">
        <v>153.30000000000001</v>
      </c>
      <c r="I267" s="27">
        <v>138.19999999999999</v>
      </c>
      <c r="J267" s="27">
        <v>143.19999999999999</v>
      </c>
      <c r="K267" s="27">
        <v>148.9</v>
      </c>
      <c r="L267" s="27">
        <v>150.30000000000001</v>
      </c>
      <c r="M267" s="27">
        <v>113.2</v>
      </c>
      <c r="N267" s="27">
        <v>159.80000000000001</v>
      </c>
      <c r="O267" s="27">
        <v>142.1</v>
      </c>
      <c r="P267" s="27">
        <v>161.80000000000001</v>
      </c>
      <c r="Q267" s="27">
        <v>152.30000000000001</v>
      </c>
      <c r="R267" s="21">
        <f t="shared" si="29"/>
        <v>1951</v>
      </c>
      <c r="S267" s="21">
        <v>154.69999999999999</v>
      </c>
      <c r="T267" s="21">
        <v>150</v>
      </c>
      <c r="U267" s="21">
        <v>154.1</v>
      </c>
      <c r="V267" s="21">
        <f t="shared" si="30"/>
        <v>458.79999999999995</v>
      </c>
      <c r="W267" s="22">
        <v>139.25</v>
      </c>
      <c r="X267" s="21">
        <v>144.9</v>
      </c>
      <c r="Y267" s="21">
        <v>151.69999999999999</v>
      </c>
      <c r="Z267" s="22">
        <f t="shared" si="31"/>
        <v>435.84999999999997</v>
      </c>
      <c r="AA267" s="21">
        <v>158.19999999999999</v>
      </c>
      <c r="AB267" s="21">
        <v>151.19999999999999</v>
      </c>
      <c r="AC267" s="21">
        <f t="shared" si="32"/>
        <v>309.39999999999998</v>
      </c>
      <c r="AD267" s="27">
        <v>141.4</v>
      </c>
      <c r="AE267" s="27">
        <v>153.19999999999999</v>
      </c>
      <c r="AF267" s="27">
        <v>161.80000000000001</v>
      </c>
      <c r="AG267" s="21">
        <f t="shared" si="33"/>
        <v>315</v>
      </c>
      <c r="AH267" s="27">
        <v>182.4</v>
      </c>
      <c r="AI267" s="27">
        <v>151.69999999999999</v>
      </c>
      <c r="AJ267" s="21">
        <f t="shared" si="34"/>
        <v>334.1</v>
      </c>
      <c r="AK267" s="21">
        <v>152.69999999999999</v>
      </c>
    </row>
    <row r="268" spans="1:37">
      <c r="A268" s="21" t="s">
        <v>33</v>
      </c>
      <c r="B268" s="26">
        <v>2020</v>
      </c>
      <c r="C268" s="21" t="s">
        <v>39</v>
      </c>
      <c r="D268" s="21" t="str">
        <f t="shared" si="28"/>
        <v>No</v>
      </c>
      <c r="E268" s="27">
        <v>152.69999999999999</v>
      </c>
      <c r="F268" s="27">
        <v>197</v>
      </c>
      <c r="G268" s="27">
        <v>154.6</v>
      </c>
      <c r="H268" s="27">
        <v>153.4</v>
      </c>
      <c r="I268" s="27">
        <v>132.9</v>
      </c>
      <c r="J268" s="27">
        <v>151.80000000000001</v>
      </c>
      <c r="K268" s="27">
        <v>171.2</v>
      </c>
      <c r="L268" s="27">
        <v>152</v>
      </c>
      <c r="M268" s="27">
        <v>116.3</v>
      </c>
      <c r="N268" s="27">
        <v>158.80000000000001</v>
      </c>
      <c r="O268" s="27">
        <v>135.6</v>
      </c>
      <c r="P268" s="27">
        <v>161.69999999999999</v>
      </c>
      <c r="Q268" s="27">
        <v>157</v>
      </c>
      <c r="R268" s="21">
        <f t="shared" si="29"/>
        <v>1994.9999999999998</v>
      </c>
      <c r="S268" s="21">
        <v>149.1</v>
      </c>
      <c r="T268" s="21">
        <v>136.6</v>
      </c>
      <c r="U268" s="21">
        <v>147.19999999999999</v>
      </c>
      <c r="V268" s="21">
        <f t="shared" si="30"/>
        <v>432.9</v>
      </c>
      <c r="W268" s="22">
        <v>154.69999999999999</v>
      </c>
      <c r="X268" s="21">
        <v>137.1</v>
      </c>
      <c r="Y268" s="21">
        <v>140.4</v>
      </c>
      <c r="Z268" s="22">
        <f t="shared" si="31"/>
        <v>432.19999999999993</v>
      </c>
      <c r="AA268" s="21">
        <v>148.1</v>
      </c>
      <c r="AB268" s="21">
        <v>152.19999999999999</v>
      </c>
      <c r="AC268" s="21">
        <f t="shared" si="32"/>
        <v>300.29999999999995</v>
      </c>
      <c r="AD268" s="27">
        <v>129.30000000000001</v>
      </c>
      <c r="AE268" s="27">
        <v>144.5</v>
      </c>
      <c r="AF268" s="27">
        <v>152.5</v>
      </c>
      <c r="AG268" s="21">
        <f t="shared" si="33"/>
        <v>297</v>
      </c>
      <c r="AH268" s="27">
        <v>186.7</v>
      </c>
      <c r="AI268" s="27">
        <v>142</v>
      </c>
      <c r="AJ268" s="21">
        <f t="shared" si="34"/>
        <v>328.7</v>
      </c>
      <c r="AK268" s="21">
        <v>150.80000000000001</v>
      </c>
    </row>
    <row r="269" spans="1:37">
      <c r="A269" s="21" t="s">
        <v>34</v>
      </c>
      <c r="B269" s="26">
        <v>2020</v>
      </c>
      <c r="C269" s="21" t="s">
        <v>39</v>
      </c>
      <c r="D269" s="21" t="str">
        <f t="shared" si="28"/>
        <v>No</v>
      </c>
      <c r="E269" s="27">
        <v>149.6</v>
      </c>
      <c r="F269" s="27">
        <v>192.7</v>
      </c>
      <c r="G269" s="27">
        <v>151.4</v>
      </c>
      <c r="H269" s="27">
        <v>153.30000000000001</v>
      </c>
      <c r="I269" s="27">
        <v>136.30000000000001</v>
      </c>
      <c r="J269" s="27">
        <v>147.19999999999999</v>
      </c>
      <c r="K269" s="27">
        <v>156.5</v>
      </c>
      <c r="L269" s="27">
        <v>150.9</v>
      </c>
      <c r="M269" s="27">
        <v>114.2</v>
      </c>
      <c r="N269" s="27">
        <v>159.5</v>
      </c>
      <c r="O269" s="27">
        <v>139.4</v>
      </c>
      <c r="P269" s="27">
        <v>161.80000000000001</v>
      </c>
      <c r="Q269" s="27">
        <v>154</v>
      </c>
      <c r="R269" s="21">
        <f t="shared" si="29"/>
        <v>1966.8000000000002</v>
      </c>
      <c r="S269" s="21">
        <v>152.5</v>
      </c>
      <c r="T269" s="21">
        <v>144.4</v>
      </c>
      <c r="U269" s="21">
        <v>151.4</v>
      </c>
      <c r="V269" s="21">
        <f t="shared" si="30"/>
        <v>448.29999999999995</v>
      </c>
      <c r="W269" s="22">
        <v>154.69999999999999</v>
      </c>
      <c r="X269" s="21">
        <v>141.9</v>
      </c>
      <c r="Y269" s="21">
        <v>146.4</v>
      </c>
      <c r="Z269" s="22">
        <f t="shared" si="31"/>
        <v>443</v>
      </c>
      <c r="AA269" s="21">
        <v>154.4</v>
      </c>
      <c r="AB269" s="21">
        <v>151.6</v>
      </c>
      <c r="AC269" s="21">
        <f t="shared" si="32"/>
        <v>306</v>
      </c>
      <c r="AD269" s="27">
        <v>135</v>
      </c>
      <c r="AE269" s="27">
        <v>148.30000000000001</v>
      </c>
      <c r="AF269" s="27">
        <v>156.4</v>
      </c>
      <c r="AG269" s="21">
        <f t="shared" si="33"/>
        <v>304.70000000000005</v>
      </c>
      <c r="AH269" s="27">
        <v>183.5</v>
      </c>
      <c r="AI269" s="27">
        <v>147</v>
      </c>
      <c r="AJ269" s="21">
        <f t="shared" si="34"/>
        <v>330.5</v>
      </c>
      <c r="AK269" s="21">
        <v>151.80000000000001</v>
      </c>
    </row>
    <row r="270" spans="1:37">
      <c r="A270" s="21" t="s">
        <v>30</v>
      </c>
      <c r="B270" s="26">
        <v>2020</v>
      </c>
      <c r="C270" s="21" t="s">
        <v>40</v>
      </c>
      <c r="D270" s="21" t="str">
        <f t="shared" si="28"/>
        <v>No</v>
      </c>
      <c r="E270" s="27">
        <v>148.19999999999999</v>
      </c>
      <c r="F270" s="27">
        <v>190.3</v>
      </c>
      <c r="G270" s="27">
        <v>149.4</v>
      </c>
      <c r="H270" s="27">
        <v>153.30000000000001</v>
      </c>
      <c r="I270" s="27">
        <v>138.19999999999999</v>
      </c>
      <c r="J270" s="27">
        <v>143.19999999999999</v>
      </c>
      <c r="K270" s="27">
        <v>148.9</v>
      </c>
      <c r="L270" s="27">
        <v>150.30000000000001</v>
      </c>
      <c r="M270" s="27">
        <v>113.2</v>
      </c>
      <c r="N270" s="27">
        <v>159.80000000000001</v>
      </c>
      <c r="O270" s="27">
        <v>142.1</v>
      </c>
      <c r="P270" s="27">
        <v>161.80000000000001</v>
      </c>
      <c r="Q270" s="27">
        <v>152.30000000000001</v>
      </c>
      <c r="R270" s="21">
        <f t="shared" si="29"/>
        <v>1951</v>
      </c>
      <c r="S270" s="21">
        <v>154.69999999999999</v>
      </c>
      <c r="T270" s="21">
        <v>150</v>
      </c>
      <c r="U270" s="21">
        <v>154.1</v>
      </c>
      <c r="V270" s="21">
        <f t="shared" si="30"/>
        <v>458.79999999999995</v>
      </c>
      <c r="W270" s="22">
        <v>139.25</v>
      </c>
      <c r="X270" s="21">
        <v>144.9</v>
      </c>
      <c r="Y270" s="21">
        <v>151.69999999999999</v>
      </c>
      <c r="Z270" s="22">
        <f t="shared" si="31"/>
        <v>435.84999999999997</v>
      </c>
      <c r="AA270" s="21">
        <v>158.19999999999999</v>
      </c>
      <c r="AB270" s="21">
        <v>151.19999999999999</v>
      </c>
      <c r="AC270" s="21">
        <f t="shared" si="32"/>
        <v>309.39999999999998</v>
      </c>
      <c r="AD270" s="27">
        <v>141.4</v>
      </c>
      <c r="AE270" s="27">
        <v>153.19999999999999</v>
      </c>
      <c r="AF270" s="27">
        <v>161.80000000000001</v>
      </c>
      <c r="AG270" s="21">
        <f t="shared" si="33"/>
        <v>315</v>
      </c>
      <c r="AH270" s="27">
        <v>182.4</v>
      </c>
      <c r="AI270" s="27">
        <v>151.69999999999999</v>
      </c>
      <c r="AJ270" s="21">
        <f t="shared" si="34"/>
        <v>334.1</v>
      </c>
      <c r="AK270" s="21">
        <v>152.69999999999999</v>
      </c>
    </row>
    <row r="271" spans="1:37">
      <c r="A271" s="21" t="s">
        <v>33</v>
      </c>
      <c r="B271" s="26">
        <v>2020</v>
      </c>
      <c r="C271" s="21" t="s">
        <v>40</v>
      </c>
      <c r="D271" s="21" t="str">
        <f t="shared" si="28"/>
        <v>No</v>
      </c>
      <c r="E271" s="27">
        <v>152.69999999999999</v>
      </c>
      <c r="F271" s="27">
        <v>197</v>
      </c>
      <c r="G271" s="27">
        <v>154.6</v>
      </c>
      <c r="H271" s="27">
        <v>153.4</v>
      </c>
      <c r="I271" s="27">
        <v>132.9</v>
      </c>
      <c r="J271" s="27">
        <v>151.80000000000001</v>
      </c>
      <c r="K271" s="27">
        <v>171.2</v>
      </c>
      <c r="L271" s="27">
        <v>152</v>
      </c>
      <c r="M271" s="27">
        <v>116.3</v>
      </c>
      <c r="N271" s="27">
        <v>158.80000000000001</v>
      </c>
      <c r="O271" s="27">
        <v>135.6</v>
      </c>
      <c r="P271" s="27">
        <v>161.69999999999999</v>
      </c>
      <c r="Q271" s="27">
        <v>157</v>
      </c>
      <c r="R271" s="21">
        <f t="shared" si="29"/>
        <v>1994.9999999999998</v>
      </c>
      <c r="S271" s="21">
        <v>149.1</v>
      </c>
      <c r="T271" s="21">
        <v>136.6</v>
      </c>
      <c r="U271" s="21">
        <v>147.19999999999999</v>
      </c>
      <c r="V271" s="21">
        <f t="shared" si="30"/>
        <v>432.9</v>
      </c>
      <c r="W271" s="22">
        <v>154.69999999999999</v>
      </c>
      <c r="X271" s="21">
        <v>137.1</v>
      </c>
      <c r="Y271" s="21">
        <v>140.4</v>
      </c>
      <c r="Z271" s="22">
        <f t="shared" si="31"/>
        <v>432.19999999999993</v>
      </c>
      <c r="AA271" s="21">
        <v>148.1</v>
      </c>
      <c r="AB271" s="21">
        <v>152.19999999999999</v>
      </c>
      <c r="AC271" s="21">
        <f t="shared" si="32"/>
        <v>300.29999999999995</v>
      </c>
      <c r="AD271" s="27">
        <v>129.30000000000001</v>
      </c>
      <c r="AE271" s="27">
        <v>144.5</v>
      </c>
      <c r="AF271" s="27">
        <v>152.5</v>
      </c>
      <c r="AG271" s="21">
        <f t="shared" si="33"/>
        <v>297</v>
      </c>
      <c r="AH271" s="27">
        <v>186.7</v>
      </c>
      <c r="AI271" s="27">
        <v>142</v>
      </c>
      <c r="AJ271" s="21">
        <f t="shared" si="34"/>
        <v>328.7</v>
      </c>
      <c r="AK271" s="21">
        <v>150.80000000000001</v>
      </c>
    </row>
    <row r="272" spans="1:37">
      <c r="A272" s="21" t="s">
        <v>34</v>
      </c>
      <c r="B272" s="26">
        <v>2020</v>
      </c>
      <c r="C272" s="21" t="s">
        <v>40</v>
      </c>
      <c r="D272" s="21" t="str">
        <f t="shared" si="28"/>
        <v>No</v>
      </c>
      <c r="E272" s="27">
        <v>149.6</v>
      </c>
      <c r="F272" s="27">
        <v>192.7</v>
      </c>
      <c r="G272" s="27">
        <v>151.4</v>
      </c>
      <c r="H272" s="27">
        <v>153.30000000000001</v>
      </c>
      <c r="I272" s="27">
        <v>136.30000000000001</v>
      </c>
      <c r="J272" s="27">
        <v>147.19999999999999</v>
      </c>
      <c r="K272" s="27">
        <v>156.5</v>
      </c>
      <c r="L272" s="27">
        <v>150.9</v>
      </c>
      <c r="M272" s="27">
        <v>114.2</v>
      </c>
      <c r="N272" s="27">
        <v>159.5</v>
      </c>
      <c r="O272" s="27">
        <v>139.4</v>
      </c>
      <c r="P272" s="27">
        <v>161.80000000000001</v>
      </c>
      <c r="Q272" s="27">
        <v>154</v>
      </c>
      <c r="R272" s="21">
        <f t="shared" si="29"/>
        <v>1966.8000000000002</v>
      </c>
      <c r="S272" s="21">
        <v>152.5</v>
      </c>
      <c r="T272" s="21">
        <v>144.4</v>
      </c>
      <c r="U272" s="21">
        <v>151.4</v>
      </c>
      <c r="V272" s="21">
        <f t="shared" si="30"/>
        <v>448.29999999999995</v>
      </c>
      <c r="W272" s="22">
        <v>154.69999999999999</v>
      </c>
      <c r="X272" s="21">
        <v>141.9</v>
      </c>
      <c r="Y272" s="21">
        <v>146.4</v>
      </c>
      <c r="Z272" s="22">
        <f t="shared" si="31"/>
        <v>443</v>
      </c>
      <c r="AA272" s="21">
        <v>154.4</v>
      </c>
      <c r="AB272" s="21">
        <v>151.6</v>
      </c>
      <c r="AC272" s="21">
        <f t="shared" si="32"/>
        <v>306</v>
      </c>
      <c r="AD272" s="27">
        <v>135</v>
      </c>
      <c r="AE272" s="27">
        <v>148.30000000000001</v>
      </c>
      <c r="AF272" s="27">
        <v>156.4</v>
      </c>
      <c r="AG272" s="21">
        <f t="shared" si="33"/>
        <v>304.70000000000005</v>
      </c>
      <c r="AH272" s="27">
        <v>183.5</v>
      </c>
      <c r="AI272" s="27">
        <v>147</v>
      </c>
      <c r="AJ272" s="21">
        <f t="shared" si="34"/>
        <v>330.5</v>
      </c>
      <c r="AK272" s="21">
        <v>151.80000000000001</v>
      </c>
    </row>
    <row r="273" spans="1:37">
      <c r="A273" s="21" t="s">
        <v>30</v>
      </c>
      <c r="B273" s="26">
        <v>2020</v>
      </c>
      <c r="C273" s="21" t="s">
        <v>41</v>
      </c>
      <c r="D273" s="21" t="str">
        <f t="shared" si="28"/>
        <v>No</v>
      </c>
      <c r="E273" s="27">
        <v>147.6</v>
      </c>
      <c r="F273" s="27">
        <v>187.2</v>
      </c>
      <c r="G273" s="27">
        <v>148.4</v>
      </c>
      <c r="H273" s="27">
        <v>153.30000000000001</v>
      </c>
      <c r="I273" s="27">
        <v>139.80000000000001</v>
      </c>
      <c r="J273" s="27">
        <v>146.9</v>
      </c>
      <c r="K273" s="27">
        <v>171</v>
      </c>
      <c r="L273" s="27">
        <v>149.9</v>
      </c>
      <c r="M273" s="27">
        <v>114.2</v>
      </c>
      <c r="N273" s="27">
        <v>160</v>
      </c>
      <c r="O273" s="27">
        <v>143.5</v>
      </c>
      <c r="P273" s="27">
        <v>161.5</v>
      </c>
      <c r="Q273" s="27">
        <v>155.30000000000001</v>
      </c>
      <c r="R273" s="21">
        <f t="shared" si="29"/>
        <v>1978.6</v>
      </c>
      <c r="S273" s="21">
        <v>155.1</v>
      </c>
      <c r="T273" s="21">
        <v>149.30000000000001</v>
      </c>
      <c r="U273" s="21">
        <v>154.30000000000001</v>
      </c>
      <c r="V273" s="21">
        <f t="shared" si="30"/>
        <v>458.7</v>
      </c>
      <c r="W273" s="22">
        <v>139.25</v>
      </c>
      <c r="X273" s="21">
        <v>145.80000000000001</v>
      </c>
      <c r="Y273" s="21">
        <v>151.9</v>
      </c>
      <c r="Z273" s="22">
        <f t="shared" si="31"/>
        <v>436.95000000000005</v>
      </c>
      <c r="AA273" s="21">
        <v>158.80000000000001</v>
      </c>
      <c r="AB273" s="21">
        <v>153.6</v>
      </c>
      <c r="AC273" s="21">
        <f t="shared" si="32"/>
        <v>312.39999999999998</v>
      </c>
      <c r="AD273" s="27">
        <v>143.6</v>
      </c>
      <c r="AE273" s="27">
        <v>152.19999999999999</v>
      </c>
      <c r="AF273" s="27">
        <v>162.69999999999999</v>
      </c>
      <c r="AG273" s="21">
        <f t="shared" si="33"/>
        <v>314.89999999999998</v>
      </c>
      <c r="AH273" s="27">
        <v>180.9</v>
      </c>
      <c r="AI273" s="27">
        <v>153</v>
      </c>
      <c r="AJ273" s="21">
        <f t="shared" si="34"/>
        <v>333.9</v>
      </c>
      <c r="AK273" s="21">
        <v>154.69999999999999</v>
      </c>
    </row>
    <row r="274" spans="1:37">
      <c r="A274" s="21" t="s">
        <v>33</v>
      </c>
      <c r="B274" s="26">
        <v>2020</v>
      </c>
      <c r="C274" s="21" t="s">
        <v>41</v>
      </c>
      <c r="D274" s="21" t="str">
        <f t="shared" si="28"/>
        <v>No</v>
      </c>
      <c r="E274" s="27">
        <v>151.6</v>
      </c>
      <c r="F274" s="27">
        <v>197.8</v>
      </c>
      <c r="G274" s="27">
        <v>154.5</v>
      </c>
      <c r="H274" s="27">
        <v>153.4</v>
      </c>
      <c r="I274" s="27">
        <v>133.4</v>
      </c>
      <c r="J274" s="27">
        <v>154.5</v>
      </c>
      <c r="K274" s="27">
        <v>191.9</v>
      </c>
      <c r="L274" s="27">
        <v>151.30000000000001</v>
      </c>
      <c r="M274" s="27">
        <v>116.8</v>
      </c>
      <c r="N274" s="27">
        <v>160</v>
      </c>
      <c r="O274" s="27">
        <v>136.5</v>
      </c>
      <c r="P274" s="27">
        <v>163.30000000000001</v>
      </c>
      <c r="Q274" s="27">
        <v>159.9</v>
      </c>
      <c r="R274" s="21">
        <f t="shared" si="29"/>
        <v>2024.8999999999999</v>
      </c>
      <c r="S274" s="21">
        <v>150</v>
      </c>
      <c r="T274" s="21">
        <v>135.19999999999999</v>
      </c>
      <c r="U274" s="21">
        <v>147.80000000000001</v>
      </c>
      <c r="V274" s="21">
        <f t="shared" si="30"/>
        <v>433</v>
      </c>
      <c r="W274" s="22">
        <v>155.5</v>
      </c>
      <c r="X274" s="21">
        <v>138.30000000000001</v>
      </c>
      <c r="Y274" s="21">
        <v>144.5</v>
      </c>
      <c r="Z274" s="22">
        <f t="shared" si="31"/>
        <v>438.3</v>
      </c>
      <c r="AA274" s="21">
        <v>148.69999999999999</v>
      </c>
      <c r="AB274" s="21">
        <v>155.19999999999999</v>
      </c>
      <c r="AC274" s="21">
        <f t="shared" si="32"/>
        <v>303.89999999999998</v>
      </c>
      <c r="AD274" s="27">
        <v>133.9</v>
      </c>
      <c r="AE274" s="27">
        <v>141.19999999999999</v>
      </c>
      <c r="AF274" s="27">
        <v>155.5</v>
      </c>
      <c r="AG274" s="21">
        <f t="shared" si="33"/>
        <v>296.7</v>
      </c>
      <c r="AH274" s="27">
        <v>187.2</v>
      </c>
      <c r="AI274" s="27">
        <v>144.80000000000001</v>
      </c>
      <c r="AJ274" s="21">
        <f t="shared" si="34"/>
        <v>332</v>
      </c>
      <c r="AK274" s="21">
        <v>152.9</v>
      </c>
    </row>
    <row r="275" spans="1:37">
      <c r="A275" s="21" t="s">
        <v>34</v>
      </c>
      <c r="B275" s="26">
        <v>2020</v>
      </c>
      <c r="C275" s="21" t="s">
        <v>41</v>
      </c>
      <c r="D275" s="21" t="str">
        <f t="shared" si="28"/>
        <v>No</v>
      </c>
      <c r="E275" s="27">
        <v>148.9</v>
      </c>
      <c r="F275" s="27">
        <v>190.9</v>
      </c>
      <c r="G275" s="27">
        <v>150.80000000000001</v>
      </c>
      <c r="H275" s="27">
        <v>153.30000000000001</v>
      </c>
      <c r="I275" s="27">
        <v>137.4</v>
      </c>
      <c r="J275" s="27">
        <v>150.4</v>
      </c>
      <c r="K275" s="27">
        <v>178.1</v>
      </c>
      <c r="L275" s="27">
        <v>150.4</v>
      </c>
      <c r="M275" s="27">
        <v>115.1</v>
      </c>
      <c r="N275" s="27">
        <v>160</v>
      </c>
      <c r="O275" s="27">
        <v>140.6</v>
      </c>
      <c r="P275" s="27">
        <v>162.30000000000001</v>
      </c>
      <c r="Q275" s="27">
        <v>157</v>
      </c>
      <c r="R275" s="21">
        <f t="shared" si="29"/>
        <v>1995.1999999999998</v>
      </c>
      <c r="S275" s="21">
        <v>153.1</v>
      </c>
      <c r="T275" s="21">
        <v>143.4</v>
      </c>
      <c r="U275" s="21">
        <v>151.69999999999999</v>
      </c>
      <c r="V275" s="21">
        <f t="shared" si="30"/>
        <v>448.2</v>
      </c>
      <c r="W275" s="22">
        <v>155.5</v>
      </c>
      <c r="X275" s="21">
        <v>143</v>
      </c>
      <c r="Y275" s="21">
        <v>148.4</v>
      </c>
      <c r="Z275" s="22">
        <f t="shared" si="31"/>
        <v>446.9</v>
      </c>
      <c r="AA275" s="21">
        <v>155</v>
      </c>
      <c r="AB275" s="21">
        <v>154.30000000000001</v>
      </c>
      <c r="AC275" s="21">
        <f t="shared" si="32"/>
        <v>309.3</v>
      </c>
      <c r="AD275" s="27">
        <v>138.5</v>
      </c>
      <c r="AE275" s="27">
        <v>146</v>
      </c>
      <c r="AF275" s="27">
        <v>158.5</v>
      </c>
      <c r="AG275" s="21">
        <f t="shared" si="33"/>
        <v>304.5</v>
      </c>
      <c r="AH275" s="27">
        <v>182.6</v>
      </c>
      <c r="AI275" s="27">
        <v>149</v>
      </c>
      <c r="AJ275" s="21">
        <f t="shared" si="34"/>
        <v>331.6</v>
      </c>
      <c r="AK275" s="21">
        <v>153.9</v>
      </c>
    </row>
    <row r="276" spans="1:37">
      <c r="A276" s="21" t="s">
        <v>30</v>
      </c>
      <c r="B276" s="26">
        <v>2020</v>
      </c>
      <c r="C276" s="21" t="s">
        <v>42</v>
      </c>
      <c r="D276" s="21" t="str">
        <f t="shared" si="28"/>
        <v>No</v>
      </c>
      <c r="E276" s="27">
        <v>146.9</v>
      </c>
      <c r="F276" s="27">
        <v>183.9</v>
      </c>
      <c r="G276" s="27">
        <v>149.5</v>
      </c>
      <c r="H276" s="27">
        <v>153.4</v>
      </c>
      <c r="I276" s="27">
        <v>140.4</v>
      </c>
      <c r="J276" s="27">
        <v>147</v>
      </c>
      <c r="K276" s="27">
        <v>178.8</v>
      </c>
      <c r="L276" s="27">
        <v>149.30000000000001</v>
      </c>
      <c r="M276" s="27">
        <v>115.1</v>
      </c>
      <c r="N276" s="27">
        <v>160</v>
      </c>
      <c r="O276" s="27">
        <v>145.4</v>
      </c>
      <c r="P276" s="27">
        <v>161.6</v>
      </c>
      <c r="Q276" s="27">
        <v>156.1</v>
      </c>
      <c r="R276" s="21">
        <f t="shared" si="29"/>
        <v>1987.3999999999999</v>
      </c>
      <c r="S276" s="21">
        <v>155.4</v>
      </c>
      <c r="T276" s="21">
        <v>149.9</v>
      </c>
      <c r="U276" s="21">
        <v>154.6</v>
      </c>
      <c r="V276" s="21">
        <f t="shared" si="30"/>
        <v>459.9</v>
      </c>
      <c r="W276" s="22">
        <v>139.25</v>
      </c>
      <c r="X276" s="21">
        <v>146.4</v>
      </c>
      <c r="Y276" s="21">
        <v>151.6</v>
      </c>
      <c r="Z276" s="22">
        <f t="shared" si="31"/>
        <v>437.25</v>
      </c>
      <c r="AA276" s="21">
        <v>159.1</v>
      </c>
      <c r="AB276" s="21">
        <v>157.4</v>
      </c>
      <c r="AC276" s="21">
        <f t="shared" si="32"/>
        <v>316.5</v>
      </c>
      <c r="AD276" s="27">
        <v>144.6</v>
      </c>
      <c r="AE276" s="27">
        <v>152.80000000000001</v>
      </c>
      <c r="AF276" s="27">
        <v>161.1</v>
      </c>
      <c r="AG276" s="21">
        <f t="shared" si="33"/>
        <v>313.89999999999998</v>
      </c>
      <c r="AH276" s="27">
        <v>182.9</v>
      </c>
      <c r="AI276" s="27">
        <v>153.69999999999999</v>
      </c>
      <c r="AJ276" s="21">
        <f t="shared" si="34"/>
        <v>336.6</v>
      </c>
      <c r="AK276" s="21">
        <v>155.4</v>
      </c>
    </row>
    <row r="277" spans="1:37">
      <c r="A277" s="21" t="s">
        <v>33</v>
      </c>
      <c r="B277" s="26">
        <v>2020</v>
      </c>
      <c r="C277" s="21" t="s">
        <v>42</v>
      </c>
      <c r="D277" s="21" t="str">
        <f t="shared" si="28"/>
        <v>No</v>
      </c>
      <c r="E277" s="27">
        <v>151.5</v>
      </c>
      <c r="F277" s="27">
        <v>193.1</v>
      </c>
      <c r="G277" s="27">
        <v>157.30000000000001</v>
      </c>
      <c r="H277" s="27">
        <v>153.9</v>
      </c>
      <c r="I277" s="27">
        <v>134.4</v>
      </c>
      <c r="J277" s="27">
        <v>155.4</v>
      </c>
      <c r="K277" s="27">
        <v>202</v>
      </c>
      <c r="L277" s="27">
        <v>150.80000000000001</v>
      </c>
      <c r="M277" s="27">
        <v>118.9</v>
      </c>
      <c r="N277" s="27">
        <v>160.9</v>
      </c>
      <c r="O277" s="27">
        <v>137.69999999999999</v>
      </c>
      <c r="P277" s="27">
        <v>164.4</v>
      </c>
      <c r="Q277" s="27">
        <v>161.30000000000001</v>
      </c>
      <c r="R277" s="21">
        <f t="shared" si="29"/>
        <v>2041.6000000000001</v>
      </c>
      <c r="S277" s="21">
        <v>150.19999999999999</v>
      </c>
      <c r="T277" s="21">
        <v>136.30000000000001</v>
      </c>
      <c r="U277" s="21">
        <v>148.1</v>
      </c>
      <c r="V277" s="21">
        <f t="shared" si="30"/>
        <v>434.6</v>
      </c>
      <c r="W277" s="22">
        <v>156.30000000000001</v>
      </c>
      <c r="X277" s="21">
        <v>137.19999999999999</v>
      </c>
      <c r="Y277" s="21">
        <v>145.4</v>
      </c>
      <c r="Z277" s="22">
        <f t="shared" si="31"/>
        <v>438.9</v>
      </c>
      <c r="AA277" s="21">
        <v>150</v>
      </c>
      <c r="AB277" s="21">
        <v>159.80000000000001</v>
      </c>
      <c r="AC277" s="21">
        <f t="shared" si="32"/>
        <v>309.8</v>
      </c>
      <c r="AD277" s="27">
        <v>135.1</v>
      </c>
      <c r="AE277" s="27">
        <v>141.80000000000001</v>
      </c>
      <c r="AF277" s="27">
        <v>154.9</v>
      </c>
      <c r="AG277" s="21">
        <f t="shared" si="33"/>
        <v>296.70000000000005</v>
      </c>
      <c r="AH277" s="27">
        <v>188.7</v>
      </c>
      <c r="AI277" s="27">
        <v>146</v>
      </c>
      <c r="AJ277" s="21">
        <f t="shared" si="34"/>
        <v>334.7</v>
      </c>
      <c r="AK277" s="21">
        <v>154</v>
      </c>
    </row>
    <row r="278" spans="1:37">
      <c r="A278" s="21" t="s">
        <v>34</v>
      </c>
      <c r="B278" s="26">
        <v>2020</v>
      </c>
      <c r="C278" s="21" t="s">
        <v>42</v>
      </c>
      <c r="D278" s="21" t="str">
        <f t="shared" si="28"/>
        <v>No</v>
      </c>
      <c r="E278" s="27">
        <v>148.4</v>
      </c>
      <c r="F278" s="27">
        <v>187.1</v>
      </c>
      <c r="G278" s="27">
        <v>152.5</v>
      </c>
      <c r="H278" s="27">
        <v>153.6</v>
      </c>
      <c r="I278" s="27">
        <v>138.19999999999999</v>
      </c>
      <c r="J278" s="27">
        <v>150.9</v>
      </c>
      <c r="K278" s="27">
        <v>186.7</v>
      </c>
      <c r="L278" s="27">
        <v>149.80000000000001</v>
      </c>
      <c r="M278" s="27">
        <v>116.4</v>
      </c>
      <c r="N278" s="27">
        <v>160.30000000000001</v>
      </c>
      <c r="O278" s="27">
        <v>142.19999999999999</v>
      </c>
      <c r="P278" s="27">
        <v>162.9</v>
      </c>
      <c r="Q278" s="27">
        <v>158</v>
      </c>
      <c r="R278" s="21">
        <f t="shared" si="29"/>
        <v>2007</v>
      </c>
      <c r="S278" s="21">
        <v>153.4</v>
      </c>
      <c r="T278" s="21">
        <v>144.30000000000001</v>
      </c>
      <c r="U278" s="21">
        <v>152</v>
      </c>
      <c r="V278" s="21">
        <f t="shared" si="30"/>
        <v>449.70000000000005</v>
      </c>
      <c r="W278" s="22">
        <v>156.30000000000001</v>
      </c>
      <c r="X278" s="21">
        <v>142.9</v>
      </c>
      <c r="Y278" s="21">
        <v>148.69999999999999</v>
      </c>
      <c r="Z278" s="22">
        <f t="shared" si="31"/>
        <v>447.90000000000003</v>
      </c>
      <c r="AA278" s="21">
        <v>155.6</v>
      </c>
      <c r="AB278" s="21">
        <v>158.4</v>
      </c>
      <c r="AC278" s="21">
        <f t="shared" si="32"/>
        <v>314</v>
      </c>
      <c r="AD278" s="27">
        <v>139.6</v>
      </c>
      <c r="AE278" s="27">
        <v>146.6</v>
      </c>
      <c r="AF278" s="27">
        <v>157.5</v>
      </c>
      <c r="AG278" s="21">
        <f t="shared" si="33"/>
        <v>304.10000000000002</v>
      </c>
      <c r="AH278" s="27">
        <v>184.4</v>
      </c>
      <c r="AI278" s="27">
        <v>150</v>
      </c>
      <c r="AJ278" s="21">
        <f t="shared" si="34"/>
        <v>334.4</v>
      </c>
      <c r="AK278" s="21">
        <v>154.69999999999999</v>
      </c>
    </row>
    <row r="279" spans="1:37">
      <c r="A279" s="21" t="s">
        <v>30</v>
      </c>
      <c r="B279" s="26">
        <v>2020</v>
      </c>
      <c r="C279" s="21" t="s">
        <v>43</v>
      </c>
      <c r="D279" s="21" t="str">
        <f t="shared" si="28"/>
        <v>No</v>
      </c>
      <c r="E279" s="27">
        <v>146</v>
      </c>
      <c r="F279" s="27">
        <v>186.3</v>
      </c>
      <c r="G279" s="27">
        <v>159.19999999999999</v>
      </c>
      <c r="H279" s="27">
        <v>153.6</v>
      </c>
      <c r="I279" s="27">
        <v>142.6</v>
      </c>
      <c r="J279" s="27">
        <v>147.19999999999999</v>
      </c>
      <c r="K279" s="27">
        <v>200.6</v>
      </c>
      <c r="L279" s="27">
        <v>150.30000000000001</v>
      </c>
      <c r="M279" s="27">
        <v>115.3</v>
      </c>
      <c r="N279" s="27">
        <v>160.9</v>
      </c>
      <c r="O279" s="27">
        <v>147.4</v>
      </c>
      <c r="P279" s="27">
        <v>161.9</v>
      </c>
      <c r="Q279" s="27">
        <v>159.6</v>
      </c>
      <c r="R279" s="21">
        <f t="shared" si="29"/>
        <v>2030.9</v>
      </c>
      <c r="S279" s="21">
        <v>155.69999999999999</v>
      </c>
      <c r="T279" s="21">
        <v>150.6</v>
      </c>
      <c r="U279" s="21">
        <v>155</v>
      </c>
      <c r="V279" s="21">
        <f t="shared" si="30"/>
        <v>461.29999999999995</v>
      </c>
      <c r="W279" s="22">
        <v>139.25</v>
      </c>
      <c r="X279" s="21">
        <v>146.80000000000001</v>
      </c>
      <c r="Y279" s="21">
        <v>152</v>
      </c>
      <c r="Z279" s="22">
        <f t="shared" si="31"/>
        <v>438.05</v>
      </c>
      <c r="AA279" s="21">
        <v>159.5</v>
      </c>
      <c r="AB279" s="21">
        <v>156.19999999999999</v>
      </c>
      <c r="AC279" s="21">
        <f t="shared" si="32"/>
        <v>315.7</v>
      </c>
      <c r="AD279" s="27">
        <v>146.4</v>
      </c>
      <c r="AE279" s="27">
        <v>152.4</v>
      </c>
      <c r="AF279" s="27">
        <v>162.5</v>
      </c>
      <c r="AG279" s="21">
        <f t="shared" si="33"/>
        <v>314.89999999999998</v>
      </c>
      <c r="AH279" s="27">
        <v>182.7</v>
      </c>
      <c r="AI279" s="27">
        <v>154.30000000000001</v>
      </c>
      <c r="AJ279" s="21">
        <f t="shared" si="34"/>
        <v>337</v>
      </c>
      <c r="AK279" s="21">
        <v>157.5</v>
      </c>
    </row>
    <row r="280" spans="1:37">
      <c r="A280" s="21" t="s">
        <v>33</v>
      </c>
      <c r="B280" s="26">
        <v>2020</v>
      </c>
      <c r="C280" s="21" t="s">
        <v>43</v>
      </c>
      <c r="D280" s="21" t="str">
        <f t="shared" si="28"/>
        <v>No</v>
      </c>
      <c r="E280" s="27">
        <v>150.6</v>
      </c>
      <c r="F280" s="27">
        <v>193.7</v>
      </c>
      <c r="G280" s="27">
        <v>164.8</v>
      </c>
      <c r="H280" s="27">
        <v>153.69999999999999</v>
      </c>
      <c r="I280" s="27">
        <v>135.69999999999999</v>
      </c>
      <c r="J280" s="27">
        <v>155.69999999999999</v>
      </c>
      <c r="K280" s="27">
        <v>226</v>
      </c>
      <c r="L280" s="27">
        <v>152.19999999999999</v>
      </c>
      <c r="M280" s="27">
        <v>118.1</v>
      </c>
      <c r="N280" s="27">
        <v>161.30000000000001</v>
      </c>
      <c r="O280" s="27">
        <v>139.19999999999999</v>
      </c>
      <c r="P280" s="27">
        <v>164.8</v>
      </c>
      <c r="Q280" s="27">
        <v>164.4</v>
      </c>
      <c r="R280" s="21">
        <f t="shared" si="29"/>
        <v>2080.1999999999998</v>
      </c>
      <c r="S280" s="21">
        <v>150.5</v>
      </c>
      <c r="T280" s="21">
        <v>136.1</v>
      </c>
      <c r="U280" s="21">
        <v>148.30000000000001</v>
      </c>
      <c r="V280" s="21">
        <f t="shared" si="30"/>
        <v>434.90000000000003</v>
      </c>
      <c r="W280" s="22">
        <v>156.5</v>
      </c>
      <c r="X280" s="21">
        <v>137.1</v>
      </c>
      <c r="Y280" s="21">
        <v>145.1</v>
      </c>
      <c r="Z280" s="22">
        <f t="shared" si="31"/>
        <v>438.70000000000005</v>
      </c>
      <c r="AA280" s="21">
        <v>151</v>
      </c>
      <c r="AB280" s="21">
        <v>158.1</v>
      </c>
      <c r="AC280" s="21">
        <f t="shared" si="32"/>
        <v>309.10000000000002</v>
      </c>
      <c r="AD280" s="27">
        <v>135.4</v>
      </c>
      <c r="AE280" s="27">
        <v>142</v>
      </c>
      <c r="AF280" s="27">
        <v>155.69999999999999</v>
      </c>
      <c r="AG280" s="21">
        <f t="shared" si="33"/>
        <v>297.7</v>
      </c>
      <c r="AH280" s="27">
        <v>188.7</v>
      </c>
      <c r="AI280" s="27">
        <v>146.19999999999999</v>
      </c>
      <c r="AJ280" s="21">
        <f t="shared" si="34"/>
        <v>334.9</v>
      </c>
      <c r="AK280" s="21">
        <v>155.19999999999999</v>
      </c>
    </row>
    <row r="281" spans="1:37">
      <c r="A281" s="21" t="s">
        <v>34</v>
      </c>
      <c r="B281" s="26">
        <v>2020</v>
      </c>
      <c r="C281" s="21" t="s">
        <v>43</v>
      </c>
      <c r="D281" s="21" t="str">
        <f t="shared" si="28"/>
        <v>No</v>
      </c>
      <c r="E281" s="27">
        <v>147.5</v>
      </c>
      <c r="F281" s="27">
        <v>188.9</v>
      </c>
      <c r="G281" s="27">
        <v>161.4</v>
      </c>
      <c r="H281" s="27">
        <v>153.6</v>
      </c>
      <c r="I281" s="27">
        <v>140.1</v>
      </c>
      <c r="J281" s="27">
        <v>151.19999999999999</v>
      </c>
      <c r="K281" s="27">
        <v>209.2</v>
      </c>
      <c r="L281" s="27">
        <v>150.9</v>
      </c>
      <c r="M281" s="27">
        <v>116.2</v>
      </c>
      <c r="N281" s="27">
        <v>161</v>
      </c>
      <c r="O281" s="27">
        <v>144</v>
      </c>
      <c r="P281" s="27">
        <v>163.19999999999999</v>
      </c>
      <c r="Q281" s="27">
        <v>161.4</v>
      </c>
      <c r="R281" s="21">
        <f t="shared" si="29"/>
        <v>2048.6000000000004</v>
      </c>
      <c r="S281" s="21">
        <v>153.69999999999999</v>
      </c>
      <c r="T281" s="21">
        <v>144.6</v>
      </c>
      <c r="U281" s="21">
        <v>152.30000000000001</v>
      </c>
      <c r="V281" s="21">
        <f t="shared" si="30"/>
        <v>450.59999999999997</v>
      </c>
      <c r="W281" s="22">
        <v>156.5</v>
      </c>
      <c r="X281" s="21">
        <v>143.1</v>
      </c>
      <c r="Y281" s="21">
        <v>148.69999999999999</v>
      </c>
      <c r="Z281" s="22">
        <f t="shared" si="31"/>
        <v>448.3</v>
      </c>
      <c r="AA281" s="21">
        <v>156.30000000000001</v>
      </c>
      <c r="AB281" s="21">
        <v>157</v>
      </c>
      <c r="AC281" s="21">
        <f t="shared" si="32"/>
        <v>313.3</v>
      </c>
      <c r="AD281" s="27">
        <v>140.6</v>
      </c>
      <c r="AE281" s="27">
        <v>146.5</v>
      </c>
      <c r="AF281" s="27">
        <v>158.5</v>
      </c>
      <c r="AG281" s="21">
        <f t="shared" si="33"/>
        <v>305</v>
      </c>
      <c r="AH281" s="27">
        <v>184.3</v>
      </c>
      <c r="AI281" s="27">
        <v>150.4</v>
      </c>
      <c r="AJ281" s="21">
        <f t="shared" si="34"/>
        <v>334.70000000000005</v>
      </c>
      <c r="AK281" s="21">
        <v>156.4</v>
      </c>
    </row>
    <row r="282" spans="1:37">
      <c r="A282" s="21" t="s">
        <v>30</v>
      </c>
      <c r="B282" s="26">
        <v>2020</v>
      </c>
      <c r="C282" s="21" t="s">
        <v>45</v>
      </c>
      <c r="D282" s="21" t="str">
        <f t="shared" si="28"/>
        <v>No</v>
      </c>
      <c r="E282" s="27">
        <v>145.4</v>
      </c>
      <c r="F282" s="27">
        <v>188.6</v>
      </c>
      <c r="G282" s="27">
        <v>171.6</v>
      </c>
      <c r="H282" s="27">
        <v>153.80000000000001</v>
      </c>
      <c r="I282" s="27">
        <v>145.4</v>
      </c>
      <c r="J282" s="27">
        <v>146.5</v>
      </c>
      <c r="K282" s="27">
        <v>222.2</v>
      </c>
      <c r="L282" s="27">
        <v>155.9</v>
      </c>
      <c r="M282" s="27">
        <v>114.9</v>
      </c>
      <c r="N282" s="27">
        <v>162</v>
      </c>
      <c r="O282" s="27">
        <v>150</v>
      </c>
      <c r="P282" s="27">
        <v>162.69999999999999</v>
      </c>
      <c r="Q282" s="27">
        <v>163.4</v>
      </c>
      <c r="R282" s="21">
        <f t="shared" si="29"/>
        <v>2082.4</v>
      </c>
      <c r="S282" s="21">
        <v>156.30000000000001</v>
      </c>
      <c r="T282" s="21">
        <v>151</v>
      </c>
      <c r="U282" s="21">
        <v>155.5</v>
      </c>
      <c r="V282" s="21">
        <f t="shared" si="30"/>
        <v>462.8</v>
      </c>
      <c r="W282" s="22">
        <v>139.25</v>
      </c>
      <c r="X282" s="21">
        <v>147.5</v>
      </c>
      <c r="Y282" s="21">
        <v>152.80000000000001</v>
      </c>
      <c r="Z282" s="22">
        <f t="shared" si="31"/>
        <v>439.55</v>
      </c>
      <c r="AA282" s="21">
        <v>160.4</v>
      </c>
      <c r="AB282" s="21">
        <v>156.19999999999999</v>
      </c>
      <c r="AC282" s="21">
        <f t="shared" si="32"/>
        <v>316.60000000000002</v>
      </c>
      <c r="AD282" s="27">
        <v>146.1</v>
      </c>
      <c r="AE282" s="27">
        <v>153.6</v>
      </c>
      <c r="AF282" s="27">
        <v>161.6</v>
      </c>
      <c r="AG282" s="21">
        <f t="shared" si="33"/>
        <v>315.2</v>
      </c>
      <c r="AH282" s="27">
        <v>183.4</v>
      </c>
      <c r="AI282" s="27">
        <v>154.5</v>
      </c>
      <c r="AJ282" s="21">
        <f t="shared" si="34"/>
        <v>337.9</v>
      </c>
      <c r="AK282" s="21">
        <v>159.80000000000001</v>
      </c>
    </row>
    <row r="283" spans="1:37">
      <c r="A283" s="21" t="s">
        <v>33</v>
      </c>
      <c r="B283" s="26">
        <v>2020</v>
      </c>
      <c r="C283" s="21" t="s">
        <v>45</v>
      </c>
      <c r="D283" s="21" t="str">
        <f t="shared" si="28"/>
        <v>No</v>
      </c>
      <c r="E283" s="27">
        <v>149.69999999999999</v>
      </c>
      <c r="F283" s="27">
        <v>195.5</v>
      </c>
      <c r="G283" s="27">
        <v>176.9</v>
      </c>
      <c r="H283" s="27">
        <v>153.9</v>
      </c>
      <c r="I283" s="27">
        <v>138</v>
      </c>
      <c r="J283" s="27">
        <v>150.5</v>
      </c>
      <c r="K283" s="27">
        <v>245.3</v>
      </c>
      <c r="L283" s="27">
        <v>158.69999999999999</v>
      </c>
      <c r="M283" s="27">
        <v>117.2</v>
      </c>
      <c r="N283" s="27">
        <v>161.4</v>
      </c>
      <c r="O283" s="27">
        <v>141.5</v>
      </c>
      <c r="P283" s="27">
        <v>165.1</v>
      </c>
      <c r="Q283" s="27">
        <v>167</v>
      </c>
      <c r="R283" s="21">
        <f t="shared" si="29"/>
        <v>2120.6999999999998</v>
      </c>
      <c r="S283" s="21">
        <v>151.1</v>
      </c>
      <c r="T283" s="21">
        <v>136.4</v>
      </c>
      <c r="U283" s="21">
        <v>148.80000000000001</v>
      </c>
      <c r="V283" s="21">
        <f t="shared" si="30"/>
        <v>436.3</v>
      </c>
      <c r="W283" s="22">
        <v>158</v>
      </c>
      <c r="X283" s="21">
        <v>137.30000000000001</v>
      </c>
      <c r="Y283" s="21">
        <v>145.1</v>
      </c>
      <c r="Z283" s="22">
        <f t="shared" si="31"/>
        <v>440.4</v>
      </c>
      <c r="AA283" s="21">
        <v>152</v>
      </c>
      <c r="AB283" s="21">
        <v>157.9</v>
      </c>
      <c r="AC283" s="21">
        <f t="shared" si="32"/>
        <v>309.89999999999998</v>
      </c>
      <c r="AD283" s="27">
        <v>135.19999999999999</v>
      </c>
      <c r="AE283" s="27">
        <v>144.4</v>
      </c>
      <c r="AF283" s="27">
        <v>156.4</v>
      </c>
      <c r="AG283" s="21">
        <f t="shared" si="33"/>
        <v>300.8</v>
      </c>
      <c r="AH283" s="27">
        <v>188.8</v>
      </c>
      <c r="AI283" s="27">
        <v>146.6</v>
      </c>
      <c r="AJ283" s="21">
        <f t="shared" si="34"/>
        <v>335.4</v>
      </c>
      <c r="AK283" s="21">
        <v>156.69999999999999</v>
      </c>
    </row>
    <row r="284" spans="1:37">
      <c r="A284" s="21" t="s">
        <v>34</v>
      </c>
      <c r="B284" s="26">
        <v>2020</v>
      </c>
      <c r="C284" s="21" t="s">
        <v>45</v>
      </c>
      <c r="D284" s="21" t="str">
        <f t="shared" si="28"/>
        <v>No</v>
      </c>
      <c r="E284" s="27">
        <v>146.80000000000001</v>
      </c>
      <c r="F284" s="27">
        <v>191</v>
      </c>
      <c r="G284" s="27">
        <v>173.6</v>
      </c>
      <c r="H284" s="27">
        <v>153.80000000000001</v>
      </c>
      <c r="I284" s="27">
        <v>142.69999999999999</v>
      </c>
      <c r="J284" s="27">
        <v>148.4</v>
      </c>
      <c r="K284" s="27">
        <v>230</v>
      </c>
      <c r="L284" s="27">
        <v>156.80000000000001</v>
      </c>
      <c r="M284" s="27">
        <v>115.7</v>
      </c>
      <c r="N284" s="27">
        <v>161.80000000000001</v>
      </c>
      <c r="O284" s="27">
        <v>146.5</v>
      </c>
      <c r="P284" s="27">
        <v>163.80000000000001</v>
      </c>
      <c r="Q284" s="27">
        <v>164.7</v>
      </c>
      <c r="R284" s="21">
        <f t="shared" si="29"/>
        <v>2095.6</v>
      </c>
      <c r="S284" s="21">
        <v>154.30000000000001</v>
      </c>
      <c r="T284" s="21">
        <v>144.9</v>
      </c>
      <c r="U284" s="21">
        <v>152.80000000000001</v>
      </c>
      <c r="V284" s="21">
        <f t="shared" si="30"/>
        <v>452.00000000000006</v>
      </c>
      <c r="W284" s="22">
        <v>158</v>
      </c>
      <c r="X284" s="21">
        <v>143.6</v>
      </c>
      <c r="Y284" s="21">
        <v>149.19999999999999</v>
      </c>
      <c r="Z284" s="22">
        <f t="shared" si="31"/>
        <v>450.8</v>
      </c>
      <c r="AA284" s="21">
        <v>157.19999999999999</v>
      </c>
      <c r="AB284" s="21">
        <v>156.9</v>
      </c>
      <c r="AC284" s="21">
        <f t="shared" si="32"/>
        <v>314.10000000000002</v>
      </c>
      <c r="AD284" s="27">
        <v>140.4</v>
      </c>
      <c r="AE284" s="27">
        <v>148.4</v>
      </c>
      <c r="AF284" s="27">
        <v>158.6</v>
      </c>
      <c r="AG284" s="21">
        <f t="shared" si="33"/>
        <v>307</v>
      </c>
      <c r="AH284" s="27">
        <v>184.8</v>
      </c>
      <c r="AI284" s="27">
        <v>150.69999999999999</v>
      </c>
      <c r="AJ284" s="21">
        <f t="shared" si="34"/>
        <v>335.5</v>
      </c>
      <c r="AK284" s="21">
        <v>158.4</v>
      </c>
    </row>
    <row r="285" spans="1:37">
      <c r="A285" s="21" t="s">
        <v>30</v>
      </c>
      <c r="B285" s="26">
        <v>2020</v>
      </c>
      <c r="C285" s="21" t="s">
        <v>46</v>
      </c>
      <c r="D285" s="21" t="str">
        <f t="shared" si="28"/>
        <v>No</v>
      </c>
      <c r="E285" s="27">
        <v>144.6</v>
      </c>
      <c r="F285" s="27">
        <v>188.5</v>
      </c>
      <c r="G285" s="27">
        <v>173.4</v>
      </c>
      <c r="H285" s="27">
        <v>154</v>
      </c>
      <c r="I285" s="27">
        <v>150</v>
      </c>
      <c r="J285" s="27">
        <v>145.9</v>
      </c>
      <c r="K285" s="27">
        <v>225.2</v>
      </c>
      <c r="L285" s="27">
        <v>159.5</v>
      </c>
      <c r="M285" s="27">
        <v>114.4</v>
      </c>
      <c r="N285" s="27">
        <v>163.5</v>
      </c>
      <c r="O285" s="27">
        <v>153.4</v>
      </c>
      <c r="P285" s="27">
        <v>163.6</v>
      </c>
      <c r="Q285" s="27">
        <v>164.5</v>
      </c>
      <c r="R285" s="21">
        <f t="shared" si="29"/>
        <v>2100.5</v>
      </c>
      <c r="S285" s="21">
        <v>157</v>
      </c>
      <c r="T285" s="21">
        <v>151.6</v>
      </c>
      <c r="U285" s="21">
        <v>156.30000000000001</v>
      </c>
      <c r="V285" s="21">
        <f t="shared" si="30"/>
        <v>464.90000000000003</v>
      </c>
      <c r="W285" s="22">
        <v>139.25</v>
      </c>
      <c r="X285" s="21">
        <v>148.69999999999999</v>
      </c>
      <c r="Y285" s="21">
        <v>153.4</v>
      </c>
      <c r="Z285" s="22">
        <f t="shared" si="31"/>
        <v>441.35</v>
      </c>
      <c r="AA285" s="21">
        <v>161.6</v>
      </c>
      <c r="AB285" s="21">
        <v>156.6</v>
      </c>
      <c r="AC285" s="21">
        <f t="shared" si="32"/>
        <v>318.2</v>
      </c>
      <c r="AD285" s="27">
        <v>146.4</v>
      </c>
      <c r="AE285" s="27">
        <v>153.9</v>
      </c>
      <c r="AF285" s="27">
        <v>162.9</v>
      </c>
      <c r="AG285" s="21">
        <f t="shared" si="33"/>
        <v>316.8</v>
      </c>
      <c r="AH285" s="27">
        <v>183.6</v>
      </c>
      <c r="AI285" s="27">
        <v>155.19999999999999</v>
      </c>
      <c r="AJ285" s="21">
        <f t="shared" si="34"/>
        <v>338.79999999999995</v>
      </c>
      <c r="AK285" s="21">
        <v>160.69999999999999</v>
      </c>
    </row>
    <row r="286" spans="1:37">
      <c r="A286" s="21" t="s">
        <v>33</v>
      </c>
      <c r="B286" s="26">
        <v>2020</v>
      </c>
      <c r="C286" s="21" t="s">
        <v>46</v>
      </c>
      <c r="D286" s="21" t="str">
        <f t="shared" si="28"/>
        <v>No</v>
      </c>
      <c r="E286" s="27">
        <v>149</v>
      </c>
      <c r="F286" s="27">
        <v>195.7</v>
      </c>
      <c r="G286" s="27">
        <v>178.3</v>
      </c>
      <c r="H286" s="27">
        <v>154.19999999999999</v>
      </c>
      <c r="I286" s="27">
        <v>140.69999999999999</v>
      </c>
      <c r="J286" s="27">
        <v>149.69999999999999</v>
      </c>
      <c r="K286" s="27">
        <v>240.9</v>
      </c>
      <c r="L286" s="27">
        <v>161.5</v>
      </c>
      <c r="M286" s="27">
        <v>117.1</v>
      </c>
      <c r="N286" s="27">
        <v>161.9</v>
      </c>
      <c r="O286" s="27">
        <v>143.30000000000001</v>
      </c>
      <c r="P286" s="27">
        <v>166.1</v>
      </c>
      <c r="Q286" s="27">
        <v>167</v>
      </c>
      <c r="R286" s="21">
        <f t="shared" si="29"/>
        <v>2125.4</v>
      </c>
      <c r="S286" s="21">
        <v>151.9</v>
      </c>
      <c r="T286" s="21">
        <v>136.69999999999999</v>
      </c>
      <c r="U286" s="21">
        <v>149.6</v>
      </c>
      <c r="V286" s="21">
        <f t="shared" si="30"/>
        <v>438.20000000000005</v>
      </c>
      <c r="W286" s="22">
        <v>158.4</v>
      </c>
      <c r="X286" s="21">
        <v>137.9</v>
      </c>
      <c r="Y286" s="21">
        <v>145.5</v>
      </c>
      <c r="Z286" s="22">
        <f t="shared" si="31"/>
        <v>441.8</v>
      </c>
      <c r="AA286" s="21">
        <v>152.9</v>
      </c>
      <c r="AB286" s="21">
        <v>157.9</v>
      </c>
      <c r="AC286" s="21">
        <f t="shared" si="32"/>
        <v>310.8</v>
      </c>
      <c r="AD286" s="27">
        <v>135.5</v>
      </c>
      <c r="AE286" s="27">
        <v>144.30000000000001</v>
      </c>
      <c r="AF286" s="27">
        <v>156.9</v>
      </c>
      <c r="AG286" s="21">
        <f t="shared" si="33"/>
        <v>301.20000000000005</v>
      </c>
      <c r="AH286" s="27">
        <v>190.2</v>
      </c>
      <c r="AI286" s="27">
        <v>146.9</v>
      </c>
      <c r="AJ286" s="21">
        <f t="shared" si="34"/>
        <v>337.1</v>
      </c>
      <c r="AK286" s="21">
        <v>156.9</v>
      </c>
    </row>
    <row r="287" spans="1:37">
      <c r="A287" s="21" t="s">
        <v>34</v>
      </c>
      <c r="B287" s="26">
        <v>2020</v>
      </c>
      <c r="C287" s="21" t="s">
        <v>46</v>
      </c>
      <c r="D287" s="21" t="str">
        <f t="shared" si="28"/>
        <v>No</v>
      </c>
      <c r="E287" s="27">
        <v>146</v>
      </c>
      <c r="F287" s="27">
        <v>191</v>
      </c>
      <c r="G287" s="27">
        <v>175.3</v>
      </c>
      <c r="H287" s="27">
        <v>154.1</v>
      </c>
      <c r="I287" s="27">
        <v>146.6</v>
      </c>
      <c r="J287" s="27">
        <v>147.69999999999999</v>
      </c>
      <c r="K287" s="27">
        <v>230.5</v>
      </c>
      <c r="L287" s="27">
        <v>160.19999999999999</v>
      </c>
      <c r="M287" s="27">
        <v>115.3</v>
      </c>
      <c r="N287" s="27">
        <v>163</v>
      </c>
      <c r="O287" s="27">
        <v>149.19999999999999</v>
      </c>
      <c r="P287" s="27">
        <v>164.8</v>
      </c>
      <c r="Q287" s="27">
        <v>165.4</v>
      </c>
      <c r="R287" s="21">
        <f t="shared" si="29"/>
        <v>2109.1</v>
      </c>
      <c r="S287" s="21">
        <v>155</v>
      </c>
      <c r="T287" s="21">
        <v>145.4</v>
      </c>
      <c r="U287" s="21">
        <v>153.6</v>
      </c>
      <c r="V287" s="21">
        <f t="shared" si="30"/>
        <v>454</v>
      </c>
      <c r="W287" s="22">
        <v>158.4</v>
      </c>
      <c r="X287" s="21">
        <v>144.6</v>
      </c>
      <c r="Y287" s="21">
        <v>149.69999999999999</v>
      </c>
      <c r="Z287" s="22">
        <f t="shared" si="31"/>
        <v>452.7</v>
      </c>
      <c r="AA287" s="21">
        <v>158.30000000000001</v>
      </c>
      <c r="AB287" s="21">
        <v>157.1</v>
      </c>
      <c r="AC287" s="21">
        <f t="shared" si="32"/>
        <v>315.39999999999998</v>
      </c>
      <c r="AD287" s="27">
        <v>140.69999999999999</v>
      </c>
      <c r="AE287" s="27">
        <v>148.5</v>
      </c>
      <c r="AF287" s="27">
        <v>159.4</v>
      </c>
      <c r="AG287" s="21">
        <f t="shared" si="33"/>
        <v>307.89999999999998</v>
      </c>
      <c r="AH287" s="27">
        <v>185.4</v>
      </c>
      <c r="AI287" s="27">
        <v>151.19999999999999</v>
      </c>
      <c r="AJ287" s="21">
        <f t="shared" si="34"/>
        <v>336.6</v>
      </c>
      <c r="AK287" s="21">
        <v>158.9</v>
      </c>
    </row>
    <row r="288" spans="1:37">
      <c r="A288" s="21" t="s">
        <v>30</v>
      </c>
      <c r="B288" s="26">
        <v>2021</v>
      </c>
      <c r="C288" s="21" t="s">
        <v>31</v>
      </c>
      <c r="D288" s="21" t="str">
        <f t="shared" si="28"/>
        <v>No</v>
      </c>
      <c r="E288" s="27">
        <v>143.4</v>
      </c>
      <c r="F288" s="27">
        <v>187.5</v>
      </c>
      <c r="G288" s="27">
        <v>173.4</v>
      </c>
      <c r="H288" s="27">
        <v>154</v>
      </c>
      <c r="I288" s="27">
        <v>154.80000000000001</v>
      </c>
      <c r="J288" s="27">
        <v>147</v>
      </c>
      <c r="K288" s="27">
        <v>187.8</v>
      </c>
      <c r="L288" s="27">
        <v>159.5</v>
      </c>
      <c r="M288" s="27">
        <v>113.8</v>
      </c>
      <c r="N288" s="27">
        <v>164.5</v>
      </c>
      <c r="O288" s="27">
        <v>156.1</v>
      </c>
      <c r="P288" s="27">
        <v>164.3</v>
      </c>
      <c r="Q288" s="27">
        <v>159.6</v>
      </c>
      <c r="R288" s="21">
        <f t="shared" si="29"/>
        <v>2065.6999999999998</v>
      </c>
      <c r="S288" s="21">
        <v>157.5</v>
      </c>
      <c r="T288" s="21">
        <v>152.4</v>
      </c>
      <c r="U288" s="21">
        <v>156.80000000000001</v>
      </c>
      <c r="V288" s="21">
        <f t="shared" si="30"/>
        <v>466.7</v>
      </c>
      <c r="W288" s="22">
        <v>139.25</v>
      </c>
      <c r="X288" s="21">
        <v>150.9</v>
      </c>
      <c r="Y288" s="21">
        <v>153.9</v>
      </c>
      <c r="Z288" s="22">
        <f t="shared" si="31"/>
        <v>444.04999999999995</v>
      </c>
      <c r="AA288" s="21">
        <v>162.5</v>
      </c>
      <c r="AB288" s="21">
        <v>156.19999999999999</v>
      </c>
      <c r="AC288" s="21">
        <f t="shared" si="32"/>
        <v>318.7</v>
      </c>
      <c r="AD288" s="27">
        <v>147.5</v>
      </c>
      <c r="AE288" s="27">
        <v>155.1</v>
      </c>
      <c r="AF288" s="27">
        <v>163.5</v>
      </c>
      <c r="AG288" s="21">
        <f t="shared" si="33"/>
        <v>318.60000000000002</v>
      </c>
      <c r="AH288" s="27">
        <v>184.6</v>
      </c>
      <c r="AI288" s="27">
        <v>155.9</v>
      </c>
      <c r="AJ288" s="21">
        <f t="shared" si="34"/>
        <v>340.5</v>
      </c>
      <c r="AK288" s="21">
        <v>158.5</v>
      </c>
    </row>
    <row r="289" spans="1:37">
      <c r="A289" s="21" t="s">
        <v>33</v>
      </c>
      <c r="B289" s="26">
        <v>2021</v>
      </c>
      <c r="C289" s="21" t="s">
        <v>31</v>
      </c>
      <c r="D289" s="21" t="str">
        <f t="shared" si="28"/>
        <v>No</v>
      </c>
      <c r="E289" s="27">
        <v>148</v>
      </c>
      <c r="F289" s="27">
        <v>194.8</v>
      </c>
      <c r="G289" s="27">
        <v>178.4</v>
      </c>
      <c r="H289" s="27">
        <v>154.4</v>
      </c>
      <c r="I289" s="27">
        <v>144.1</v>
      </c>
      <c r="J289" s="27">
        <v>152.6</v>
      </c>
      <c r="K289" s="27">
        <v>206.8</v>
      </c>
      <c r="L289" s="27">
        <v>162.1</v>
      </c>
      <c r="M289" s="27">
        <v>116.3</v>
      </c>
      <c r="N289" s="27">
        <v>163</v>
      </c>
      <c r="O289" s="27">
        <v>145.9</v>
      </c>
      <c r="P289" s="27">
        <v>167.2</v>
      </c>
      <c r="Q289" s="27">
        <v>163.4</v>
      </c>
      <c r="R289" s="21">
        <f t="shared" si="29"/>
        <v>2097</v>
      </c>
      <c r="S289" s="21">
        <v>152.5</v>
      </c>
      <c r="T289" s="21">
        <v>137.30000000000001</v>
      </c>
      <c r="U289" s="21">
        <v>150.19999999999999</v>
      </c>
      <c r="V289" s="21">
        <f t="shared" si="30"/>
        <v>440</v>
      </c>
      <c r="W289" s="22">
        <v>157.69999999999999</v>
      </c>
      <c r="X289" s="21">
        <v>142.9</v>
      </c>
      <c r="Y289" s="21">
        <v>145.69999999999999</v>
      </c>
      <c r="Z289" s="22">
        <f t="shared" si="31"/>
        <v>446.3</v>
      </c>
      <c r="AA289" s="21">
        <v>154.1</v>
      </c>
      <c r="AB289" s="21">
        <v>157.69999999999999</v>
      </c>
      <c r="AC289" s="21">
        <f t="shared" si="32"/>
        <v>311.79999999999995</v>
      </c>
      <c r="AD289" s="27">
        <v>136.9</v>
      </c>
      <c r="AE289" s="27">
        <v>145.4</v>
      </c>
      <c r="AF289" s="27">
        <v>156.1</v>
      </c>
      <c r="AG289" s="21">
        <f t="shared" si="33"/>
        <v>301.5</v>
      </c>
      <c r="AH289" s="27">
        <v>191.8</v>
      </c>
      <c r="AI289" s="27">
        <v>147.6</v>
      </c>
      <c r="AJ289" s="21">
        <f t="shared" si="34"/>
        <v>339.4</v>
      </c>
      <c r="AK289" s="21">
        <v>156</v>
      </c>
    </row>
    <row r="290" spans="1:37">
      <c r="A290" s="21" t="s">
        <v>34</v>
      </c>
      <c r="B290" s="26">
        <v>2021</v>
      </c>
      <c r="C290" s="21" t="s">
        <v>31</v>
      </c>
      <c r="D290" s="21" t="str">
        <f t="shared" si="28"/>
        <v>No</v>
      </c>
      <c r="E290" s="27">
        <v>144.9</v>
      </c>
      <c r="F290" s="27">
        <v>190.1</v>
      </c>
      <c r="G290" s="27">
        <v>175.3</v>
      </c>
      <c r="H290" s="27">
        <v>154.1</v>
      </c>
      <c r="I290" s="27">
        <v>150.9</v>
      </c>
      <c r="J290" s="27">
        <v>149.6</v>
      </c>
      <c r="K290" s="27">
        <v>194.2</v>
      </c>
      <c r="L290" s="27">
        <v>160.4</v>
      </c>
      <c r="M290" s="27">
        <v>114.6</v>
      </c>
      <c r="N290" s="27">
        <v>164</v>
      </c>
      <c r="O290" s="27">
        <v>151.80000000000001</v>
      </c>
      <c r="P290" s="27">
        <v>165.6</v>
      </c>
      <c r="Q290" s="27">
        <v>161</v>
      </c>
      <c r="R290" s="21">
        <f t="shared" si="29"/>
        <v>2076.5</v>
      </c>
      <c r="S290" s="21">
        <v>155.5</v>
      </c>
      <c r="T290" s="21">
        <v>146.1</v>
      </c>
      <c r="U290" s="21">
        <v>154.19999999999999</v>
      </c>
      <c r="V290" s="21">
        <f t="shared" si="30"/>
        <v>455.8</v>
      </c>
      <c r="W290" s="22">
        <v>157.69999999999999</v>
      </c>
      <c r="X290" s="21">
        <v>147.9</v>
      </c>
      <c r="Y290" s="21">
        <v>150</v>
      </c>
      <c r="Z290" s="22">
        <f t="shared" si="31"/>
        <v>455.6</v>
      </c>
      <c r="AA290" s="21">
        <v>159.30000000000001</v>
      </c>
      <c r="AB290" s="21">
        <v>156.80000000000001</v>
      </c>
      <c r="AC290" s="21">
        <f t="shared" si="32"/>
        <v>316.10000000000002</v>
      </c>
      <c r="AD290" s="27">
        <v>141.9</v>
      </c>
      <c r="AE290" s="27">
        <v>149.6</v>
      </c>
      <c r="AF290" s="27">
        <v>159.19999999999999</v>
      </c>
      <c r="AG290" s="21">
        <f t="shared" si="33"/>
        <v>308.79999999999995</v>
      </c>
      <c r="AH290" s="27">
        <v>186.5</v>
      </c>
      <c r="AI290" s="27">
        <v>151.9</v>
      </c>
      <c r="AJ290" s="21">
        <f t="shared" si="34"/>
        <v>338.4</v>
      </c>
      <c r="AK290" s="21">
        <v>157.30000000000001</v>
      </c>
    </row>
    <row r="291" spans="1:37">
      <c r="A291" s="21" t="s">
        <v>30</v>
      </c>
      <c r="B291" s="26">
        <v>2021</v>
      </c>
      <c r="C291" s="21" t="s">
        <v>35</v>
      </c>
      <c r="D291" s="21" t="str">
        <f t="shared" si="28"/>
        <v>No</v>
      </c>
      <c r="E291" s="27">
        <v>142.80000000000001</v>
      </c>
      <c r="F291" s="27">
        <v>184</v>
      </c>
      <c r="G291" s="27">
        <v>168</v>
      </c>
      <c r="H291" s="27">
        <v>154.4</v>
      </c>
      <c r="I291" s="27">
        <v>163</v>
      </c>
      <c r="J291" s="27">
        <v>147.80000000000001</v>
      </c>
      <c r="K291" s="27">
        <v>149.69999999999999</v>
      </c>
      <c r="L291" s="27">
        <v>158.30000000000001</v>
      </c>
      <c r="M291" s="27">
        <v>111.8</v>
      </c>
      <c r="N291" s="27">
        <v>165</v>
      </c>
      <c r="O291" s="27">
        <v>160</v>
      </c>
      <c r="P291" s="27">
        <v>165.8</v>
      </c>
      <c r="Q291" s="27">
        <v>154.69999999999999</v>
      </c>
      <c r="R291" s="21">
        <f t="shared" si="29"/>
        <v>2025.3</v>
      </c>
      <c r="S291" s="21">
        <v>159.1</v>
      </c>
      <c r="T291" s="21">
        <v>153.9</v>
      </c>
      <c r="U291" s="21">
        <v>158.4</v>
      </c>
      <c r="V291" s="21">
        <f t="shared" si="30"/>
        <v>471.4</v>
      </c>
      <c r="W291" s="22">
        <v>139.25</v>
      </c>
      <c r="X291" s="21">
        <v>154.4</v>
      </c>
      <c r="Y291" s="21">
        <v>154.80000000000001</v>
      </c>
      <c r="Z291" s="22">
        <f t="shared" si="31"/>
        <v>448.45</v>
      </c>
      <c r="AA291" s="21">
        <v>164.3</v>
      </c>
      <c r="AB291" s="21">
        <v>155.19999999999999</v>
      </c>
      <c r="AC291" s="21">
        <f t="shared" si="32"/>
        <v>319.5</v>
      </c>
      <c r="AD291" s="27">
        <v>150.19999999999999</v>
      </c>
      <c r="AE291" s="27">
        <v>157</v>
      </c>
      <c r="AF291" s="27">
        <v>163.6</v>
      </c>
      <c r="AG291" s="21">
        <f t="shared" si="33"/>
        <v>320.60000000000002</v>
      </c>
      <c r="AH291" s="27">
        <v>186.5</v>
      </c>
      <c r="AI291" s="27">
        <v>157.19999999999999</v>
      </c>
      <c r="AJ291" s="21">
        <f t="shared" si="34"/>
        <v>343.7</v>
      </c>
      <c r="AK291" s="21">
        <v>156.69999999999999</v>
      </c>
    </row>
    <row r="292" spans="1:37">
      <c r="A292" s="21" t="s">
        <v>33</v>
      </c>
      <c r="B292" s="26">
        <v>2021</v>
      </c>
      <c r="C292" s="21" t="s">
        <v>35</v>
      </c>
      <c r="D292" s="21" t="str">
        <f t="shared" si="28"/>
        <v>No</v>
      </c>
      <c r="E292" s="27">
        <v>147.6</v>
      </c>
      <c r="F292" s="27">
        <v>191.2</v>
      </c>
      <c r="G292" s="27">
        <v>169.9</v>
      </c>
      <c r="H292" s="27">
        <v>155.1</v>
      </c>
      <c r="I292" s="27">
        <v>151.4</v>
      </c>
      <c r="J292" s="27">
        <v>154</v>
      </c>
      <c r="K292" s="27">
        <v>180.2</v>
      </c>
      <c r="L292" s="27">
        <v>159.80000000000001</v>
      </c>
      <c r="M292" s="27">
        <v>114.9</v>
      </c>
      <c r="N292" s="27">
        <v>162.5</v>
      </c>
      <c r="O292" s="27">
        <v>149.19999999999999</v>
      </c>
      <c r="P292" s="27">
        <v>169.4</v>
      </c>
      <c r="Q292" s="27">
        <v>160.80000000000001</v>
      </c>
      <c r="R292" s="21">
        <f t="shared" si="29"/>
        <v>2066</v>
      </c>
      <c r="S292" s="21">
        <v>154.19999999999999</v>
      </c>
      <c r="T292" s="21">
        <v>138.19999999999999</v>
      </c>
      <c r="U292" s="21">
        <v>151.80000000000001</v>
      </c>
      <c r="V292" s="21">
        <f t="shared" si="30"/>
        <v>444.2</v>
      </c>
      <c r="W292" s="22">
        <v>159.80000000000001</v>
      </c>
      <c r="X292" s="21">
        <v>149.1</v>
      </c>
      <c r="Y292" s="21">
        <v>146.5</v>
      </c>
      <c r="Z292" s="22">
        <f t="shared" si="31"/>
        <v>455.4</v>
      </c>
      <c r="AA292" s="21">
        <v>156.30000000000001</v>
      </c>
      <c r="AB292" s="21">
        <v>156.69999999999999</v>
      </c>
      <c r="AC292" s="21">
        <f t="shared" si="32"/>
        <v>313</v>
      </c>
      <c r="AD292" s="27">
        <v>140.5</v>
      </c>
      <c r="AE292" s="27">
        <v>147.30000000000001</v>
      </c>
      <c r="AF292" s="27">
        <v>156.6</v>
      </c>
      <c r="AG292" s="21">
        <f t="shared" si="33"/>
        <v>303.89999999999998</v>
      </c>
      <c r="AH292" s="27">
        <v>193.3</v>
      </c>
      <c r="AI292" s="27">
        <v>149.30000000000001</v>
      </c>
      <c r="AJ292" s="21">
        <f t="shared" si="34"/>
        <v>342.6</v>
      </c>
      <c r="AK292" s="21">
        <v>156.5</v>
      </c>
    </row>
    <row r="293" spans="1:37">
      <c r="A293" s="21" t="s">
        <v>34</v>
      </c>
      <c r="B293" s="26">
        <v>2021</v>
      </c>
      <c r="C293" s="21" t="s">
        <v>35</v>
      </c>
      <c r="D293" s="21" t="str">
        <f t="shared" si="28"/>
        <v>No</v>
      </c>
      <c r="E293" s="27">
        <v>144.30000000000001</v>
      </c>
      <c r="F293" s="27">
        <v>186.5</v>
      </c>
      <c r="G293" s="27">
        <v>168.7</v>
      </c>
      <c r="H293" s="27">
        <v>154.69999999999999</v>
      </c>
      <c r="I293" s="27">
        <v>158.69999999999999</v>
      </c>
      <c r="J293" s="27">
        <v>150.69999999999999</v>
      </c>
      <c r="K293" s="27">
        <v>160</v>
      </c>
      <c r="L293" s="27">
        <v>158.80000000000001</v>
      </c>
      <c r="M293" s="27">
        <v>112.8</v>
      </c>
      <c r="N293" s="27">
        <v>164.2</v>
      </c>
      <c r="O293" s="27">
        <v>155.5</v>
      </c>
      <c r="P293" s="27">
        <v>167.5</v>
      </c>
      <c r="Q293" s="27">
        <v>156.9</v>
      </c>
      <c r="R293" s="21">
        <f t="shared" si="29"/>
        <v>2039.3000000000002</v>
      </c>
      <c r="S293" s="21">
        <v>157.19999999999999</v>
      </c>
      <c r="T293" s="21">
        <v>147.4</v>
      </c>
      <c r="U293" s="21">
        <v>155.80000000000001</v>
      </c>
      <c r="V293" s="21">
        <f t="shared" si="30"/>
        <v>460.40000000000003</v>
      </c>
      <c r="W293" s="22">
        <v>159.80000000000001</v>
      </c>
      <c r="X293" s="21">
        <v>152.4</v>
      </c>
      <c r="Y293" s="21">
        <v>150.9</v>
      </c>
      <c r="Z293" s="22">
        <f t="shared" si="31"/>
        <v>463.1</v>
      </c>
      <c r="AA293" s="21">
        <v>161.30000000000001</v>
      </c>
      <c r="AB293" s="21">
        <v>155.80000000000001</v>
      </c>
      <c r="AC293" s="21">
        <f t="shared" si="32"/>
        <v>317.10000000000002</v>
      </c>
      <c r="AD293" s="27">
        <v>145.1</v>
      </c>
      <c r="AE293" s="27">
        <v>151.5</v>
      </c>
      <c r="AF293" s="27">
        <v>159.5</v>
      </c>
      <c r="AG293" s="21">
        <f t="shared" si="33"/>
        <v>311</v>
      </c>
      <c r="AH293" s="27">
        <v>188.3</v>
      </c>
      <c r="AI293" s="27">
        <v>153.4</v>
      </c>
      <c r="AJ293" s="21">
        <f t="shared" si="34"/>
        <v>341.70000000000005</v>
      </c>
      <c r="AK293" s="21">
        <v>156.6</v>
      </c>
    </row>
    <row r="294" spans="1:37">
      <c r="A294" s="21" t="s">
        <v>30</v>
      </c>
      <c r="B294" s="26">
        <v>2021</v>
      </c>
      <c r="C294" s="21" t="s">
        <v>36</v>
      </c>
      <c r="D294" s="21" t="str">
        <f t="shared" si="28"/>
        <v>No</v>
      </c>
      <c r="E294" s="27">
        <v>142.5</v>
      </c>
      <c r="F294" s="27">
        <v>189.4</v>
      </c>
      <c r="G294" s="27">
        <v>163.19999999999999</v>
      </c>
      <c r="H294" s="27">
        <v>154.5</v>
      </c>
      <c r="I294" s="27">
        <v>168.2</v>
      </c>
      <c r="J294" s="27">
        <v>150.5</v>
      </c>
      <c r="K294" s="27">
        <v>141</v>
      </c>
      <c r="L294" s="27">
        <v>159.19999999999999</v>
      </c>
      <c r="M294" s="27">
        <v>111.7</v>
      </c>
      <c r="N294" s="27">
        <v>164</v>
      </c>
      <c r="O294" s="27">
        <v>160.6</v>
      </c>
      <c r="P294" s="27">
        <v>166.4</v>
      </c>
      <c r="Q294" s="27">
        <v>154.5</v>
      </c>
      <c r="R294" s="21">
        <f t="shared" si="29"/>
        <v>2025.7</v>
      </c>
      <c r="S294" s="21">
        <v>159.6</v>
      </c>
      <c r="T294" s="21">
        <v>154.4</v>
      </c>
      <c r="U294" s="21">
        <v>158.9</v>
      </c>
      <c r="V294" s="21">
        <f t="shared" si="30"/>
        <v>472.9</v>
      </c>
      <c r="W294" s="22">
        <v>139.25</v>
      </c>
      <c r="X294" s="21">
        <v>156</v>
      </c>
      <c r="Y294" s="21">
        <v>154.80000000000001</v>
      </c>
      <c r="Z294" s="22">
        <f t="shared" si="31"/>
        <v>450.05</v>
      </c>
      <c r="AA294" s="21">
        <v>164.6</v>
      </c>
      <c r="AB294" s="21">
        <v>153.1</v>
      </c>
      <c r="AC294" s="21">
        <f t="shared" si="32"/>
        <v>317.7</v>
      </c>
      <c r="AD294" s="27">
        <v>151.30000000000001</v>
      </c>
      <c r="AE294" s="27">
        <v>157.80000000000001</v>
      </c>
      <c r="AF294" s="27">
        <v>163.80000000000001</v>
      </c>
      <c r="AG294" s="21">
        <f t="shared" si="33"/>
        <v>321.60000000000002</v>
      </c>
      <c r="AH294" s="27">
        <v>186.1</v>
      </c>
      <c r="AI294" s="27">
        <v>157.30000000000001</v>
      </c>
      <c r="AJ294" s="21">
        <f t="shared" si="34"/>
        <v>343.4</v>
      </c>
      <c r="AK294" s="21">
        <v>156.69999999999999</v>
      </c>
    </row>
    <row r="295" spans="1:37">
      <c r="A295" s="21" t="s">
        <v>33</v>
      </c>
      <c r="B295" s="26">
        <v>2021</v>
      </c>
      <c r="C295" s="21" t="s">
        <v>36</v>
      </c>
      <c r="D295" s="21" t="str">
        <f t="shared" si="28"/>
        <v>No</v>
      </c>
      <c r="E295" s="27">
        <v>147.5</v>
      </c>
      <c r="F295" s="27">
        <v>197.5</v>
      </c>
      <c r="G295" s="27">
        <v>164.7</v>
      </c>
      <c r="H295" s="27">
        <v>155.6</v>
      </c>
      <c r="I295" s="27">
        <v>156.4</v>
      </c>
      <c r="J295" s="27">
        <v>157.30000000000001</v>
      </c>
      <c r="K295" s="27">
        <v>166.1</v>
      </c>
      <c r="L295" s="27">
        <v>161.1</v>
      </c>
      <c r="M295" s="27">
        <v>114.3</v>
      </c>
      <c r="N295" s="27">
        <v>162.6</v>
      </c>
      <c r="O295" s="27">
        <v>150.69999999999999</v>
      </c>
      <c r="P295" s="27">
        <v>170.3</v>
      </c>
      <c r="Q295" s="27">
        <v>160.4</v>
      </c>
      <c r="R295" s="21">
        <f t="shared" si="29"/>
        <v>2064.4999999999995</v>
      </c>
      <c r="S295" s="21">
        <v>155.1</v>
      </c>
      <c r="T295" s="21">
        <v>138.69999999999999</v>
      </c>
      <c r="U295" s="21">
        <v>152.6</v>
      </c>
      <c r="V295" s="21">
        <f t="shared" si="30"/>
        <v>446.4</v>
      </c>
      <c r="W295" s="22">
        <v>159.9</v>
      </c>
      <c r="X295" s="21">
        <v>154.80000000000001</v>
      </c>
      <c r="Y295" s="21">
        <v>147.19999999999999</v>
      </c>
      <c r="Z295" s="22">
        <f t="shared" si="31"/>
        <v>461.90000000000003</v>
      </c>
      <c r="AA295" s="21">
        <v>156.9</v>
      </c>
      <c r="AB295" s="21">
        <v>154.9</v>
      </c>
      <c r="AC295" s="21">
        <f t="shared" si="32"/>
        <v>311.8</v>
      </c>
      <c r="AD295" s="27">
        <v>141.69999999999999</v>
      </c>
      <c r="AE295" s="27">
        <v>148.6</v>
      </c>
      <c r="AF295" s="27">
        <v>157.6</v>
      </c>
      <c r="AG295" s="21">
        <f t="shared" si="33"/>
        <v>306.2</v>
      </c>
      <c r="AH295" s="27">
        <v>193.5</v>
      </c>
      <c r="AI295" s="27">
        <v>150</v>
      </c>
      <c r="AJ295" s="21">
        <f t="shared" si="34"/>
        <v>343.5</v>
      </c>
      <c r="AK295" s="21">
        <v>156.9</v>
      </c>
    </row>
    <row r="296" spans="1:37">
      <c r="A296" s="21" t="s">
        <v>34</v>
      </c>
      <c r="B296" s="26">
        <v>2021</v>
      </c>
      <c r="C296" s="21" t="s">
        <v>36</v>
      </c>
      <c r="D296" s="21" t="str">
        <f t="shared" si="28"/>
        <v>No</v>
      </c>
      <c r="E296" s="27">
        <v>144.1</v>
      </c>
      <c r="F296" s="27">
        <v>192.2</v>
      </c>
      <c r="G296" s="27">
        <v>163.80000000000001</v>
      </c>
      <c r="H296" s="27">
        <v>154.9</v>
      </c>
      <c r="I296" s="27">
        <v>163.9</v>
      </c>
      <c r="J296" s="27">
        <v>153.69999999999999</v>
      </c>
      <c r="K296" s="27">
        <v>149.5</v>
      </c>
      <c r="L296" s="27">
        <v>159.80000000000001</v>
      </c>
      <c r="M296" s="27">
        <v>112.6</v>
      </c>
      <c r="N296" s="27">
        <v>163.5</v>
      </c>
      <c r="O296" s="27">
        <v>156.5</v>
      </c>
      <c r="P296" s="27">
        <v>168.2</v>
      </c>
      <c r="Q296" s="27">
        <v>156.69999999999999</v>
      </c>
      <c r="R296" s="21">
        <f t="shared" si="29"/>
        <v>2039.3999999999999</v>
      </c>
      <c r="S296" s="21">
        <v>157.80000000000001</v>
      </c>
      <c r="T296" s="21">
        <v>147.9</v>
      </c>
      <c r="U296" s="21">
        <v>156.4</v>
      </c>
      <c r="V296" s="21">
        <f t="shared" si="30"/>
        <v>462.1</v>
      </c>
      <c r="W296" s="22">
        <v>159.9</v>
      </c>
      <c r="X296" s="21">
        <v>155.5</v>
      </c>
      <c r="Y296" s="21">
        <v>151.19999999999999</v>
      </c>
      <c r="Z296" s="22">
        <f t="shared" si="31"/>
        <v>466.59999999999997</v>
      </c>
      <c r="AA296" s="21">
        <v>161.69999999999999</v>
      </c>
      <c r="AB296" s="21">
        <v>153.80000000000001</v>
      </c>
      <c r="AC296" s="21">
        <f t="shared" si="32"/>
        <v>315.5</v>
      </c>
      <c r="AD296" s="27">
        <v>146.19999999999999</v>
      </c>
      <c r="AE296" s="27">
        <v>152.6</v>
      </c>
      <c r="AF296" s="27">
        <v>160.19999999999999</v>
      </c>
      <c r="AG296" s="21">
        <f t="shared" si="33"/>
        <v>312.79999999999995</v>
      </c>
      <c r="AH296" s="27">
        <v>188.1</v>
      </c>
      <c r="AI296" s="27">
        <v>153.80000000000001</v>
      </c>
      <c r="AJ296" s="21">
        <f t="shared" si="34"/>
        <v>341.9</v>
      </c>
      <c r="AK296" s="21">
        <v>156.80000000000001</v>
      </c>
    </row>
    <row r="297" spans="1:37">
      <c r="A297" s="21" t="s">
        <v>30</v>
      </c>
      <c r="B297" s="26">
        <v>2021</v>
      </c>
      <c r="C297" s="21" t="s">
        <v>37</v>
      </c>
      <c r="D297" s="21" t="str">
        <f t="shared" si="28"/>
        <v>No</v>
      </c>
      <c r="E297" s="27">
        <v>142.69999999999999</v>
      </c>
      <c r="F297" s="27">
        <v>195.5</v>
      </c>
      <c r="G297" s="27">
        <v>163.4</v>
      </c>
      <c r="H297" s="27">
        <v>155</v>
      </c>
      <c r="I297" s="27">
        <v>175.2</v>
      </c>
      <c r="J297" s="27">
        <v>160.6</v>
      </c>
      <c r="K297" s="27">
        <v>135.1</v>
      </c>
      <c r="L297" s="27">
        <v>161.1</v>
      </c>
      <c r="M297" s="27">
        <v>112.2</v>
      </c>
      <c r="N297" s="27">
        <v>164.4</v>
      </c>
      <c r="O297" s="27">
        <v>161.9</v>
      </c>
      <c r="P297" s="27">
        <v>166.8</v>
      </c>
      <c r="Q297" s="27">
        <v>155.6</v>
      </c>
      <c r="R297" s="21">
        <f t="shared" si="29"/>
        <v>2049.5</v>
      </c>
      <c r="S297" s="21">
        <v>160.69999999999999</v>
      </c>
      <c r="T297" s="21">
        <v>155.1</v>
      </c>
      <c r="U297" s="21">
        <v>159.9</v>
      </c>
      <c r="V297" s="21">
        <f t="shared" si="30"/>
        <v>475.69999999999993</v>
      </c>
      <c r="W297" s="22">
        <v>139.25</v>
      </c>
      <c r="X297" s="21">
        <v>156</v>
      </c>
      <c r="Y297" s="21">
        <v>155.5</v>
      </c>
      <c r="Z297" s="22">
        <f t="shared" si="31"/>
        <v>450.75</v>
      </c>
      <c r="AA297" s="21">
        <v>165.3</v>
      </c>
      <c r="AB297" s="21">
        <v>154.6</v>
      </c>
      <c r="AC297" s="21">
        <f t="shared" si="32"/>
        <v>319.89999999999998</v>
      </c>
      <c r="AD297" s="27">
        <v>151.69999999999999</v>
      </c>
      <c r="AE297" s="27">
        <v>158.6</v>
      </c>
      <c r="AF297" s="27">
        <v>164.1</v>
      </c>
      <c r="AG297" s="21">
        <f t="shared" si="33"/>
        <v>322.7</v>
      </c>
      <c r="AH297" s="27">
        <v>186.8</v>
      </c>
      <c r="AI297" s="27">
        <v>158</v>
      </c>
      <c r="AJ297" s="21">
        <f t="shared" si="34"/>
        <v>344.8</v>
      </c>
      <c r="AK297" s="21">
        <v>157.6</v>
      </c>
    </row>
    <row r="298" spans="1:37">
      <c r="A298" s="21" t="s">
        <v>33</v>
      </c>
      <c r="B298" s="26">
        <v>2021</v>
      </c>
      <c r="C298" s="21" t="s">
        <v>37</v>
      </c>
      <c r="D298" s="21" t="str">
        <f t="shared" si="28"/>
        <v>No</v>
      </c>
      <c r="E298" s="27">
        <v>147.6</v>
      </c>
      <c r="F298" s="27">
        <v>202.5</v>
      </c>
      <c r="G298" s="27">
        <v>166.4</v>
      </c>
      <c r="H298" s="27">
        <v>156</v>
      </c>
      <c r="I298" s="27">
        <v>161.4</v>
      </c>
      <c r="J298" s="27">
        <v>168.8</v>
      </c>
      <c r="K298" s="27">
        <v>161.6</v>
      </c>
      <c r="L298" s="27">
        <v>162.80000000000001</v>
      </c>
      <c r="M298" s="27">
        <v>114.8</v>
      </c>
      <c r="N298" s="27">
        <v>162.80000000000001</v>
      </c>
      <c r="O298" s="27">
        <v>151.5</v>
      </c>
      <c r="P298" s="27">
        <v>171.4</v>
      </c>
      <c r="Q298" s="27">
        <v>162</v>
      </c>
      <c r="R298" s="21">
        <f t="shared" si="29"/>
        <v>2089.6</v>
      </c>
      <c r="S298" s="21">
        <v>155.9</v>
      </c>
      <c r="T298" s="21">
        <v>139.30000000000001</v>
      </c>
      <c r="U298" s="21">
        <v>153.4</v>
      </c>
      <c r="V298" s="21">
        <f t="shared" si="30"/>
        <v>448.6</v>
      </c>
      <c r="W298" s="22">
        <v>161.4</v>
      </c>
      <c r="X298" s="21">
        <v>154.9</v>
      </c>
      <c r="Y298" s="21">
        <v>147.6</v>
      </c>
      <c r="Z298" s="22">
        <f t="shared" si="31"/>
        <v>463.9</v>
      </c>
      <c r="AA298" s="21">
        <v>157.5</v>
      </c>
      <c r="AB298" s="21">
        <v>156.6</v>
      </c>
      <c r="AC298" s="21">
        <f t="shared" si="32"/>
        <v>314.10000000000002</v>
      </c>
      <c r="AD298" s="27">
        <v>142.1</v>
      </c>
      <c r="AE298" s="27">
        <v>149.1</v>
      </c>
      <c r="AF298" s="27">
        <v>157.6</v>
      </c>
      <c r="AG298" s="21">
        <f t="shared" si="33"/>
        <v>306.7</v>
      </c>
      <c r="AH298" s="27">
        <v>194.4</v>
      </c>
      <c r="AI298" s="27">
        <v>150.5</v>
      </c>
      <c r="AJ298" s="21">
        <f t="shared" si="34"/>
        <v>344.9</v>
      </c>
      <c r="AK298" s="21">
        <v>158</v>
      </c>
    </row>
    <row r="299" spans="1:37">
      <c r="A299" s="21" t="s">
        <v>34</v>
      </c>
      <c r="B299" s="26">
        <v>2021</v>
      </c>
      <c r="C299" s="21" t="s">
        <v>37</v>
      </c>
      <c r="D299" s="21" t="str">
        <f t="shared" si="28"/>
        <v>No</v>
      </c>
      <c r="E299" s="27">
        <v>144.30000000000001</v>
      </c>
      <c r="F299" s="27">
        <v>198</v>
      </c>
      <c r="G299" s="27">
        <v>164.6</v>
      </c>
      <c r="H299" s="27">
        <v>155.4</v>
      </c>
      <c r="I299" s="27">
        <v>170.1</v>
      </c>
      <c r="J299" s="27">
        <v>164.4</v>
      </c>
      <c r="K299" s="27">
        <v>144.1</v>
      </c>
      <c r="L299" s="27">
        <v>161.69999999999999</v>
      </c>
      <c r="M299" s="27">
        <v>113.1</v>
      </c>
      <c r="N299" s="27">
        <v>163.9</v>
      </c>
      <c r="O299" s="27">
        <v>157.6</v>
      </c>
      <c r="P299" s="27">
        <v>168.9</v>
      </c>
      <c r="Q299" s="27">
        <v>158</v>
      </c>
      <c r="R299" s="21">
        <f t="shared" si="29"/>
        <v>2064.1</v>
      </c>
      <c r="S299" s="21">
        <v>158.80000000000001</v>
      </c>
      <c r="T299" s="21">
        <v>148.5</v>
      </c>
      <c r="U299" s="21">
        <v>157.30000000000001</v>
      </c>
      <c r="V299" s="21">
        <f t="shared" si="30"/>
        <v>464.6</v>
      </c>
      <c r="W299" s="22">
        <v>161.4</v>
      </c>
      <c r="X299" s="21">
        <v>155.6</v>
      </c>
      <c r="Y299" s="21">
        <v>151.80000000000001</v>
      </c>
      <c r="Z299" s="22">
        <f t="shared" si="31"/>
        <v>468.8</v>
      </c>
      <c r="AA299" s="21">
        <v>162.30000000000001</v>
      </c>
      <c r="AB299" s="21">
        <v>155.4</v>
      </c>
      <c r="AC299" s="21">
        <f t="shared" si="32"/>
        <v>317.70000000000005</v>
      </c>
      <c r="AD299" s="27">
        <v>146.6</v>
      </c>
      <c r="AE299" s="27">
        <v>153.19999999999999</v>
      </c>
      <c r="AF299" s="27">
        <v>160.30000000000001</v>
      </c>
      <c r="AG299" s="21">
        <f t="shared" si="33"/>
        <v>313.5</v>
      </c>
      <c r="AH299" s="27">
        <v>188.8</v>
      </c>
      <c r="AI299" s="27">
        <v>154.4</v>
      </c>
      <c r="AJ299" s="21">
        <f t="shared" si="34"/>
        <v>343.20000000000005</v>
      </c>
      <c r="AK299" s="21">
        <v>157.80000000000001</v>
      </c>
    </row>
    <row r="300" spans="1:37">
      <c r="A300" s="21" t="s">
        <v>30</v>
      </c>
      <c r="B300" s="26">
        <v>2021</v>
      </c>
      <c r="C300" s="21" t="s">
        <v>38</v>
      </c>
      <c r="D300" s="21" t="str">
        <f t="shared" si="28"/>
        <v>No</v>
      </c>
      <c r="E300" s="27">
        <v>145.1</v>
      </c>
      <c r="F300" s="27">
        <v>198.5</v>
      </c>
      <c r="G300" s="27">
        <v>168.6</v>
      </c>
      <c r="H300" s="27">
        <v>155.80000000000001</v>
      </c>
      <c r="I300" s="27">
        <v>184.4</v>
      </c>
      <c r="J300" s="27">
        <v>162.30000000000001</v>
      </c>
      <c r="K300" s="27">
        <v>138.4</v>
      </c>
      <c r="L300" s="27">
        <v>165.1</v>
      </c>
      <c r="M300" s="27">
        <v>114.3</v>
      </c>
      <c r="N300" s="27">
        <v>169.7</v>
      </c>
      <c r="O300" s="27">
        <v>164.6</v>
      </c>
      <c r="P300" s="27">
        <v>169.8</v>
      </c>
      <c r="Q300" s="27">
        <v>158.69999999999999</v>
      </c>
      <c r="R300" s="21">
        <f t="shared" si="29"/>
        <v>2095.2999999999997</v>
      </c>
      <c r="S300" s="21">
        <v>165.3</v>
      </c>
      <c r="T300" s="21">
        <v>160.6</v>
      </c>
      <c r="U300" s="21">
        <v>164.5</v>
      </c>
      <c r="V300" s="21">
        <f t="shared" si="30"/>
        <v>490.4</v>
      </c>
      <c r="W300" s="22">
        <v>139.25</v>
      </c>
      <c r="X300" s="21">
        <v>161.69999999999999</v>
      </c>
      <c r="Y300" s="21">
        <v>158.80000000000001</v>
      </c>
      <c r="Z300" s="22">
        <f t="shared" si="31"/>
        <v>459.75</v>
      </c>
      <c r="AA300" s="21">
        <v>169.1</v>
      </c>
      <c r="AB300" s="21">
        <v>159.30000000000001</v>
      </c>
      <c r="AC300" s="21">
        <f t="shared" si="32"/>
        <v>328.4</v>
      </c>
      <c r="AD300" s="27">
        <v>153.19999999999999</v>
      </c>
      <c r="AE300" s="27">
        <v>160</v>
      </c>
      <c r="AF300" s="27">
        <v>167.6</v>
      </c>
      <c r="AG300" s="21">
        <f t="shared" si="33"/>
        <v>327.60000000000002</v>
      </c>
      <c r="AH300" s="27">
        <v>189.6</v>
      </c>
      <c r="AI300" s="27">
        <v>161.1</v>
      </c>
      <c r="AJ300" s="21">
        <f t="shared" si="34"/>
        <v>350.7</v>
      </c>
      <c r="AK300" s="21">
        <v>161.1</v>
      </c>
    </row>
    <row r="301" spans="1:37">
      <c r="A301" s="21" t="s">
        <v>33</v>
      </c>
      <c r="B301" s="26">
        <v>2021</v>
      </c>
      <c r="C301" s="21" t="s">
        <v>38</v>
      </c>
      <c r="D301" s="21" t="str">
        <f t="shared" si="28"/>
        <v>No</v>
      </c>
      <c r="E301" s="27">
        <v>148.80000000000001</v>
      </c>
      <c r="F301" s="27">
        <v>204.3</v>
      </c>
      <c r="G301" s="27">
        <v>173</v>
      </c>
      <c r="H301" s="27">
        <v>156.5</v>
      </c>
      <c r="I301" s="27">
        <v>168.8</v>
      </c>
      <c r="J301" s="27">
        <v>172.5</v>
      </c>
      <c r="K301" s="27">
        <v>166.5</v>
      </c>
      <c r="L301" s="27">
        <v>165.9</v>
      </c>
      <c r="M301" s="27">
        <v>115.9</v>
      </c>
      <c r="N301" s="27">
        <v>165.2</v>
      </c>
      <c r="O301" s="27">
        <v>152</v>
      </c>
      <c r="P301" s="27">
        <v>171.1</v>
      </c>
      <c r="Q301" s="27">
        <v>164.2</v>
      </c>
      <c r="R301" s="21">
        <f t="shared" si="29"/>
        <v>2124.7000000000003</v>
      </c>
      <c r="S301" s="21">
        <v>156.5</v>
      </c>
      <c r="T301" s="21">
        <v>140.19999999999999</v>
      </c>
      <c r="U301" s="21">
        <v>154.1</v>
      </c>
      <c r="V301" s="21">
        <f t="shared" si="30"/>
        <v>450.79999999999995</v>
      </c>
      <c r="W301" s="22">
        <v>161.6</v>
      </c>
      <c r="X301" s="21">
        <v>155.5</v>
      </c>
      <c r="Y301" s="21">
        <v>150.1</v>
      </c>
      <c r="Z301" s="22">
        <f t="shared" si="31"/>
        <v>467.20000000000005</v>
      </c>
      <c r="AA301" s="21">
        <v>160.4</v>
      </c>
      <c r="AB301" s="21">
        <v>157.5</v>
      </c>
      <c r="AC301" s="21">
        <f t="shared" si="32"/>
        <v>317.89999999999998</v>
      </c>
      <c r="AD301" s="27">
        <v>145</v>
      </c>
      <c r="AE301" s="27">
        <v>152.6</v>
      </c>
      <c r="AF301" s="27">
        <v>156.6</v>
      </c>
      <c r="AG301" s="21">
        <f t="shared" si="33"/>
        <v>309.2</v>
      </c>
      <c r="AH301" s="27">
        <v>198.2</v>
      </c>
      <c r="AI301" s="27">
        <v>152.30000000000001</v>
      </c>
      <c r="AJ301" s="21">
        <f t="shared" si="34"/>
        <v>350.5</v>
      </c>
      <c r="AK301" s="21">
        <v>159.5</v>
      </c>
    </row>
    <row r="302" spans="1:37">
      <c r="A302" s="21" t="s">
        <v>34</v>
      </c>
      <c r="B302" s="26">
        <v>2021</v>
      </c>
      <c r="C302" s="21" t="s">
        <v>38</v>
      </c>
      <c r="D302" s="21" t="str">
        <f t="shared" si="28"/>
        <v>No</v>
      </c>
      <c r="E302" s="27">
        <v>146.30000000000001</v>
      </c>
      <c r="F302" s="27">
        <v>200.5</v>
      </c>
      <c r="G302" s="27">
        <v>170.3</v>
      </c>
      <c r="H302" s="27">
        <v>156.1</v>
      </c>
      <c r="I302" s="27">
        <v>178.7</v>
      </c>
      <c r="J302" s="27">
        <v>167.1</v>
      </c>
      <c r="K302" s="27">
        <v>147.9</v>
      </c>
      <c r="L302" s="27">
        <v>165.4</v>
      </c>
      <c r="M302" s="27">
        <v>114.8</v>
      </c>
      <c r="N302" s="27">
        <v>168.2</v>
      </c>
      <c r="O302" s="27">
        <v>159.30000000000001</v>
      </c>
      <c r="P302" s="27">
        <v>170.4</v>
      </c>
      <c r="Q302" s="27">
        <v>160.69999999999999</v>
      </c>
      <c r="R302" s="21">
        <f t="shared" si="29"/>
        <v>2105.7000000000003</v>
      </c>
      <c r="S302" s="21">
        <v>161.80000000000001</v>
      </c>
      <c r="T302" s="21">
        <v>152.1</v>
      </c>
      <c r="U302" s="21">
        <v>160.4</v>
      </c>
      <c r="V302" s="21">
        <f t="shared" si="30"/>
        <v>474.29999999999995</v>
      </c>
      <c r="W302" s="22">
        <v>161.6</v>
      </c>
      <c r="X302" s="21">
        <v>159.4</v>
      </c>
      <c r="Y302" s="21">
        <v>154.69999999999999</v>
      </c>
      <c r="Z302" s="22">
        <f t="shared" si="31"/>
        <v>475.7</v>
      </c>
      <c r="AA302" s="21">
        <v>165.8</v>
      </c>
      <c r="AB302" s="21">
        <v>158.6</v>
      </c>
      <c r="AC302" s="21">
        <f t="shared" si="32"/>
        <v>324.39999999999998</v>
      </c>
      <c r="AD302" s="27">
        <v>148.9</v>
      </c>
      <c r="AE302" s="27">
        <v>155.80000000000001</v>
      </c>
      <c r="AF302" s="27">
        <v>161.19999999999999</v>
      </c>
      <c r="AG302" s="21">
        <f t="shared" si="33"/>
        <v>317</v>
      </c>
      <c r="AH302" s="27">
        <v>191.9</v>
      </c>
      <c r="AI302" s="27">
        <v>156.80000000000001</v>
      </c>
      <c r="AJ302" s="21">
        <f t="shared" si="34"/>
        <v>348.70000000000005</v>
      </c>
      <c r="AK302" s="21">
        <v>160.4</v>
      </c>
    </row>
    <row r="303" spans="1:37">
      <c r="A303" s="21" t="s">
        <v>30</v>
      </c>
      <c r="B303" s="26">
        <v>2021</v>
      </c>
      <c r="C303" s="21" t="s">
        <v>39</v>
      </c>
      <c r="D303" s="21" t="str">
        <f t="shared" si="28"/>
        <v>No</v>
      </c>
      <c r="E303" s="27">
        <v>145.6</v>
      </c>
      <c r="F303" s="27">
        <v>200.1</v>
      </c>
      <c r="G303" s="27">
        <v>179.3</v>
      </c>
      <c r="H303" s="27">
        <v>156.1</v>
      </c>
      <c r="I303" s="27">
        <v>190.4</v>
      </c>
      <c r="J303" s="27">
        <v>158.6</v>
      </c>
      <c r="K303" s="27">
        <v>144.69999999999999</v>
      </c>
      <c r="L303" s="27">
        <v>165.5</v>
      </c>
      <c r="M303" s="27">
        <v>114.6</v>
      </c>
      <c r="N303" s="27">
        <v>170</v>
      </c>
      <c r="O303" s="27">
        <v>165.5</v>
      </c>
      <c r="P303" s="27">
        <v>171.7</v>
      </c>
      <c r="Q303" s="27">
        <v>160.5</v>
      </c>
      <c r="R303" s="21">
        <f t="shared" si="29"/>
        <v>2122.6</v>
      </c>
      <c r="S303" s="21">
        <v>165.3</v>
      </c>
      <c r="T303" s="21">
        <v>159.9</v>
      </c>
      <c r="U303" s="21">
        <v>164.6</v>
      </c>
      <c r="V303" s="21">
        <f t="shared" si="30"/>
        <v>489.80000000000007</v>
      </c>
      <c r="W303" s="22">
        <v>139.25</v>
      </c>
      <c r="X303" s="21">
        <v>162.1</v>
      </c>
      <c r="Y303" s="21">
        <v>159.19999999999999</v>
      </c>
      <c r="Z303" s="22">
        <f t="shared" si="31"/>
        <v>460.55</v>
      </c>
      <c r="AA303" s="21">
        <v>169.7</v>
      </c>
      <c r="AB303" s="21">
        <v>159.4</v>
      </c>
      <c r="AC303" s="21">
        <f t="shared" si="32"/>
        <v>329.1</v>
      </c>
      <c r="AD303" s="27">
        <v>154.19999999999999</v>
      </c>
      <c r="AE303" s="27">
        <v>160.4</v>
      </c>
      <c r="AF303" s="27">
        <v>166.8</v>
      </c>
      <c r="AG303" s="21">
        <f t="shared" si="33"/>
        <v>327.20000000000005</v>
      </c>
      <c r="AH303" s="27">
        <v>189.1</v>
      </c>
      <c r="AI303" s="27">
        <v>161.5</v>
      </c>
      <c r="AJ303" s="21">
        <f t="shared" si="34"/>
        <v>350.6</v>
      </c>
      <c r="AK303" s="21">
        <v>162.1</v>
      </c>
    </row>
    <row r="304" spans="1:37">
      <c r="A304" s="21" t="s">
        <v>33</v>
      </c>
      <c r="B304" s="26">
        <v>2021</v>
      </c>
      <c r="C304" s="21" t="s">
        <v>39</v>
      </c>
      <c r="D304" s="21" t="str">
        <f t="shared" si="28"/>
        <v>No</v>
      </c>
      <c r="E304" s="27">
        <v>149.19999999999999</v>
      </c>
      <c r="F304" s="27">
        <v>205.5</v>
      </c>
      <c r="G304" s="27">
        <v>182.8</v>
      </c>
      <c r="H304" s="27">
        <v>156.5</v>
      </c>
      <c r="I304" s="27">
        <v>172.2</v>
      </c>
      <c r="J304" s="27">
        <v>171.5</v>
      </c>
      <c r="K304" s="27">
        <v>176.2</v>
      </c>
      <c r="L304" s="27">
        <v>166.9</v>
      </c>
      <c r="M304" s="27">
        <v>116.1</v>
      </c>
      <c r="N304" s="27">
        <v>165.5</v>
      </c>
      <c r="O304" s="27">
        <v>152.30000000000001</v>
      </c>
      <c r="P304" s="27">
        <v>173.3</v>
      </c>
      <c r="Q304" s="27">
        <v>166.2</v>
      </c>
      <c r="R304" s="21">
        <f t="shared" si="29"/>
        <v>2154.1999999999998</v>
      </c>
      <c r="S304" s="21">
        <v>157.30000000000001</v>
      </c>
      <c r="T304" s="21">
        <v>140.5</v>
      </c>
      <c r="U304" s="21">
        <v>154.80000000000001</v>
      </c>
      <c r="V304" s="21">
        <f t="shared" si="30"/>
        <v>452.6</v>
      </c>
      <c r="W304" s="22">
        <v>160.5</v>
      </c>
      <c r="X304" s="21">
        <v>156.1</v>
      </c>
      <c r="Y304" s="21">
        <v>149.80000000000001</v>
      </c>
      <c r="Z304" s="22">
        <f t="shared" si="31"/>
        <v>466.40000000000003</v>
      </c>
      <c r="AA304" s="21">
        <v>160.80000000000001</v>
      </c>
      <c r="AB304" s="21">
        <v>158</v>
      </c>
      <c r="AC304" s="21">
        <f t="shared" si="32"/>
        <v>318.8</v>
      </c>
      <c r="AD304" s="27">
        <v>147.5</v>
      </c>
      <c r="AE304" s="27">
        <v>150.69999999999999</v>
      </c>
      <c r="AF304" s="27">
        <v>158.1</v>
      </c>
      <c r="AG304" s="21">
        <f t="shared" si="33"/>
        <v>308.79999999999995</v>
      </c>
      <c r="AH304" s="27">
        <v>195.6</v>
      </c>
      <c r="AI304" s="27">
        <v>153.4</v>
      </c>
      <c r="AJ304" s="21">
        <f t="shared" si="34"/>
        <v>349</v>
      </c>
      <c r="AK304" s="21">
        <v>160.4</v>
      </c>
    </row>
    <row r="305" spans="1:37">
      <c r="A305" s="21" t="s">
        <v>34</v>
      </c>
      <c r="B305" s="26">
        <v>2021</v>
      </c>
      <c r="C305" s="21" t="s">
        <v>39</v>
      </c>
      <c r="D305" s="21" t="str">
        <f t="shared" si="28"/>
        <v>No</v>
      </c>
      <c r="E305" s="27">
        <v>146.69999999999999</v>
      </c>
      <c r="F305" s="27">
        <v>202</v>
      </c>
      <c r="G305" s="27">
        <v>180.7</v>
      </c>
      <c r="H305" s="27">
        <v>156.19999999999999</v>
      </c>
      <c r="I305" s="27">
        <v>183.7</v>
      </c>
      <c r="J305" s="27">
        <v>164.6</v>
      </c>
      <c r="K305" s="27">
        <v>155.4</v>
      </c>
      <c r="L305" s="27">
        <v>166</v>
      </c>
      <c r="M305" s="27">
        <v>115.1</v>
      </c>
      <c r="N305" s="27">
        <v>168.5</v>
      </c>
      <c r="O305" s="27">
        <v>160</v>
      </c>
      <c r="P305" s="27">
        <v>172.4</v>
      </c>
      <c r="Q305" s="27">
        <v>162.6</v>
      </c>
      <c r="R305" s="21">
        <f t="shared" si="29"/>
        <v>2133.9</v>
      </c>
      <c r="S305" s="21">
        <v>162.19999999999999</v>
      </c>
      <c r="T305" s="21">
        <v>151.80000000000001</v>
      </c>
      <c r="U305" s="21">
        <v>160.69999999999999</v>
      </c>
      <c r="V305" s="21">
        <f t="shared" si="30"/>
        <v>474.7</v>
      </c>
      <c r="W305" s="22">
        <v>160.5</v>
      </c>
      <c r="X305" s="21">
        <v>159.80000000000001</v>
      </c>
      <c r="Y305" s="21">
        <v>154.80000000000001</v>
      </c>
      <c r="Z305" s="22">
        <f t="shared" si="31"/>
        <v>475.1</v>
      </c>
      <c r="AA305" s="21">
        <v>166.3</v>
      </c>
      <c r="AB305" s="21">
        <v>158.80000000000001</v>
      </c>
      <c r="AC305" s="21">
        <f t="shared" si="32"/>
        <v>325.10000000000002</v>
      </c>
      <c r="AD305" s="27">
        <v>150.69999999999999</v>
      </c>
      <c r="AE305" s="27">
        <v>154.9</v>
      </c>
      <c r="AF305" s="27">
        <v>161.69999999999999</v>
      </c>
      <c r="AG305" s="21">
        <f t="shared" si="33"/>
        <v>316.60000000000002</v>
      </c>
      <c r="AH305" s="27">
        <v>190.8</v>
      </c>
      <c r="AI305" s="27">
        <v>157.6</v>
      </c>
      <c r="AJ305" s="21">
        <f t="shared" si="34"/>
        <v>348.4</v>
      </c>
      <c r="AK305" s="21">
        <v>161.30000000000001</v>
      </c>
    </row>
    <row r="306" spans="1:37">
      <c r="A306" s="21" t="s">
        <v>30</v>
      </c>
      <c r="B306" s="26">
        <v>2021</v>
      </c>
      <c r="C306" s="21" t="s">
        <v>40</v>
      </c>
      <c r="D306" s="21" t="str">
        <f t="shared" si="28"/>
        <v>No</v>
      </c>
      <c r="E306" s="27">
        <v>145.1</v>
      </c>
      <c r="F306" s="27">
        <v>204.5</v>
      </c>
      <c r="G306" s="27">
        <v>180.4</v>
      </c>
      <c r="H306" s="27">
        <v>157.1</v>
      </c>
      <c r="I306" s="27">
        <v>188.7</v>
      </c>
      <c r="J306" s="27">
        <v>157.69999999999999</v>
      </c>
      <c r="K306" s="27">
        <v>152.80000000000001</v>
      </c>
      <c r="L306" s="27">
        <v>163.6</v>
      </c>
      <c r="M306" s="27">
        <v>113.9</v>
      </c>
      <c r="N306" s="27">
        <v>169.7</v>
      </c>
      <c r="O306" s="27">
        <v>166.2</v>
      </c>
      <c r="P306" s="27">
        <v>171</v>
      </c>
      <c r="Q306" s="27">
        <v>161.69999999999999</v>
      </c>
      <c r="R306" s="21">
        <f t="shared" si="29"/>
        <v>2132.4</v>
      </c>
      <c r="S306" s="21">
        <v>166</v>
      </c>
      <c r="T306" s="21">
        <v>161.1</v>
      </c>
      <c r="U306" s="21">
        <v>165.3</v>
      </c>
      <c r="V306" s="21">
        <f t="shared" si="30"/>
        <v>492.40000000000003</v>
      </c>
      <c r="W306" s="22">
        <v>139.25</v>
      </c>
      <c r="X306" s="21">
        <v>162.5</v>
      </c>
      <c r="Y306" s="21">
        <v>160.30000000000001</v>
      </c>
      <c r="Z306" s="22">
        <f t="shared" si="31"/>
        <v>462.05</v>
      </c>
      <c r="AA306" s="21">
        <v>170.4</v>
      </c>
      <c r="AB306" s="21">
        <v>160.4</v>
      </c>
      <c r="AC306" s="21">
        <f t="shared" si="32"/>
        <v>330.8</v>
      </c>
      <c r="AD306" s="27">
        <v>157.1</v>
      </c>
      <c r="AE306" s="27">
        <v>160.69999999999999</v>
      </c>
      <c r="AF306" s="27">
        <v>167.2</v>
      </c>
      <c r="AG306" s="21">
        <f t="shared" si="33"/>
        <v>327.9</v>
      </c>
      <c r="AH306" s="27">
        <v>189.7</v>
      </c>
      <c r="AI306" s="27">
        <v>162.80000000000001</v>
      </c>
      <c r="AJ306" s="21">
        <f t="shared" si="34"/>
        <v>352.5</v>
      </c>
      <c r="AK306" s="21">
        <v>163.19999999999999</v>
      </c>
    </row>
    <row r="307" spans="1:37">
      <c r="A307" s="21" t="s">
        <v>33</v>
      </c>
      <c r="B307" s="26">
        <v>2021</v>
      </c>
      <c r="C307" s="21" t="s">
        <v>40</v>
      </c>
      <c r="D307" s="21" t="str">
        <f t="shared" si="28"/>
        <v>No</v>
      </c>
      <c r="E307" s="27">
        <v>149.1</v>
      </c>
      <c r="F307" s="27">
        <v>210.9</v>
      </c>
      <c r="G307" s="27">
        <v>185</v>
      </c>
      <c r="H307" s="27">
        <v>158.19999999999999</v>
      </c>
      <c r="I307" s="27">
        <v>170.6</v>
      </c>
      <c r="J307" s="27">
        <v>170.9</v>
      </c>
      <c r="K307" s="27">
        <v>186.4</v>
      </c>
      <c r="L307" s="27">
        <v>164.7</v>
      </c>
      <c r="M307" s="27">
        <v>115.7</v>
      </c>
      <c r="N307" s="27">
        <v>165.5</v>
      </c>
      <c r="O307" s="27">
        <v>153.4</v>
      </c>
      <c r="P307" s="27">
        <v>173.5</v>
      </c>
      <c r="Q307" s="27">
        <v>167.9</v>
      </c>
      <c r="R307" s="21">
        <f t="shared" si="29"/>
        <v>2171.8000000000002</v>
      </c>
      <c r="S307" s="21">
        <v>157.9</v>
      </c>
      <c r="T307" s="21">
        <v>141.9</v>
      </c>
      <c r="U307" s="21">
        <v>155.5</v>
      </c>
      <c r="V307" s="21">
        <f t="shared" si="30"/>
        <v>455.3</v>
      </c>
      <c r="W307" s="22">
        <v>161.5</v>
      </c>
      <c r="X307" s="21">
        <v>157.69999999999999</v>
      </c>
      <c r="Y307" s="21">
        <v>150.69999999999999</v>
      </c>
      <c r="Z307" s="22">
        <f t="shared" si="31"/>
        <v>469.9</v>
      </c>
      <c r="AA307" s="21">
        <v>161.5</v>
      </c>
      <c r="AB307" s="21">
        <v>159.6</v>
      </c>
      <c r="AC307" s="21">
        <f t="shared" si="32"/>
        <v>321.10000000000002</v>
      </c>
      <c r="AD307" s="27">
        <v>149.5</v>
      </c>
      <c r="AE307" s="27">
        <v>151.19999999999999</v>
      </c>
      <c r="AF307" s="27">
        <v>160.30000000000001</v>
      </c>
      <c r="AG307" s="21">
        <f t="shared" si="33"/>
        <v>311.5</v>
      </c>
      <c r="AH307" s="27">
        <v>195.5</v>
      </c>
      <c r="AI307" s="27">
        <v>155</v>
      </c>
      <c r="AJ307" s="21">
        <f t="shared" si="34"/>
        <v>350.5</v>
      </c>
      <c r="AK307" s="21">
        <v>161.80000000000001</v>
      </c>
    </row>
    <row r="308" spans="1:37">
      <c r="A308" s="21" t="s">
        <v>34</v>
      </c>
      <c r="B308" s="26">
        <v>2021</v>
      </c>
      <c r="C308" s="21" t="s">
        <v>40</v>
      </c>
      <c r="D308" s="21" t="str">
        <f t="shared" si="28"/>
        <v>No</v>
      </c>
      <c r="E308" s="27">
        <v>146.4</v>
      </c>
      <c r="F308" s="27">
        <v>206.8</v>
      </c>
      <c r="G308" s="27">
        <v>182.2</v>
      </c>
      <c r="H308" s="27">
        <v>157.5</v>
      </c>
      <c r="I308" s="27">
        <v>182.1</v>
      </c>
      <c r="J308" s="27">
        <v>163.9</v>
      </c>
      <c r="K308" s="27">
        <v>164.2</v>
      </c>
      <c r="L308" s="27">
        <v>164</v>
      </c>
      <c r="M308" s="27">
        <v>114.5</v>
      </c>
      <c r="N308" s="27">
        <v>168.3</v>
      </c>
      <c r="O308" s="27">
        <v>160.9</v>
      </c>
      <c r="P308" s="27">
        <v>172.2</v>
      </c>
      <c r="Q308" s="27">
        <v>164</v>
      </c>
      <c r="R308" s="21">
        <f t="shared" si="29"/>
        <v>2147</v>
      </c>
      <c r="S308" s="21">
        <v>162.80000000000001</v>
      </c>
      <c r="T308" s="21">
        <v>153.1</v>
      </c>
      <c r="U308" s="21">
        <v>161.4</v>
      </c>
      <c r="V308" s="21">
        <f t="shared" si="30"/>
        <v>477.29999999999995</v>
      </c>
      <c r="W308" s="22">
        <v>161.5</v>
      </c>
      <c r="X308" s="21">
        <v>160.69999999999999</v>
      </c>
      <c r="Y308" s="21">
        <v>155.80000000000001</v>
      </c>
      <c r="Z308" s="22">
        <f t="shared" si="31"/>
        <v>478</v>
      </c>
      <c r="AA308" s="21">
        <v>167</v>
      </c>
      <c r="AB308" s="21">
        <v>160.1</v>
      </c>
      <c r="AC308" s="21">
        <f t="shared" si="32"/>
        <v>327.10000000000002</v>
      </c>
      <c r="AD308" s="27">
        <v>153.1</v>
      </c>
      <c r="AE308" s="27">
        <v>155.30000000000001</v>
      </c>
      <c r="AF308" s="27">
        <v>163.19999999999999</v>
      </c>
      <c r="AG308" s="21">
        <f t="shared" si="33"/>
        <v>318.5</v>
      </c>
      <c r="AH308" s="27">
        <v>191.2</v>
      </c>
      <c r="AI308" s="27">
        <v>159</v>
      </c>
      <c r="AJ308" s="21">
        <f t="shared" si="34"/>
        <v>350.2</v>
      </c>
      <c r="AK308" s="21">
        <v>162.5</v>
      </c>
    </row>
    <row r="309" spans="1:37">
      <c r="A309" s="21" t="s">
        <v>30</v>
      </c>
      <c r="B309" s="26">
        <v>2021</v>
      </c>
      <c r="C309" s="21" t="s">
        <v>41</v>
      </c>
      <c r="D309" s="21" t="str">
        <f t="shared" si="28"/>
        <v>No</v>
      </c>
      <c r="E309" s="27">
        <v>144.9</v>
      </c>
      <c r="F309" s="27">
        <v>202.3</v>
      </c>
      <c r="G309" s="27">
        <v>176.5</v>
      </c>
      <c r="H309" s="27">
        <v>157.5</v>
      </c>
      <c r="I309" s="27">
        <v>190.9</v>
      </c>
      <c r="J309" s="27">
        <v>155.69999999999999</v>
      </c>
      <c r="K309" s="27">
        <v>153.9</v>
      </c>
      <c r="L309" s="27">
        <v>162.80000000000001</v>
      </c>
      <c r="M309" s="27">
        <v>115.2</v>
      </c>
      <c r="N309" s="27">
        <v>169.8</v>
      </c>
      <c r="O309" s="27">
        <v>167.6</v>
      </c>
      <c r="P309" s="27">
        <v>171.9</v>
      </c>
      <c r="Q309" s="27">
        <v>161.80000000000001</v>
      </c>
      <c r="R309" s="21">
        <f t="shared" si="29"/>
        <v>2130.8000000000002</v>
      </c>
      <c r="S309" s="21">
        <v>167</v>
      </c>
      <c r="T309" s="21">
        <v>162.6</v>
      </c>
      <c r="U309" s="21">
        <v>166.3</v>
      </c>
      <c r="V309" s="21">
        <f t="shared" si="30"/>
        <v>495.90000000000003</v>
      </c>
      <c r="W309" s="22">
        <v>139.25</v>
      </c>
      <c r="X309" s="21">
        <v>163.1</v>
      </c>
      <c r="Y309" s="21">
        <v>160.9</v>
      </c>
      <c r="Z309" s="22">
        <f t="shared" si="31"/>
        <v>463.25</v>
      </c>
      <c r="AA309" s="21">
        <v>171.1</v>
      </c>
      <c r="AB309" s="21">
        <v>160.30000000000001</v>
      </c>
      <c r="AC309" s="21">
        <f t="shared" si="32"/>
        <v>331.4</v>
      </c>
      <c r="AD309" s="27">
        <v>157.69999999999999</v>
      </c>
      <c r="AE309" s="27">
        <v>161.1</v>
      </c>
      <c r="AF309" s="27">
        <v>167.5</v>
      </c>
      <c r="AG309" s="21">
        <f t="shared" si="33"/>
        <v>328.6</v>
      </c>
      <c r="AH309" s="27">
        <v>190.2</v>
      </c>
      <c r="AI309" s="27">
        <v>163.30000000000001</v>
      </c>
      <c r="AJ309" s="21">
        <f t="shared" si="34"/>
        <v>353.5</v>
      </c>
      <c r="AK309" s="21">
        <v>163.6</v>
      </c>
    </row>
    <row r="310" spans="1:37">
      <c r="A310" s="21" t="s">
        <v>33</v>
      </c>
      <c r="B310" s="26">
        <v>2021</v>
      </c>
      <c r="C310" s="21" t="s">
        <v>41</v>
      </c>
      <c r="D310" s="21" t="str">
        <f t="shared" si="28"/>
        <v>Yes</v>
      </c>
      <c r="E310" s="27">
        <v>149.30000000000001</v>
      </c>
      <c r="F310" s="27">
        <v>207.4</v>
      </c>
      <c r="G310" s="27">
        <v>174.1</v>
      </c>
      <c r="H310" s="27">
        <v>159.19999999999999</v>
      </c>
      <c r="I310" s="27">
        <v>175</v>
      </c>
      <c r="J310" s="27">
        <v>161.30000000000001</v>
      </c>
      <c r="K310" s="27">
        <v>183.3</v>
      </c>
      <c r="L310" s="27">
        <v>164.5</v>
      </c>
      <c r="M310" s="27">
        <v>120.4</v>
      </c>
      <c r="N310" s="27">
        <v>166.2</v>
      </c>
      <c r="O310" s="27">
        <v>154.80000000000001</v>
      </c>
      <c r="P310" s="27">
        <v>175.1</v>
      </c>
      <c r="Q310" s="27">
        <v>167.3</v>
      </c>
      <c r="R310" s="21">
        <f t="shared" si="29"/>
        <v>2157.9</v>
      </c>
      <c r="S310" s="21">
        <v>159.80000000000001</v>
      </c>
      <c r="T310" s="21">
        <v>143.6</v>
      </c>
      <c r="U310" s="21">
        <v>157.30000000000001</v>
      </c>
      <c r="V310" s="21">
        <f t="shared" si="30"/>
        <v>460.7</v>
      </c>
      <c r="W310" s="22">
        <v>162.1</v>
      </c>
      <c r="X310" s="21">
        <v>160.69999999999999</v>
      </c>
      <c r="Y310" s="21">
        <v>153.19999999999999</v>
      </c>
      <c r="Z310" s="22">
        <f t="shared" si="31"/>
        <v>475.99999999999994</v>
      </c>
      <c r="AA310" s="21">
        <v>162.80000000000001</v>
      </c>
      <c r="AB310" s="21">
        <v>159.6</v>
      </c>
      <c r="AC310" s="21">
        <f t="shared" si="32"/>
        <v>322.39999999999998</v>
      </c>
      <c r="AD310" s="27">
        <v>150.4</v>
      </c>
      <c r="AE310" s="27">
        <v>153.69999999999999</v>
      </c>
      <c r="AF310" s="27">
        <v>160.4</v>
      </c>
      <c r="AG310" s="21">
        <f t="shared" si="33"/>
        <v>314.10000000000002</v>
      </c>
      <c r="AH310" s="27">
        <v>196.5</v>
      </c>
      <c r="AI310" s="27">
        <v>156</v>
      </c>
      <c r="AJ310" s="21">
        <f t="shared" si="34"/>
        <v>352.5</v>
      </c>
      <c r="AK310" s="21">
        <v>162.30000000000001</v>
      </c>
    </row>
    <row r="311" spans="1:37">
      <c r="A311" s="21" t="s">
        <v>34</v>
      </c>
      <c r="B311" s="26">
        <v>2021</v>
      </c>
      <c r="C311" s="21" t="s">
        <v>41</v>
      </c>
      <c r="D311" s="21" t="str">
        <f t="shared" si="28"/>
        <v>No</v>
      </c>
      <c r="E311" s="27">
        <v>146.6</v>
      </c>
      <c r="F311" s="27">
        <v>204</v>
      </c>
      <c r="G311" s="27">
        <v>172.8</v>
      </c>
      <c r="H311" s="27">
        <v>158.4</v>
      </c>
      <c r="I311" s="27">
        <v>188</v>
      </c>
      <c r="J311" s="27">
        <v>156.80000000000001</v>
      </c>
      <c r="K311" s="27">
        <v>162.19999999999999</v>
      </c>
      <c r="L311" s="27">
        <v>164.1</v>
      </c>
      <c r="M311" s="27">
        <v>119.7</v>
      </c>
      <c r="N311" s="27">
        <v>168.8</v>
      </c>
      <c r="O311" s="27">
        <v>162.69999999999999</v>
      </c>
      <c r="P311" s="27">
        <v>173.9</v>
      </c>
      <c r="Q311" s="27">
        <v>164</v>
      </c>
      <c r="R311" s="21">
        <f t="shared" si="29"/>
        <v>2142</v>
      </c>
      <c r="S311" s="21">
        <v>164.5</v>
      </c>
      <c r="T311" s="21">
        <v>155.30000000000001</v>
      </c>
      <c r="U311" s="21">
        <v>163.19999999999999</v>
      </c>
      <c r="V311" s="21">
        <f t="shared" si="30"/>
        <v>483</v>
      </c>
      <c r="W311" s="22">
        <v>162.1</v>
      </c>
      <c r="X311" s="21">
        <v>162.6</v>
      </c>
      <c r="Y311" s="21">
        <v>157.5</v>
      </c>
      <c r="Z311" s="22">
        <f t="shared" si="31"/>
        <v>482.2</v>
      </c>
      <c r="AA311" s="21">
        <v>168.4</v>
      </c>
      <c r="AB311" s="21">
        <v>160</v>
      </c>
      <c r="AC311" s="21">
        <f t="shared" si="32"/>
        <v>328.4</v>
      </c>
      <c r="AD311" s="27">
        <v>154</v>
      </c>
      <c r="AE311" s="27">
        <v>157.6</v>
      </c>
      <c r="AF311" s="27">
        <v>163.80000000000001</v>
      </c>
      <c r="AG311" s="21">
        <f t="shared" si="33"/>
        <v>321.39999999999998</v>
      </c>
      <c r="AH311" s="27">
        <v>192.1</v>
      </c>
      <c r="AI311" s="27">
        <v>160</v>
      </c>
      <c r="AJ311" s="21">
        <f t="shared" si="34"/>
        <v>352.1</v>
      </c>
      <c r="AK311" s="21">
        <v>163.19999999999999</v>
      </c>
    </row>
    <row r="312" spans="1:37">
      <c r="A312" s="21" t="s">
        <v>30</v>
      </c>
      <c r="B312" s="26">
        <v>2021</v>
      </c>
      <c r="C312" s="21" t="s">
        <v>42</v>
      </c>
      <c r="D312" s="21" t="str">
        <f t="shared" si="28"/>
        <v>No</v>
      </c>
      <c r="E312" s="27">
        <v>145.4</v>
      </c>
      <c r="F312" s="27">
        <v>202.1</v>
      </c>
      <c r="G312" s="27">
        <v>172</v>
      </c>
      <c r="H312" s="27">
        <v>158</v>
      </c>
      <c r="I312" s="27">
        <v>195.5</v>
      </c>
      <c r="J312" s="27">
        <v>152.69999999999999</v>
      </c>
      <c r="K312" s="27">
        <v>151.4</v>
      </c>
      <c r="L312" s="27">
        <v>163.9</v>
      </c>
      <c r="M312" s="27">
        <v>119.3</v>
      </c>
      <c r="N312" s="27">
        <v>170.1</v>
      </c>
      <c r="O312" s="27">
        <v>168.3</v>
      </c>
      <c r="P312" s="27">
        <v>172.8</v>
      </c>
      <c r="Q312" s="27">
        <v>162.1</v>
      </c>
      <c r="R312" s="21">
        <f t="shared" si="29"/>
        <v>2133.6</v>
      </c>
      <c r="S312" s="21">
        <v>167.7</v>
      </c>
      <c r="T312" s="21">
        <v>163.6</v>
      </c>
      <c r="U312" s="21">
        <v>167.1</v>
      </c>
      <c r="V312" s="21">
        <f t="shared" si="30"/>
        <v>498.4</v>
      </c>
      <c r="W312" s="22">
        <v>139.25</v>
      </c>
      <c r="X312" s="21">
        <v>163.69999999999999</v>
      </c>
      <c r="Y312" s="21">
        <v>161.30000000000001</v>
      </c>
      <c r="Z312" s="22">
        <f t="shared" si="31"/>
        <v>464.25</v>
      </c>
      <c r="AA312" s="21">
        <v>171.9</v>
      </c>
      <c r="AB312" s="21">
        <v>160.19999999999999</v>
      </c>
      <c r="AC312" s="21">
        <f t="shared" si="32"/>
        <v>332.1</v>
      </c>
      <c r="AD312" s="27">
        <v>157.80000000000001</v>
      </c>
      <c r="AE312" s="27">
        <v>162.69999999999999</v>
      </c>
      <c r="AF312" s="27">
        <v>168.5</v>
      </c>
      <c r="AG312" s="21">
        <f t="shared" si="33"/>
        <v>331.2</v>
      </c>
      <c r="AH312" s="27">
        <v>190.5</v>
      </c>
      <c r="AI312" s="27">
        <v>163.80000000000001</v>
      </c>
      <c r="AJ312" s="21">
        <f t="shared" si="34"/>
        <v>354.3</v>
      </c>
      <c r="AK312" s="21">
        <v>164</v>
      </c>
    </row>
    <row r="313" spans="1:37">
      <c r="A313" s="21" t="s">
        <v>33</v>
      </c>
      <c r="B313" s="26">
        <v>2021</v>
      </c>
      <c r="C313" s="21" t="s">
        <v>42</v>
      </c>
      <c r="D313" s="21" t="str">
        <f t="shared" si="28"/>
        <v>Yes</v>
      </c>
      <c r="E313" s="27">
        <v>149.30000000000001</v>
      </c>
      <c r="F313" s="27">
        <v>207.4</v>
      </c>
      <c r="G313" s="27">
        <v>174.1</v>
      </c>
      <c r="H313" s="27">
        <v>159.1</v>
      </c>
      <c r="I313" s="27">
        <v>175</v>
      </c>
      <c r="J313" s="27">
        <v>161.19999999999999</v>
      </c>
      <c r="K313" s="27">
        <v>183.5</v>
      </c>
      <c r="L313" s="27">
        <v>164.5</v>
      </c>
      <c r="M313" s="27">
        <v>120.4</v>
      </c>
      <c r="N313" s="27">
        <v>166.2</v>
      </c>
      <c r="O313" s="27">
        <v>154.80000000000001</v>
      </c>
      <c r="P313" s="27">
        <v>175.1</v>
      </c>
      <c r="Q313" s="27">
        <v>167.3</v>
      </c>
      <c r="R313" s="21">
        <f t="shared" si="29"/>
        <v>2157.9</v>
      </c>
      <c r="S313" s="21">
        <v>159.80000000000001</v>
      </c>
      <c r="T313" s="21">
        <v>143.6</v>
      </c>
      <c r="U313" s="21">
        <v>157.4</v>
      </c>
      <c r="V313" s="21">
        <f t="shared" si="30"/>
        <v>460.79999999999995</v>
      </c>
      <c r="W313" s="22">
        <v>162.1</v>
      </c>
      <c r="X313" s="21">
        <v>160.80000000000001</v>
      </c>
      <c r="Y313" s="21">
        <v>153.30000000000001</v>
      </c>
      <c r="Z313" s="22">
        <f t="shared" si="31"/>
        <v>476.2</v>
      </c>
      <c r="AA313" s="21">
        <v>162.80000000000001</v>
      </c>
      <c r="AB313" s="21">
        <v>159.6</v>
      </c>
      <c r="AC313" s="21">
        <f t="shared" si="32"/>
        <v>322.39999999999998</v>
      </c>
      <c r="AD313" s="27">
        <v>150.5</v>
      </c>
      <c r="AE313" s="27">
        <v>153.9</v>
      </c>
      <c r="AF313" s="27">
        <v>160.30000000000001</v>
      </c>
      <c r="AG313" s="21">
        <f t="shared" si="33"/>
        <v>314.20000000000005</v>
      </c>
      <c r="AH313" s="27">
        <v>196.5</v>
      </c>
      <c r="AI313" s="27">
        <v>156</v>
      </c>
      <c r="AJ313" s="21">
        <f t="shared" si="34"/>
        <v>352.5</v>
      </c>
      <c r="AK313" s="21">
        <v>162.30000000000001</v>
      </c>
    </row>
    <row r="314" spans="1:37">
      <c r="A314" s="21" t="s">
        <v>34</v>
      </c>
      <c r="B314" s="26">
        <v>2021</v>
      </c>
      <c r="C314" s="21" t="s">
        <v>42</v>
      </c>
      <c r="D314" s="21" t="str">
        <f t="shared" si="28"/>
        <v>No</v>
      </c>
      <c r="E314" s="27">
        <v>146.6</v>
      </c>
      <c r="F314" s="27">
        <v>204</v>
      </c>
      <c r="G314" s="27">
        <v>172.8</v>
      </c>
      <c r="H314" s="27">
        <v>158.4</v>
      </c>
      <c r="I314" s="27">
        <v>188</v>
      </c>
      <c r="J314" s="27">
        <v>156.69999999999999</v>
      </c>
      <c r="K314" s="27">
        <v>162.30000000000001</v>
      </c>
      <c r="L314" s="27">
        <v>164.1</v>
      </c>
      <c r="M314" s="27">
        <v>119.7</v>
      </c>
      <c r="N314" s="27">
        <v>168.8</v>
      </c>
      <c r="O314" s="27">
        <v>162.69999999999999</v>
      </c>
      <c r="P314" s="27">
        <v>173.9</v>
      </c>
      <c r="Q314" s="27">
        <v>164</v>
      </c>
      <c r="R314" s="21">
        <f t="shared" si="29"/>
        <v>2142</v>
      </c>
      <c r="S314" s="21">
        <v>164.6</v>
      </c>
      <c r="T314" s="21">
        <v>155.30000000000001</v>
      </c>
      <c r="U314" s="21">
        <v>163.30000000000001</v>
      </c>
      <c r="V314" s="21">
        <f t="shared" si="30"/>
        <v>483.2</v>
      </c>
      <c r="W314" s="22">
        <v>162.1</v>
      </c>
      <c r="X314" s="21">
        <v>162.6</v>
      </c>
      <c r="Y314" s="21">
        <v>157.5</v>
      </c>
      <c r="Z314" s="22">
        <f t="shared" si="31"/>
        <v>482.2</v>
      </c>
      <c r="AA314" s="21">
        <v>168.4</v>
      </c>
      <c r="AB314" s="21">
        <v>160</v>
      </c>
      <c r="AC314" s="21">
        <f t="shared" si="32"/>
        <v>328.4</v>
      </c>
      <c r="AD314" s="27">
        <v>154</v>
      </c>
      <c r="AE314" s="27">
        <v>157.69999999999999</v>
      </c>
      <c r="AF314" s="27">
        <v>163.69999999999999</v>
      </c>
      <c r="AG314" s="21">
        <f t="shared" si="33"/>
        <v>321.39999999999998</v>
      </c>
      <c r="AH314" s="27">
        <v>192.1</v>
      </c>
      <c r="AI314" s="27">
        <v>160</v>
      </c>
      <c r="AJ314" s="21">
        <f t="shared" si="34"/>
        <v>352.1</v>
      </c>
      <c r="AK314" s="21">
        <v>163.19999999999999</v>
      </c>
    </row>
    <row r="315" spans="1:37">
      <c r="A315" s="21" t="s">
        <v>30</v>
      </c>
      <c r="B315" s="26">
        <v>2021</v>
      </c>
      <c r="C315" s="21" t="s">
        <v>43</v>
      </c>
      <c r="D315" s="21" t="str">
        <f t="shared" si="28"/>
        <v>Yes</v>
      </c>
      <c r="E315" s="27">
        <v>146.1</v>
      </c>
      <c r="F315" s="27">
        <v>202.5</v>
      </c>
      <c r="G315" s="27">
        <v>170.1</v>
      </c>
      <c r="H315" s="27">
        <v>158.4</v>
      </c>
      <c r="I315" s="27">
        <v>198.8</v>
      </c>
      <c r="J315" s="27">
        <v>152.6</v>
      </c>
      <c r="K315" s="27">
        <v>170.4</v>
      </c>
      <c r="L315" s="27">
        <v>165.2</v>
      </c>
      <c r="M315" s="27">
        <v>121.6</v>
      </c>
      <c r="N315" s="27">
        <v>170.6</v>
      </c>
      <c r="O315" s="27">
        <v>168.8</v>
      </c>
      <c r="P315" s="27">
        <v>173.6</v>
      </c>
      <c r="Q315" s="27">
        <v>165.5</v>
      </c>
      <c r="R315" s="21">
        <f t="shared" si="29"/>
        <v>2164.1999999999998</v>
      </c>
      <c r="S315" s="21">
        <v>168.9</v>
      </c>
      <c r="T315" s="21">
        <v>164.8</v>
      </c>
      <c r="U315" s="21">
        <v>168.3</v>
      </c>
      <c r="V315" s="21">
        <f t="shared" si="30"/>
        <v>502.00000000000006</v>
      </c>
      <c r="W315" s="22">
        <v>139.25</v>
      </c>
      <c r="X315" s="21">
        <v>165.5</v>
      </c>
      <c r="Y315" s="21">
        <v>162</v>
      </c>
      <c r="Z315" s="22">
        <f t="shared" si="31"/>
        <v>466.75</v>
      </c>
      <c r="AA315" s="21">
        <v>172.5</v>
      </c>
      <c r="AB315" s="21">
        <v>161.1</v>
      </c>
      <c r="AC315" s="21">
        <f t="shared" si="32"/>
        <v>333.6</v>
      </c>
      <c r="AD315" s="27">
        <v>159.5</v>
      </c>
      <c r="AE315" s="27">
        <v>163.19999999999999</v>
      </c>
      <c r="AF315" s="27">
        <v>169</v>
      </c>
      <c r="AG315" s="21">
        <f t="shared" si="33"/>
        <v>332.2</v>
      </c>
      <c r="AH315" s="27">
        <v>191.2</v>
      </c>
      <c r="AI315" s="27">
        <v>164.7</v>
      </c>
      <c r="AJ315" s="21">
        <f t="shared" si="34"/>
        <v>355.9</v>
      </c>
      <c r="AK315" s="21">
        <v>166.3</v>
      </c>
    </row>
    <row r="316" spans="1:37">
      <c r="A316" s="21" t="s">
        <v>33</v>
      </c>
      <c r="B316" s="26">
        <v>2021</v>
      </c>
      <c r="C316" s="21" t="s">
        <v>43</v>
      </c>
      <c r="D316" s="21" t="str">
        <f t="shared" si="28"/>
        <v>Yes</v>
      </c>
      <c r="E316" s="27">
        <v>150.1</v>
      </c>
      <c r="F316" s="27">
        <v>208.4</v>
      </c>
      <c r="G316" s="27">
        <v>173</v>
      </c>
      <c r="H316" s="27">
        <v>159.19999999999999</v>
      </c>
      <c r="I316" s="27">
        <v>176.6</v>
      </c>
      <c r="J316" s="27">
        <v>159.30000000000001</v>
      </c>
      <c r="K316" s="27">
        <v>214.4</v>
      </c>
      <c r="L316" s="27">
        <v>165.3</v>
      </c>
      <c r="M316" s="27">
        <v>122.5</v>
      </c>
      <c r="N316" s="27">
        <v>166.8</v>
      </c>
      <c r="O316" s="27">
        <v>155.4</v>
      </c>
      <c r="P316" s="27">
        <v>175.9</v>
      </c>
      <c r="Q316" s="27">
        <v>171.5</v>
      </c>
      <c r="R316" s="21">
        <f t="shared" si="29"/>
        <v>2198.4000000000005</v>
      </c>
      <c r="S316" s="21">
        <v>160.80000000000001</v>
      </c>
      <c r="T316" s="21">
        <v>144.4</v>
      </c>
      <c r="U316" s="21">
        <v>158.30000000000001</v>
      </c>
      <c r="V316" s="21">
        <f t="shared" si="30"/>
        <v>463.50000000000006</v>
      </c>
      <c r="W316" s="22">
        <v>163.6</v>
      </c>
      <c r="X316" s="21">
        <v>162.19999999999999</v>
      </c>
      <c r="Y316" s="21">
        <v>154.30000000000001</v>
      </c>
      <c r="Z316" s="22">
        <f t="shared" si="31"/>
        <v>480.09999999999997</v>
      </c>
      <c r="AA316" s="21">
        <v>163.5</v>
      </c>
      <c r="AB316" s="21">
        <v>160.30000000000001</v>
      </c>
      <c r="AC316" s="21">
        <f t="shared" si="32"/>
        <v>323.8</v>
      </c>
      <c r="AD316" s="27">
        <v>152.19999999999999</v>
      </c>
      <c r="AE316" s="27">
        <v>155.1</v>
      </c>
      <c r="AF316" s="27">
        <v>160.30000000000001</v>
      </c>
      <c r="AG316" s="21">
        <f t="shared" si="33"/>
        <v>315.39999999999998</v>
      </c>
      <c r="AH316" s="27">
        <v>197</v>
      </c>
      <c r="AI316" s="27">
        <v>157</v>
      </c>
      <c r="AJ316" s="21">
        <f t="shared" si="34"/>
        <v>354</v>
      </c>
      <c r="AK316" s="21">
        <v>164.6</v>
      </c>
    </row>
    <row r="317" spans="1:37">
      <c r="A317" s="21" t="s">
        <v>34</v>
      </c>
      <c r="B317" s="26">
        <v>2021</v>
      </c>
      <c r="C317" s="21" t="s">
        <v>43</v>
      </c>
      <c r="D317" s="21" t="str">
        <f t="shared" si="28"/>
        <v>Yes</v>
      </c>
      <c r="E317" s="27">
        <v>147.4</v>
      </c>
      <c r="F317" s="27">
        <v>204.6</v>
      </c>
      <c r="G317" s="27">
        <v>171.2</v>
      </c>
      <c r="H317" s="27">
        <v>158.69999999999999</v>
      </c>
      <c r="I317" s="27">
        <v>190.6</v>
      </c>
      <c r="J317" s="27">
        <v>155.69999999999999</v>
      </c>
      <c r="K317" s="27">
        <v>185.3</v>
      </c>
      <c r="L317" s="27">
        <v>165.2</v>
      </c>
      <c r="M317" s="27">
        <v>121.9</v>
      </c>
      <c r="N317" s="27">
        <v>169.3</v>
      </c>
      <c r="O317" s="27">
        <v>163.19999999999999</v>
      </c>
      <c r="P317" s="27">
        <v>174.7</v>
      </c>
      <c r="Q317" s="27">
        <v>167.7</v>
      </c>
      <c r="R317" s="21">
        <f t="shared" si="29"/>
        <v>2175.5</v>
      </c>
      <c r="S317" s="21">
        <v>165.7</v>
      </c>
      <c r="T317" s="21">
        <v>156.30000000000001</v>
      </c>
      <c r="U317" s="21">
        <v>164.3</v>
      </c>
      <c r="V317" s="21">
        <f t="shared" si="30"/>
        <v>486.3</v>
      </c>
      <c r="W317" s="22">
        <v>163.6</v>
      </c>
      <c r="X317" s="21">
        <v>164.2</v>
      </c>
      <c r="Y317" s="21">
        <v>158.4</v>
      </c>
      <c r="Z317" s="22">
        <f t="shared" si="31"/>
        <v>486.19999999999993</v>
      </c>
      <c r="AA317" s="21">
        <v>169.1</v>
      </c>
      <c r="AB317" s="21">
        <v>160.80000000000001</v>
      </c>
      <c r="AC317" s="21">
        <f t="shared" si="32"/>
        <v>329.9</v>
      </c>
      <c r="AD317" s="27">
        <v>155.69999999999999</v>
      </c>
      <c r="AE317" s="27">
        <v>158.6</v>
      </c>
      <c r="AF317" s="27">
        <v>163.9</v>
      </c>
      <c r="AG317" s="21">
        <f t="shared" si="33"/>
        <v>322.5</v>
      </c>
      <c r="AH317" s="27">
        <v>192.7</v>
      </c>
      <c r="AI317" s="27">
        <v>161</v>
      </c>
      <c r="AJ317" s="21">
        <f t="shared" si="34"/>
        <v>353.7</v>
      </c>
      <c r="AK317" s="21">
        <v>165.5</v>
      </c>
    </row>
    <row r="318" spans="1:37">
      <c r="A318" s="21" t="s">
        <v>30</v>
      </c>
      <c r="B318" s="26">
        <v>2021</v>
      </c>
      <c r="C318" s="21" t="s">
        <v>45</v>
      </c>
      <c r="D318" s="21" t="str">
        <f t="shared" si="28"/>
        <v>Yes</v>
      </c>
      <c r="E318" s="27">
        <v>146.9</v>
      </c>
      <c r="F318" s="27">
        <v>199.8</v>
      </c>
      <c r="G318" s="27">
        <v>171.5</v>
      </c>
      <c r="H318" s="27">
        <v>159.1</v>
      </c>
      <c r="I318" s="27">
        <v>198.4</v>
      </c>
      <c r="J318" s="27">
        <v>153.19999999999999</v>
      </c>
      <c r="K318" s="27">
        <v>183.9</v>
      </c>
      <c r="L318" s="27">
        <v>165.4</v>
      </c>
      <c r="M318" s="27">
        <v>122.1</v>
      </c>
      <c r="N318" s="27">
        <v>170.8</v>
      </c>
      <c r="O318" s="27">
        <v>169.1</v>
      </c>
      <c r="P318" s="27">
        <v>174.3</v>
      </c>
      <c r="Q318" s="27">
        <v>167.5</v>
      </c>
      <c r="R318" s="21">
        <f t="shared" si="29"/>
        <v>2182</v>
      </c>
      <c r="S318" s="21">
        <v>170.4</v>
      </c>
      <c r="T318" s="21">
        <v>166</v>
      </c>
      <c r="U318" s="21">
        <v>169.8</v>
      </c>
      <c r="V318" s="21">
        <f t="shared" si="30"/>
        <v>506.2</v>
      </c>
      <c r="W318" s="22">
        <v>139.25</v>
      </c>
      <c r="X318" s="21">
        <v>165.3</v>
      </c>
      <c r="Y318" s="21">
        <v>162.9</v>
      </c>
      <c r="Z318" s="22">
        <f t="shared" si="31"/>
        <v>467.45000000000005</v>
      </c>
      <c r="AA318" s="21">
        <v>173.4</v>
      </c>
      <c r="AB318" s="21">
        <v>162.4</v>
      </c>
      <c r="AC318" s="21">
        <f t="shared" si="32"/>
        <v>335.8</v>
      </c>
      <c r="AD318" s="27">
        <v>158.9</v>
      </c>
      <c r="AE318" s="27">
        <v>163.80000000000001</v>
      </c>
      <c r="AF318" s="27">
        <v>169.3</v>
      </c>
      <c r="AG318" s="21">
        <f t="shared" si="33"/>
        <v>333.1</v>
      </c>
      <c r="AH318" s="27">
        <v>191.4</v>
      </c>
      <c r="AI318" s="27">
        <v>165.2</v>
      </c>
      <c r="AJ318" s="21">
        <f t="shared" si="34"/>
        <v>356.6</v>
      </c>
      <c r="AK318" s="21">
        <v>167.6</v>
      </c>
    </row>
    <row r="319" spans="1:37">
      <c r="A319" s="21" t="s">
        <v>33</v>
      </c>
      <c r="B319" s="26">
        <v>2021</v>
      </c>
      <c r="C319" s="21" t="s">
        <v>45</v>
      </c>
      <c r="D319" s="21" t="str">
        <f t="shared" si="28"/>
        <v>Yes</v>
      </c>
      <c r="E319" s="27">
        <v>151</v>
      </c>
      <c r="F319" s="27">
        <v>204.9</v>
      </c>
      <c r="G319" s="27">
        <v>175.4</v>
      </c>
      <c r="H319" s="27">
        <v>159.6</v>
      </c>
      <c r="I319" s="27">
        <v>175.8</v>
      </c>
      <c r="J319" s="27">
        <v>160.30000000000001</v>
      </c>
      <c r="K319" s="27">
        <v>229.1</v>
      </c>
      <c r="L319" s="27">
        <v>165.1</v>
      </c>
      <c r="M319" s="27">
        <v>123.1</v>
      </c>
      <c r="N319" s="27">
        <v>167.2</v>
      </c>
      <c r="O319" s="27">
        <v>156.1</v>
      </c>
      <c r="P319" s="27">
        <v>176.8</v>
      </c>
      <c r="Q319" s="27">
        <v>173.5</v>
      </c>
      <c r="R319" s="21">
        <f t="shared" si="29"/>
        <v>2217.8999999999996</v>
      </c>
      <c r="S319" s="21">
        <v>162.30000000000001</v>
      </c>
      <c r="T319" s="21">
        <v>145.30000000000001</v>
      </c>
      <c r="U319" s="21">
        <v>159.69999999999999</v>
      </c>
      <c r="V319" s="21">
        <f t="shared" si="30"/>
        <v>467.3</v>
      </c>
      <c r="W319" s="22">
        <v>164.2</v>
      </c>
      <c r="X319" s="21">
        <v>161.6</v>
      </c>
      <c r="Y319" s="21">
        <v>155.19999999999999</v>
      </c>
      <c r="Z319" s="22">
        <f t="shared" si="31"/>
        <v>480.99999999999994</v>
      </c>
      <c r="AA319" s="21">
        <v>164.2</v>
      </c>
      <c r="AB319" s="21">
        <v>161.80000000000001</v>
      </c>
      <c r="AC319" s="21">
        <f t="shared" si="32"/>
        <v>326</v>
      </c>
      <c r="AD319" s="27">
        <v>151.19999999999999</v>
      </c>
      <c r="AE319" s="27">
        <v>156.69999999999999</v>
      </c>
      <c r="AF319" s="27">
        <v>160.80000000000001</v>
      </c>
      <c r="AG319" s="21">
        <f t="shared" si="33"/>
        <v>317.5</v>
      </c>
      <c r="AH319" s="27">
        <v>197</v>
      </c>
      <c r="AI319" s="27">
        <v>157.30000000000001</v>
      </c>
      <c r="AJ319" s="21">
        <f t="shared" si="34"/>
        <v>354.3</v>
      </c>
      <c r="AK319" s="21">
        <v>165.6</v>
      </c>
    </row>
    <row r="320" spans="1:37">
      <c r="A320" s="21" t="s">
        <v>34</v>
      </c>
      <c r="B320" s="26">
        <v>2021</v>
      </c>
      <c r="C320" s="21" t="s">
        <v>45</v>
      </c>
      <c r="D320" s="21" t="str">
        <f t="shared" si="28"/>
        <v>Yes</v>
      </c>
      <c r="E320" s="27">
        <v>148.19999999999999</v>
      </c>
      <c r="F320" s="27">
        <v>201.6</v>
      </c>
      <c r="G320" s="27">
        <v>173</v>
      </c>
      <c r="H320" s="27">
        <v>159.30000000000001</v>
      </c>
      <c r="I320" s="27">
        <v>190.1</v>
      </c>
      <c r="J320" s="27">
        <v>156.5</v>
      </c>
      <c r="K320" s="27">
        <v>199.2</v>
      </c>
      <c r="L320" s="27">
        <v>165.3</v>
      </c>
      <c r="M320" s="27">
        <v>122.4</v>
      </c>
      <c r="N320" s="27">
        <v>169.6</v>
      </c>
      <c r="O320" s="27">
        <v>163.69999999999999</v>
      </c>
      <c r="P320" s="27">
        <v>175.5</v>
      </c>
      <c r="Q320" s="27">
        <v>169.7</v>
      </c>
      <c r="R320" s="21">
        <f t="shared" si="29"/>
        <v>2194.1</v>
      </c>
      <c r="S320" s="21">
        <v>167.2</v>
      </c>
      <c r="T320" s="21">
        <v>157.4</v>
      </c>
      <c r="U320" s="21">
        <v>165.8</v>
      </c>
      <c r="V320" s="21">
        <f t="shared" si="30"/>
        <v>490.40000000000003</v>
      </c>
      <c r="W320" s="22">
        <v>164.2</v>
      </c>
      <c r="X320" s="21">
        <v>163.9</v>
      </c>
      <c r="Y320" s="21">
        <v>159.30000000000001</v>
      </c>
      <c r="Z320" s="22">
        <f t="shared" si="31"/>
        <v>487.40000000000003</v>
      </c>
      <c r="AA320" s="21">
        <v>169.9</v>
      </c>
      <c r="AB320" s="21">
        <v>162.19999999999999</v>
      </c>
      <c r="AC320" s="21">
        <f t="shared" si="32"/>
        <v>332.1</v>
      </c>
      <c r="AD320" s="27">
        <v>154.80000000000001</v>
      </c>
      <c r="AE320" s="27">
        <v>159.80000000000001</v>
      </c>
      <c r="AF320" s="27">
        <v>164.3</v>
      </c>
      <c r="AG320" s="21">
        <f t="shared" si="33"/>
        <v>324.10000000000002</v>
      </c>
      <c r="AH320" s="27">
        <v>192.9</v>
      </c>
      <c r="AI320" s="27">
        <v>161.4</v>
      </c>
      <c r="AJ320" s="21">
        <f t="shared" si="34"/>
        <v>354.3</v>
      </c>
      <c r="AK320" s="21">
        <v>166.7</v>
      </c>
    </row>
    <row r="321" spans="1:37">
      <c r="A321" s="21" t="s">
        <v>30</v>
      </c>
      <c r="B321" s="26">
        <v>2021</v>
      </c>
      <c r="C321" s="21" t="s">
        <v>46</v>
      </c>
      <c r="D321" s="21" t="str">
        <f t="shared" si="28"/>
        <v>Yes</v>
      </c>
      <c r="E321" s="27">
        <v>147.4</v>
      </c>
      <c r="F321" s="27">
        <v>197</v>
      </c>
      <c r="G321" s="27">
        <v>176.5</v>
      </c>
      <c r="H321" s="27">
        <v>159.80000000000001</v>
      </c>
      <c r="I321" s="27">
        <v>195.8</v>
      </c>
      <c r="J321" s="27">
        <v>152</v>
      </c>
      <c r="K321" s="27">
        <v>172.3</v>
      </c>
      <c r="L321" s="27">
        <v>164.5</v>
      </c>
      <c r="M321" s="27">
        <v>120.6</v>
      </c>
      <c r="N321" s="27">
        <v>171.7</v>
      </c>
      <c r="O321" s="27">
        <v>169.7</v>
      </c>
      <c r="P321" s="27">
        <v>175.1</v>
      </c>
      <c r="Q321" s="27">
        <v>165.8</v>
      </c>
      <c r="R321" s="21">
        <f t="shared" si="29"/>
        <v>2168.1999999999998</v>
      </c>
      <c r="S321" s="21">
        <v>171.8</v>
      </c>
      <c r="T321" s="21">
        <v>167.3</v>
      </c>
      <c r="U321" s="21">
        <v>171.2</v>
      </c>
      <c r="V321" s="21">
        <f t="shared" si="30"/>
        <v>510.3</v>
      </c>
      <c r="W321" s="22">
        <v>139.25</v>
      </c>
      <c r="X321" s="21">
        <v>165.6</v>
      </c>
      <c r="Y321" s="21">
        <v>163.9</v>
      </c>
      <c r="Z321" s="22">
        <f t="shared" si="31"/>
        <v>468.75</v>
      </c>
      <c r="AA321" s="21">
        <v>174</v>
      </c>
      <c r="AB321" s="21">
        <v>162.80000000000001</v>
      </c>
      <c r="AC321" s="21">
        <f t="shared" si="32"/>
        <v>336.8</v>
      </c>
      <c r="AD321" s="27">
        <v>160.1</v>
      </c>
      <c r="AE321" s="27">
        <v>164.5</v>
      </c>
      <c r="AF321" s="27">
        <v>169.7</v>
      </c>
      <c r="AG321" s="21">
        <f t="shared" si="33"/>
        <v>334.2</v>
      </c>
      <c r="AH321" s="27">
        <v>190.8</v>
      </c>
      <c r="AI321" s="27">
        <v>166</v>
      </c>
      <c r="AJ321" s="21">
        <f t="shared" si="34"/>
        <v>356.8</v>
      </c>
      <c r="AK321" s="21">
        <v>167</v>
      </c>
    </row>
    <row r="322" spans="1:37">
      <c r="A322" s="21" t="s">
        <v>33</v>
      </c>
      <c r="B322" s="26">
        <v>2021</v>
      </c>
      <c r="C322" s="21" t="s">
        <v>46</v>
      </c>
      <c r="D322" s="21" t="str">
        <f t="shared" si="28"/>
        <v>Yes</v>
      </c>
      <c r="E322" s="27">
        <v>151.6</v>
      </c>
      <c r="F322" s="27">
        <v>202.2</v>
      </c>
      <c r="G322" s="27">
        <v>180</v>
      </c>
      <c r="H322" s="27">
        <v>160</v>
      </c>
      <c r="I322" s="27">
        <v>173.5</v>
      </c>
      <c r="J322" s="27">
        <v>158.30000000000001</v>
      </c>
      <c r="K322" s="27">
        <v>219.5</v>
      </c>
      <c r="L322" s="27">
        <v>164.2</v>
      </c>
      <c r="M322" s="27">
        <v>121.9</v>
      </c>
      <c r="N322" s="27">
        <v>168.2</v>
      </c>
      <c r="O322" s="27">
        <v>156.5</v>
      </c>
      <c r="P322" s="27">
        <v>178.2</v>
      </c>
      <c r="Q322" s="27">
        <v>172.2</v>
      </c>
      <c r="R322" s="21">
        <f t="shared" si="29"/>
        <v>2206.3000000000002</v>
      </c>
      <c r="S322" s="21">
        <v>163.30000000000001</v>
      </c>
      <c r="T322" s="21">
        <v>146.69999999999999</v>
      </c>
      <c r="U322" s="21">
        <v>160.69999999999999</v>
      </c>
      <c r="V322" s="21">
        <f t="shared" si="30"/>
        <v>470.7</v>
      </c>
      <c r="W322" s="22">
        <v>163.4</v>
      </c>
      <c r="X322" s="21">
        <v>161.69999999999999</v>
      </c>
      <c r="Y322" s="21">
        <v>156</v>
      </c>
      <c r="Z322" s="22">
        <f t="shared" si="31"/>
        <v>481.1</v>
      </c>
      <c r="AA322" s="21">
        <v>165.1</v>
      </c>
      <c r="AB322" s="21">
        <v>162.4</v>
      </c>
      <c r="AC322" s="21">
        <f t="shared" si="32"/>
        <v>327.5</v>
      </c>
      <c r="AD322" s="27">
        <v>151.80000000000001</v>
      </c>
      <c r="AE322" s="27">
        <v>157.6</v>
      </c>
      <c r="AF322" s="27">
        <v>160.6</v>
      </c>
      <c r="AG322" s="21">
        <f t="shared" si="33"/>
        <v>318.2</v>
      </c>
      <c r="AH322" s="27">
        <v>196.8</v>
      </c>
      <c r="AI322" s="27">
        <v>157.80000000000001</v>
      </c>
      <c r="AJ322" s="21">
        <f t="shared" si="34"/>
        <v>354.6</v>
      </c>
      <c r="AK322" s="21">
        <v>165.2</v>
      </c>
    </row>
    <row r="323" spans="1:37">
      <c r="A323" s="21" t="s">
        <v>34</v>
      </c>
      <c r="B323" s="26">
        <v>2021</v>
      </c>
      <c r="C323" s="21" t="s">
        <v>46</v>
      </c>
      <c r="D323" s="21" t="str">
        <f t="shared" si="28"/>
        <v>Yes</v>
      </c>
      <c r="E323" s="27">
        <v>148.69999999999999</v>
      </c>
      <c r="F323" s="27">
        <v>198.8</v>
      </c>
      <c r="G323" s="27">
        <v>177.9</v>
      </c>
      <c r="H323" s="27">
        <v>159.9</v>
      </c>
      <c r="I323" s="27">
        <v>187.6</v>
      </c>
      <c r="J323" s="27">
        <v>154.9</v>
      </c>
      <c r="K323" s="27">
        <v>188.3</v>
      </c>
      <c r="L323" s="27">
        <v>164.4</v>
      </c>
      <c r="M323" s="27">
        <v>121</v>
      </c>
      <c r="N323" s="27">
        <v>170.5</v>
      </c>
      <c r="O323" s="27">
        <v>164.2</v>
      </c>
      <c r="P323" s="27">
        <v>176.5</v>
      </c>
      <c r="Q323" s="27">
        <v>168.2</v>
      </c>
      <c r="R323" s="21">
        <f t="shared" si="29"/>
        <v>2180.9</v>
      </c>
      <c r="S323" s="21">
        <v>168.5</v>
      </c>
      <c r="T323" s="21">
        <v>158.69999999999999</v>
      </c>
      <c r="U323" s="21">
        <v>167</v>
      </c>
      <c r="V323" s="21">
        <f t="shared" si="30"/>
        <v>494.2</v>
      </c>
      <c r="W323" s="22">
        <v>163.4</v>
      </c>
      <c r="X323" s="21">
        <v>164.1</v>
      </c>
      <c r="Y323" s="21">
        <v>160.19999999999999</v>
      </c>
      <c r="Z323" s="22">
        <f t="shared" si="31"/>
        <v>487.7</v>
      </c>
      <c r="AA323" s="21">
        <v>170.6</v>
      </c>
      <c r="AB323" s="21">
        <v>162.6</v>
      </c>
      <c r="AC323" s="21">
        <f t="shared" si="32"/>
        <v>333.2</v>
      </c>
      <c r="AD323" s="27">
        <v>155.69999999999999</v>
      </c>
      <c r="AE323" s="27">
        <v>160.6</v>
      </c>
      <c r="AF323" s="27">
        <v>164.4</v>
      </c>
      <c r="AG323" s="21">
        <f t="shared" si="33"/>
        <v>325</v>
      </c>
      <c r="AH323" s="27">
        <v>192.4</v>
      </c>
      <c r="AI323" s="27">
        <v>162</v>
      </c>
      <c r="AJ323" s="21">
        <f t="shared" si="34"/>
        <v>354.4</v>
      </c>
      <c r="AK323" s="21">
        <v>166.2</v>
      </c>
    </row>
    <row r="324" spans="1:37">
      <c r="A324" s="21" t="s">
        <v>30</v>
      </c>
      <c r="B324" s="26">
        <v>2022</v>
      </c>
      <c r="C324" s="21" t="s">
        <v>31</v>
      </c>
      <c r="D324" s="21" t="str">
        <f t="shared" ref="D324:D374" si="35">IF(H324&gt;120,IF(M324&gt;120,"Yes","No"),"No")</f>
        <v>No</v>
      </c>
      <c r="E324" s="27">
        <v>148.30000000000001</v>
      </c>
      <c r="F324" s="27">
        <v>196.9</v>
      </c>
      <c r="G324" s="27">
        <v>178</v>
      </c>
      <c r="H324" s="27">
        <v>160.5</v>
      </c>
      <c r="I324" s="27">
        <v>192.6</v>
      </c>
      <c r="J324" s="27">
        <v>151.19999999999999</v>
      </c>
      <c r="K324" s="27">
        <v>159.19999999999999</v>
      </c>
      <c r="L324" s="27">
        <v>164</v>
      </c>
      <c r="M324" s="27">
        <v>119.3</v>
      </c>
      <c r="N324" s="27">
        <v>173.3</v>
      </c>
      <c r="O324" s="27">
        <v>169.8</v>
      </c>
      <c r="P324" s="27">
        <v>175.8</v>
      </c>
      <c r="Q324" s="27">
        <v>164.1</v>
      </c>
      <c r="R324" s="21">
        <f t="shared" ref="R324:R374" si="36">SUM(E324:Q324)</f>
        <v>2153</v>
      </c>
      <c r="S324" s="21">
        <v>173.2</v>
      </c>
      <c r="T324" s="21">
        <v>169.3</v>
      </c>
      <c r="U324" s="21">
        <v>172.7</v>
      </c>
      <c r="V324" s="21">
        <f t="shared" ref="V324:V374" si="37">SUM(S324:U324)</f>
        <v>515.20000000000005</v>
      </c>
      <c r="W324" s="22">
        <v>139.25</v>
      </c>
      <c r="X324" s="21">
        <v>165.8</v>
      </c>
      <c r="Y324" s="21">
        <v>164.9</v>
      </c>
      <c r="Z324" s="22">
        <f t="shared" ref="Z324:Z374" si="38">SUM(W324:Y324)</f>
        <v>469.95000000000005</v>
      </c>
      <c r="AA324" s="21">
        <v>174.7</v>
      </c>
      <c r="AB324" s="21">
        <v>163.19999999999999</v>
      </c>
      <c r="AC324" s="21">
        <f t="shared" ref="AC324:AC374" si="39">SUM(AA324:AB324)</f>
        <v>337.9</v>
      </c>
      <c r="AD324" s="27">
        <v>160.80000000000001</v>
      </c>
      <c r="AE324" s="27">
        <v>164.9</v>
      </c>
      <c r="AF324" s="27">
        <v>169.9</v>
      </c>
      <c r="AG324" s="21">
        <f t="shared" ref="AG324:AG374" si="40">SUM(AE324:AF324)</f>
        <v>334.8</v>
      </c>
      <c r="AH324" s="27">
        <v>190.7</v>
      </c>
      <c r="AI324" s="27">
        <v>166.6</v>
      </c>
      <c r="AJ324" s="21">
        <f t="shared" ref="AJ324:AJ374" si="41">SUM(AH324:AI324)</f>
        <v>357.29999999999995</v>
      </c>
      <c r="AK324" s="21">
        <v>166.4</v>
      </c>
    </row>
    <row r="325" spans="1:37">
      <c r="A325" s="21" t="s">
        <v>33</v>
      </c>
      <c r="B325" s="26">
        <v>2022</v>
      </c>
      <c r="C325" s="21" t="s">
        <v>31</v>
      </c>
      <c r="D325" s="21" t="str">
        <f t="shared" si="35"/>
        <v>Yes</v>
      </c>
      <c r="E325" s="27">
        <v>152.19999999999999</v>
      </c>
      <c r="F325" s="27">
        <v>202.1</v>
      </c>
      <c r="G325" s="27">
        <v>180.1</v>
      </c>
      <c r="H325" s="27">
        <v>160.4</v>
      </c>
      <c r="I325" s="27">
        <v>171</v>
      </c>
      <c r="J325" s="27">
        <v>156.5</v>
      </c>
      <c r="K325" s="27">
        <v>203.6</v>
      </c>
      <c r="L325" s="27">
        <v>163.80000000000001</v>
      </c>
      <c r="M325" s="27">
        <v>121.3</v>
      </c>
      <c r="N325" s="27">
        <v>169.8</v>
      </c>
      <c r="O325" s="27">
        <v>156.6</v>
      </c>
      <c r="P325" s="27">
        <v>179</v>
      </c>
      <c r="Q325" s="27">
        <v>170.3</v>
      </c>
      <c r="R325" s="21">
        <f t="shared" si="36"/>
        <v>2186.6999999999998</v>
      </c>
      <c r="S325" s="21">
        <v>164.7</v>
      </c>
      <c r="T325" s="21">
        <v>148.5</v>
      </c>
      <c r="U325" s="21">
        <v>162.19999999999999</v>
      </c>
      <c r="V325" s="21">
        <f t="shared" si="37"/>
        <v>475.4</v>
      </c>
      <c r="W325" s="22">
        <v>164.5</v>
      </c>
      <c r="X325" s="21">
        <v>161.6</v>
      </c>
      <c r="Y325" s="21">
        <v>156.80000000000001</v>
      </c>
      <c r="Z325" s="22">
        <f t="shared" si="38"/>
        <v>482.90000000000003</v>
      </c>
      <c r="AA325" s="21">
        <v>166.1</v>
      </c>
      <c r="AB325" s="21">
        <v>162.80000000000001</v>
      </c>
      <c r="AC325" s="21">
        <f t="shared" si="39"/>
        <v>328.9</v>
      </c>
      <c r="AD325" s="27">
        <v>152.69999999999999</v>
      </c>
      <c r="AE325" s="27">
        <v>158.4</v>
      </c>
      <c r="AF325" s="27">
        <v>161</v>
      </c>
      <c r="AG325" s="21">
        <f t="shared" si="40"/>
        <v>319.39999999999998</v>
      </c>
      <c r="AH325" s="27">
        <v>196.4</v>
      </c>
      <c r="AI325" s="27">
        <v>158.6</v>
      </c>
      <c r="AJ325" s="21">
        <f t="shared" si="41"/>
        <v>355</v>
      </c>
      <c r="AK325" s="21">
        <v>165</v>
      </c>
    </row>
    <row r="326" spans="1:37">
      <c r="A326" s="21" t="s">
        <v>34</v>
      </c>
      <c r="B326" s="26">
        <v>2022</v>
      </c>
      <c r="C326" s="21" t="s">
        <v>31</v>
      </c>
      <c r="D326" s="21" t="str">
        <f t="shared" si="35"/>
        <v>No</v>
      </c>
      <c r="E326" s="27">
        <v>149.5</v>
      </c>
      <c r="F326" s="27">
        <v>198.7</v>
      </c>
      <c r="G326" s="27">
        <v>178.8</v>
      </c>
      <c r="H326" s="27">
        <v>160.5</v>
      </c>
      <c r="I326" s="27">
        <v>184.7</v>
      </c>
      <c r="J326" s="27">
        <v>153.69999999999999</v>
      </c>
      <c r="K326" s="27">
        <v>174.3</v>
      </c>
      <c r="L326" s="27">
        <v>163.9</v>
      </c>
      <c r="M326" s="27">
        <v>120</v>
      </c>
      <c r="N326" s="27">
        <v>172.1</v>
      </c>
      <c r="O326" s="27">
        <v>164.3</v>
      </c>
      <c r="P326" s="27">
        <v>177.3</v>
      </c>
      <c r="Q326" s="27">
        <v>166.4</v>
      </c>
      <c r="R326" s="21">
        <f t="shared" si="36"/>
        <v>2164.1999999999998</v>
      </c>
      <c r="S326" s="21">
        <v>169.9</v>
      </c>
      <c r="T326" s="21">
        <v>160.69999999999999</v>
      </c>
      <c r="U326" s="21">
        <v>168.5</v>
      </c>
      <c r="V326" s="21">
        <f t="shared" si="37"/>
        <v>499.1</v>
      </c>
      <c r="W326" s="22">
        <v>164.5</v>
      </c>
      <c r="X326" s="21">
        <v>164.2</v>
      </c>
      <c r="Y326" s="21">
        <v>161.1</v>
      </c>
      <c r="Z326" s="22">
        <f t="shared" si="38"/>
        <v>489.79999999999995</v>
      </c>
      <c r="AA326" s="21">
        <v>171.4</v>
      </c>
      <c r="AB326" s="21">
        <v>163</v>
      </c>
      <c r="AC326" s="21">
        <f t="shared" si="39"/>
        <v>334.4</v>
      </c>
      <c r="AD326" s="27">
        <v>156.5</v>
      </c>
      <c r="AE326" s="27">
        <v>161.19999999999999</v>
      </c>
      <c r="AF326" s="27">
        <v>164.7</v>
      </c>
      <c r="AG326" s="21">
        <f t="shared" si="40"/>
        <v>325.89999999999998</v>
      </c>
      <c r="AH326" s="27">
        <v>192.2</v>
      </c>
      <c r="AI326" s="27">
        <v>162.69999999999999</v>
      </c>
      <c r="AJ326" s="21">
        <f t="shared" si="41"/>
        <v>354.9</v>
      </c>
      <c r="AK326" s="21">
        <v>165.7</v>
      </c>
    </row>
    <row r="327" spans="1:37">
      <c r="A327" s="21" t="s">
        <v>30</v>
      </c>
      <c r="B327" s="26">
        <v>2022</v>
      </c>
      <c r="C327" s="21" t="s">
        <v>35</v>
      </c>
      <c r="D327" s="21" t="str">
        <f t="shared" si="35"/>
        <v>No</v>
      </c>
      <c r="E327" s="27">
        <v>148.80000000000001</v>
      </c>
      <c r="F327" s="27">
        <v>198.1</v>
      </c>
      <c r="G327" s="27">
        <v>175.5</v>
      </c>
      <c r="H327" s="27">
        <v>160.69999999999999</v>
      </c>
      <c r="I327" s="27">
        <v>192.6</v>
      </c>
      <c r="J327" s="27">
        <v>151.4</v>
      </c>
      <c r="K327" s="27">
        <v>155.19999999999999</v>
      </c>
      <c r="L327" s="27">
        <v>163.9</v>
      </c>
      <c r="M327" s="27">
        <v>118.1</v>
      </c>
      <c r="N327" s="27">
        <v>175.4</v>
      </c>
      <c r="O327" s="27">
        <v>170.5</v>
      </c>
      <c r="P327" s="27">
        <v>176.3</v>
      </c>
      <c r="Q327" s="27">
        <v>163.9</v>
      </c>
      <c r="R327" s="21">
        <f t="shared" si="36"/>
        <v>2150.4</v>
      </c>
      <c r="S327" s="21">
        <v>174.1</v>
      </c>
      <c r="T327" s="21">
        <v>171</v>
      </c>
      <c r="U327" s="21">
        <v>173.7</v>
      </c>
      <c r="V327" s="21">
        <f t="shared" si="37"/>
        <v>518.79999999999995</v>
      </c>
      <c r="W327" s="22">
        <v>139.25</v>
      </c>
      <c r="X327" s="21">
        <v>167.4</v>
      </c>
      <c r="Y327" s="21">
        <v>165.7</v>
      </c>
      <c r="Z327" s="22">
        <f t="shared" si="38"/>
        <v>472.34999999999997</v>
      </c>
      <c r="AA327" s="21">
        <v>175.3</v>
      </c>
      <c r="AB327" s="21">
        <v>164.5</v>
      </c>
      <c r="AC327" s="21">
        <f t="shared" si="39"/>
        <v>339.8</v>
      </c>
      <c r="AD327" s="27">
        <v>161.19999999999999</v>
      </c>
      <c r="AE327" s="27">
        <v>165.5</v>
      </c>
      <c r="AF327" s="27">
        <v>170.3</v>
      </c>
      <c r="AG327" s="21">
        <f t="shared" si="40"/>
        <v>335.8</v>
      </c>
      <c r="AH327" s="27">
        <v>191.5</v>
      </c>
      <c r="AI327" s="27">
        <v>167.3</v>
      </c>
      <c r="AJ327" s="21">
        <f t="shared" si="41"/>
        <v>358.8</v>
      </c>
      <c r="AK327" s="21">
        <v>166.7</v>
      </c>
    </row>
    <row r="328" spans="1:37">
      <c r="A328" s="21" t="s">
        <v>33</v>
      </c>
      <c r="B328" s="26">
        <v>2022</v>
      </c>
      <c r="C328" s="21" t="s">
        <v>35</v>
      </c>
      <c r="D328" s="21" t="str">
        <f t="shared" si="35"/>
        <v>Yes</v>
      </c>
      <c r="E328" s="27">
        <v>152.5</v>
      </c>
      <c r="F328" s="27">
        <v>205.2</v>
      </c>
      <c r="G328" s="27">
        <v>176.4</v>
      </c>
      <c r="H328" s="27">
        <v>160.6</v>
      </c>
      <c r="I328" s="27">
        <v>171.5</v>
      </c>
      <c r="J328" s="27">
        <v>156.4</v>
      </c>
      <c r="K328" s="27">
        <v>198</v>
      </c>
      <c r="L328" s="27">
        <v>163.19999999999999</v>
      </c>
      <c r="M328" s="27">
        <v>120.6</v>
      </c>
      <c r="N328" s="27">
        <v>172.2</v>
      </c>
      <c r="O328" s="27">
        <v>156.69999999999999</v>
      </c>
      <c r="P328" s="27">
        <v>180</v>
      </c>
      <c r="Q328" s="27">
        <v>170.2</v>
      </c>
      <c r="R328" s="21">
        <f t="shared" si="36"/>
        <v>2183.5</v>
      </c>
      <c r="S328" s="21">
        <v>165.7</v>
      </c>
      <c r="T328" s="21">
        <v>150.4</v>
      </c>
      <c r="U328" s="21">
        <v>163.4</v>
      </c>
      <c r="V328" s="21">
        <f t="shared" si="37"/>
        <v>479.5</v>
      </c>
      <c r="W328" s="22">
        <v>165.5</v>
      </c>
      <c r="X328" s="21">
        <v>163</v>
      </c>
      <c r="Y328" s="21">
        <v>157.4</v>
      </c>
      <c r="Z328" s="22">
        <f t="shared" si="38"/>
        <v>485.9</v>
      </c>
      <c r="AA328" s="21">
        <v>167.2</v>
      </c>
      <c r="AB328" s="21">
        <v>164.2</v>
      </c>
      <c r="AC328" s="21">
        <f t="shared" si="39"/>
        <v>331.4</v>
      </c>
      <c r="AD328" s="27">
        <v>153.1</v>
      </c>
      <c r="AE328" s="27">
        <v>159.5</v>
      </c>
      <c r="AF328" s="27">
        <v>162</v>
      </c>
      <c r="AG328" s="21">
        <f t="shared" si="40"/>
        <v>321.5</v>
      </c>
      <c r="AH328" s="27">
        <v>196.5</v>
      </c>
      <c r="AI328" s="27">
        <v>159.4</v>
      </c>
      <c r="AJ328" s="21">
        <f t="shared" si="41"/>
        <v>355.9</v>
      </c>
      <c r="AK328" s="21">
        <v>165.5</v>
      </c>
    </row>
    <row r="329" spans="1:37">
      <c r="A329" s="21" t="s">
        <v>34</v>
      </c>
      <c r="B329" s="26">
        <v>2022</v>
      </c>
      <c r="C329" s="21" t="s">
        <v>35</v>
      </c>
      <c r="D329" s="21" t="str">
        <f t="shared" si="35"/>
        <v>No</v>
      </c>
      <c r="E329" s="27">
        <v>150</v>
      </c>
      <c r="F329" s="27">
        <v>200.6</v>
      </c>
      <c r="G329" s="27">
        <v>175.8</v>
      </c>
      <c r="H329" s="27">
        <v>160.69999999999999</v>
      </c>
      <c r="I329" s="27">
        <v>184.9</v>
      </c>
      <c r="J329" s="27">
        <v>153.69999999999999</v>
      </c>
      <c r="K329" s="27">
        <v>169.7</v>
      </c>
      <c r="L329" s="27">
        <v>163.69999999999999</v>
      </c>
      <c r="M329" s="27">
        <v>118.9</v>
      </c>
      <c r="N329" s="27">
        <v>174.3</v>
      </c>
      <c r="O329" s="27">
        <v>164.7</v>
      </c>
      <c r="P329" s="27">
        <v>178</v>
      </c>
      <c r="Q329" s="27">
        <v>166.2</v>
      </c>
      <c r="R329" s="21">
        <f t="shared" si="36"/>
        <v>2161.2000000000003</v>
      </c>
      <c r="S329" s="21">
        <v>170.8</v>
      </c>
      <c r="T329" s="21">
        <v>162.4</v>
      </c>
      <c r="U329" s="21">
        <v>169.6</v>
      </c>
      <c r="V329" s="21">
        <f t="shared" si="37"/>
        <v>502.80000000000007</v>
      </c>
      <c r="W329" s="22">
        <v>165.5</v>
      </c>
      <c r="X329" s="21">
        <v>165.7</v>
      </c>
      <c r="Y329" s="21">
        <v>161.80000000000001</v>
      </c>
      <c r="Z329" s="22">
        <f t="shared" si="38"/>
        <v>493</v>
      </c>
      <c r="AA329" s="21">
        <v>172.2</v>
      </c>
      <c r="AB329" s="21">
        <v>164.4</v>
      </c>
      <c r="AC329" s="21">
        <f t="shared" si="39"/>
        <v>336.6</v>
      </c>
      <c r="AD329" s="27">
        <v>156.9</v>
      </c>
      <c r="AE329" s="27">
        <v>162.1</v>
      </c>
      <c r="AF329" s="27">
        <v>165.4</v>
      </c>
      <c r="AG329" s="21">
        <f t="shared" si="40"/>
        <v>327.5</v>
      </c>
      <c r="AH329" s="27">
        <v>192.8</v>
      </c>
      <c r="AI329" s="27">
        <v>163.5</v>
      </c>
      <c r="AJ329" s="21">
        <f t="shared" si="41"/>
        <v>356.3</v>
      </c>
      <c r="AK329" s="21">
        <v>166.1</v>
      </c>
    </row>
    <row r="330" spans="1:37">
      <c r="A330" s="21" t="s">
        <v>30</v>
      </c>
      <c r="B330" s="26">
        <v>2022</v>
      </c>
      <c r="C330" s="21" t="s">
        <v>36</v>
      </c>
      <c r="D330" s="21" t="str">
        <f t="shared" si="35"/>
        <v>No</v>
      </c>
      <c r="E330" s="27">
        <v>150.19999999999999</v>
      </c>
      <c r="F330" s="27">
        <v>208</v>
      </c>
      <c r="G330" s="27">
        <v>167.9</v>
      </c>
      <c r="H330" s="27">
        <v>162</v>
      </c>
      <c r="I330" s="27">
        <v>203.1</v>
      </c>
      <c r="J330" s="27">
        <v>155.9</v>
      </c>
      <c r="K330" s="27">
        <v>155.80000000000001</v>
      </c>
      <c r="L330" s="27">
        <v>164.2</v>
      </c>
      <c r="M330" s="27">
        <v>118.1</v>
      </c>
      <c r="N330" s="27">
        <v>178.7</v>
      </c>
      <c r="O330" s="27">
        <v>171.2</v>
      </c>
      <c r="P330" s="27">
        <v>177.4</v>
      </c>
      <c r="Q330" s="27">
        <v>166.6</v>
      </c>
      <c r="R330" s="21">
        <f t="shared" si="36"/>
        <v>2179.1000000000004</v>
      </c>
      <c r="S330" s="21">
        <v>175.4</v>
      </c>
      <c r="T330" s="21">
        <v>173.2</v>
      </c>
      <c r="U330" s="21">
        <v>175.1</v>
      </c>
      <c r="V330" s="21">
        <f t="shared" si="37"/>
        <v>523.70000000000005</v>
      </c>
      <c r="W330" s="22">
        <v>139.25</v>
      </c>
      <c r="X330" s="21">
        <v>168.9</v>
      </c>
      <c r="Y330" s="21">
        <v>166.5</v>
      </c>
      <c r="Z330" s="22">
        <f t="shared" si="38"/>
        <v>474.65</v>
      </c>
      <c r="AA330" s="21">
        <v>176</v>
      </c>
      <c r="AB330" s="21">
        <v>167.4</v>
      </c>
      <c r="AC330" s="21">
        <f t="shared" si="39"/>
        <v>343.4</v>
      </c>
      <c r="AD330" s="27">
        <v>162</v>
      </c>
      <c r="AE330" s="27">
        <v>166.6</v>
      </c>
      <c r="AF330" s="27">
        <v>170.6</v>
      </c>
      <c r="AG330" s="21">
        <f t="shared" si="40"/>
        <v>337.2</v>
      </c>
      <c r="AH330" s="27">
        <v>192.3</v>
      </c>
      <c r="AI330" s="27">
        <v>168.3</v>
      </c>
      <c r="AJ330" s="21">
        <f t="shared" si="41"/>
        <v>360.6</v>
      </c>
      <c r="AK330" s="21">
        <v>168.7</v>
      </c>
    </row>
    <row r="331" spans="1:37">
      <c r="A331" s="21" t="s">
        <v>33</v>
      </c>
      <c r="B331" s="26">
        <v>2022</v>
      </c>
      <c r="C331" s="21" t="s">
        <v>36</v>
      </c>
      <c r="D331" s="21" t="str">
        <f t="shared" si="35"/>
        <v>Yes</v>
      </c>
      <c r="E331" s="27">
        <v>153.69999999999999</v>
      </c>
      <c r="F331" s="27">
        <v>215.8</v>
      </c>
      <c r="G331" s="27">
        <v>167.7</v>
      </c>
      <c r="H331" s="27">
        <v>162.6</v>
      </c>
      <c r="I331" s="27">
        <v>180</v>
      </c>
      <c r="J331" s="27">
        <v>159.6</v>
      </c>
      <c r="K331" s="27">
        <v>188.4</v>
      </c>
      <c r="L331" s="27">
        <v>163.4</v>
      </c>
      <c r="M331" s="27">
        <v>120.3</v>
      </c>
      <c r="N331" s="27">
        <v>174.7</v>
      </c>
      <c r="O331" s="27">
        <v>157.1</v>
      </c>
      <c r="P331" s="27">
        <v>181.5</v>
      </c>
      <c r="Q331" s="27">
        <v>171.5</v>
      </c>
      <c r="R331" s="21">
        <f t="shared" si="36"/>
        <v>2196.3000000000002</v>
      </c>
      <c r="S331" s="21">
        <v>167.1</v>
      </c>
      <c r="T331" s="21">
        <v>152.6</v>
      </c>
      <c r="U331" s="21">
        <v>164.9</v>
      </c>
      <c r="V331" s="21">
        <f t="shared" si="37"/>
        <v>484.6</v>
      </c>
      <c r="W331" s="22">
        <v>165.3</v>
      </c>
      <c r="X331" s="21">
        <v>164.5</v>
      </c>
      <c r="Y331" s="21">
        <v>158.6</v>
      </c>
      <c r="Z331" s="22">
        <f t="shared" si="38"/>
        <v>488.4</v>
      </c>
      <c r="AA331" s="21">
        <v>168.2</v>
      </c>
      <c r="AB331" s="21">
        <v>166.8</v>
      </c>
      <c r="AC331" s="21">
        <f t="shared" si="39"/>
        <v>335</v>
      </c>
      <c r="AD331" s="27">
        <v>154.19999999999999</v>
      </c>
      <c r="AE331" s="27">
        <v>160.80000000000001</v>
      </c>
      <c r="AF331" s="27">
        <v>162.69999999999999</v>
      </c>
      <c r="AG331" s="21">
        <f t="shared" si="40"/>
        <v>323.5</v>
      </c>
      <c r="AH331" s="27">
        <v>197.5</v>
      </c>
      <c r="AI331" s="27">
        <v>160.6</v>
      </c>
      <c r="AJ331" s="21">
        <f t="shared" si="41"/>
        <v>358.1</v>
      </c>
      <c r="AK331" s="21">
        <v>166.5</v>
      </c>
    </row>
    <row r="332" spans="1:37">
      <c r="A332" s="21" t="s">
        <v>34</v>
      </c>
      <c r="B332" s="26">
        <v>2022</v>
      </c>
      <c r="C332" s="21" t="s">
        <v>36</v>
      </c>
      <c r="D332" s="21" t="str">
        <f t="shared" si="35"/>
        <v>No</v>
      </c>
      <c r="E332" s="27">
        <v>151.30000000000001</v>
      </c>
      <c r="F332" s="27">
        <v>210.7</v>
      </c>
      <c r="G332" s="27">
        <v>167.8</v>
      </c>
      <c r="H332" s="27">
        <v>162.19999999999999</v>
      </c>
      <c r="I332" s="27">
        <v>194.6</v>
      </c>
      <c r="J332" s="27">
        <v>157.6</v>
      </c>
      <c r="K332" s="27">
        <v>166.9</v>
      </c>
      <c r="L332" s="27">
        <v>163.9</v>
      </c>
      <c r="M332" s="27">
        <v>118.8</v>
      </c>
      <c r="N332" s="27">
        <v>177.4</v>
      </c>
      <c r="O332" s="27">
        <v>165.3</v>
      </c>
      <c r="P332" s="27">
        <v>179.3</v>
      </c>
      <c r="Q332" s="27">
        <v>168.4</v>
      </c>
      <c r="R332" s="21">
        <f t="shared" si="36"/>
        <v>2184.2000000000003</v>
      </c>
      <c r="S332" s="21">
        <v>172.1</v>
      </c>
      <c r="T332" s="21">
        <v>164.6</v>
      </c>
      <c r="U332" s="21">
        <v>171.1</v>
      </c>
      <c r="V332" s="21">
        <f t="shared" si="37"/>
        <v>507.79999999999995</v>
      </c>
      <c r="W332" s="22">
        <v>165.3</v>
      </c>
      <c r="X332" s="21">
        <v>167.2</v>
      </c>
      <c r="Y332" s="21">
        <v>162.80000000000001</v>
      </c>
      <c r="Z332" s="22">
        <f t="shared" si="38"/>
        <v>495.3</v>
      </c>
      <c r="AA332" s="21">
        <v>173</v>
      </c>
      <c r="AB332" s="21">
        <v>167.2</v>
      </c>
      <c r="AC332" s="21">
        <f t="shared" si="39"/>
        <v>340.2</v>
      </c>
      <c r="AD332" s="27">
        <v>157.9</v>
      </c>
      <c r="AE332" s="27">
        <v>163.30000000000001</v>
      </c>
      <c r="AF332" s="27">
        <v>166</v>
      </c>
      <c r="AG332" s="21">
        <f t="shared" si="40"/>
        <v>329.3</v>
      </c>
      <c r="AH332" s="27">
        <v>193.7</v>
      </c>
      <c r="AI332" s="27">
        <v>164.6</v>
      </c>
      <c r="AJ332" s="21">
        <f t="shared" si="41"/>
        <v>358.29999999999995</v>
      </c>
      <c r="AK332" s="21">
        <v>167.7</v>
      </c>
    </row>
    <row r="333" spans="1:37">
      <c r="A333" s="21" t="s">
        <v>30</v>
      </c>
      <c r="B333" s="26">
        <v>2022</v>
      </c>
      <c r="C333" s="21" t="s">
        <v>37</v>
      </c>
      <c r="D333" s="21" t="str">
        <f t="shared" si="35"/>
        <v>No</v>
      </c>
      <c r="E333" s="27">
        <v>151.80000000000001</v>
      </c>
      <c r="F333" s="27">
        <v>209.7</v>
      </c>
      <c r="G333" s="27">
        <v>164.5</v>
      </c>
      <c r="H333" s="27">
        <v>163.80000000000001</v>
      </c>
      <c r="I333" s="27">
        <v>207.4</v>
      </c>
      <c r="J333" s="27">
        <v>169.7</v>
      </c>
      <c r="K333" s="27">
        <v>153.6</v>
      </c>
      <c r="L333" s="27">
        <v>165.1</v>
      </c>
      <c r="M333" s="27">
        <v>118.2</v>
      </c>
      <c r="N333" s="27">
        <v>182.9</v>
      </c>
      <c r="O333" s="27">
        <v>172.4</v>
      </c>
      <c r="P333" s="27">
        <v>178.9</v>
      </c>
      <c r="Q333" s="27">
        <v>168.6</v>
      </c>
      <c r="R333" s="21">
        <f t="shared" si="36"/>
        <v>2206.6</v>
      </c>
      <c r="S333" s="21">
        <v>177.5</v>
      </c>
      <c r="T333" s="21">
        <v>175.1</v>
      </c>
      <c r="U333" s="21">
        <v>177.1</v>
      </c>
      <c r="V333" s="21">
        <f t="shared" si="37"/>
        <v>529.70000000000005</v>
      </c>
      <c r="W333" s="22">
        <v>139.25</v>
      </c>
      <c r="X333" s="21">
        <v>173.3</v>
      </c>
      <c r="Y333" s="21">
        <v>167.7</v>
      </c>
      <c r="Z333" s="22">
        <f t="shared" si="38"/>
        <v>480.25</v>
      </c>
      <c r="AA333" s="21">
        <v>177</v>
      </c>
      <c r="AB333" s="21">
        <v>169</v>
      </c>
      <c r="AC333" s="21">
        <f t="shared" si="39"/>
        <v>346</v>
      </c>
      <c r="AD333" s="27">
        <v>166.2</v>
      </c>
      <c r="AE333" s="27">
        <v>167.2</v>
      </c>
      <c r="AF333" s="27">
        <v>170.9</v>
      </c>
      <c r="AG333" s="21">
        <f t="shared" si="40"/>
        <v>338.1</v>
      </c>
      <c r="AH333" s="27">
        <v>192.8</v>
      </c>
      <c r="AI333" s="27">
        <v>170.2</v>
      </c>
      <c r="AJ333" s="21">
        <f t="shared" si="41"/>
        <v>363</v>
      </c>
      <c r="AK333" s="21">
        <v>170.8</v>
      </c>
    </row>
    <row r="334" spans="1:37">
      <c r="A334" s="21" t="s">
        <v>33</v>
      </c>
      <c r="B334" s="26">
        <v>2022</v>
      </c>
      <c r="C334" s="21" t="s">
        <v>37</v>
      </c>
      <c r="D334" s="21" t="str">
        <f t="shared" si="35"/>
        <v>Yes</v>
      </c>
      <c r="E334" s="27">
        <v>155.4</v>
      </c>
      <c r="F334" s="27">
        <v>215.8</v>
      </c>
      <c r="G334" s="27">
        <v>164.6</v>
      </c>
      <c r="H334" s="27">
        <v>164.2</v>
      </c>
      <c r="I334" s="27">
        <v>186</v>
      </c>
      <c r="J334" s="27">
        <v>175.9</v>
      </c>
      <c r="K334" s="27">
        <v>190.7</v>
      </c>
      <c r="L334" s="27">
        <v>164</v>
      </c>
      <c r="M334" s="27">
        <v>120.5</v>
      </c>
      <c r="N334" s="27">
        <v>178</v>
      </c>
      <c r="O334" s="27">
        <v>157.5</v>
      </c>
      <c r="P334" s="27">
        <v>183.3</v>
      </c>
      <c r="Q334" s="27">
        <v>174.5</v>
      </c>
      <c r="R334" s="21">
        <f t="shared" si="36"/>
        <v>2230.4</v>
      </c>
      <c r="S334" s="21">
        <v>168.4</v>
      </c>
      <c r="T334" s="21">
        <v>154.5</v>
      </c>
      <c r="U334" s="21">
        <v>166.3</v>
      </c>
      <c r="V334" s="21">
        <f t="shared" si="37"/>
        <v>489.2</v>
      </c>
      <c r="W334" s="22">
        <v>167</v>
      </c>
      <c r="X334" s="21">
        <v>170.5</v>
      </c>
      <c r="Y334" s="21">
        <v>159.80000000000001</v>
      </c>
      <c r="Z334" s="22">
        <f t="shared" si="38"/>
        <v>497.3</v>
      </c>
      <c r="AA334" s="21">
        <v>169</v>
      </c>
      <c r="AB334" s="21">
        <v>168.4</v>
      </c>
      <c r="AC334" s="21">
        <f t="shared" si="39"/>
        <v>337.4</v>
      </c>
      <c r="AD334" s="27">
        <v>159.30000000000001</v>
      </c>
      <c r="AE334" s="27">
        <v>162.19999999999999</v>
      </c>
      <c r="AF334" s="27">
        <v>164</v>
      </c>
      <c r="AG334" s="21">
        <f t="shared" si="40"/>
        <v>326.2</v>
      </c>
      <c r="AH334" s="27">
        <v>197.1</v>
      </c>
      <c r="AI334" s="27">
        <v>163.1</v>
      </c>
      <c r="AJ334" s="21">
        <f t="shared" si="41"/>
        <v>360.2</v>
      </c>
      <c r="AK334" s="21">
        <v>169.2</v>
      </c>
    </row>
    <row r="335" spans="1:37">
      <c r="A335" s="21" t="s">
        <v>34</v>
      </c>
      <c r="B335" s="26">
        <v>2022</v>
      </c>
      <c r="C335" s="21" t="s">
        <v>37</v>
      </c>
      <c r="D335" s="21" t="str">
        <f t="shared" si="35"/>
        <v>No</v>
      </c>
      <c r="E335" s="27">
        <v>152.9</v>
      </c>
      <c r="F335" s="27">
        <v>211.8</v>
      </c>
      <c r="G335" s="27">
        <v>164.5</v>
      </c>
      <c r="H335" s="27">
        <v>163.9</v>
      </c>
      <c r="I335" s="27">
        <v>199.5</v>
      </c>
      <c r="J335" s="27">
        <v>172.6</v>
      </c>
      <c r="K335" s="27">
        <v>166.2</v>
      </c>
      <c r="L335" s="27">
        <v>164.7</v>
      </c>
      <c r="M335" s="27">
        <v>119</v>
      </c>
      <c r="N335" s="27">
        <v>181.3</v>
      </c>
      <c r="O335" s="27">
        <v>166.2</v>
      </c>
      <c r="P335" s="27">
        <v>180.9</v>
      </c>
      <c r="Q335" s="27">
        <v>170.8</v>
      </c>
      <c r="R335" s="21">
        <f t="shared" si="36"/>
        <v>2214.3000000000002</v>
      </c>
      <c r="S335" s="21">
        <v>173.9</v>
      </c>
      <c r="T335" s="21">
        <v>166.5</v>
      </c>
      <c r="U335" s="21">
        <v>172.8</v>
      </c>
      <c r="V335" s="21">
        <f t="shared" si="37"/>
        <v>513.20000000000005</v>
      </c>
      <c r="W335" s="22">
        <v>167</v>
      </c>
      <c r="X335" s="21">
        <v>172.2</v>
      </c>
      <c r="Y335" s="21">
        <v>164</v>
      </c>
      <c r="Z335" s="22">
        <f t="shared" si="38"/>
        <v>503.2</v>
      </c>
      <c r="AA335" s="21">
        <v>174</v>
      </c>
      <c r="AB335" s="21">
        <v>168.8</v>
      </c>
      <c r="AC335" s="21">
        <f t="shared" si="39"/>
        <v>342.8</v>
      </c>
      <c r="AD335" s="27">
        <v>162.6</v>
      </c>
      <c r="AE335" s="27">
        <v>164.4</v>
      </c>
      <c r="AF335" s="27">
        <v>166.9</v>
      </c>
      <c r="AG335" s="21">
        <f t="shared" si="40"/>
        <v>331.3</v>
      </c>
      <c r="AH335" s="27">
        <v>193.9</v>
      </c>
      <c r="AI335" s="27">
        <v>166.8</v>
      </c>
      <c r="AJ335" s="21">
        <f t="shared" si="41"/>
        <v>360.70000000000005</v>
      </c>
      <c r="AK335" s="21">
        <v>170.1</v>
      </c>
    </row>
    <row r="336" spans="1:37">
      <c r="A336" s="21" t="s">
        <v>30</v>
      </c>
      <c r="B336" s="26">
        <v>2022</v>
      </c>
      <c r="C336" s="21" t="s">
        <v>38</v>
      </c>
      <c r="D336" s="21" t="str">
        <f t="shared" si="35"/>
        <v>No</v>
      </c>
      <c r="E336" s="27">
        <v>152.9</v>
      </c>
      <c r="F336" s="27">
        <v>214.7</v>
      </c>
      <c r="G336" s="27">
        <v>161.4</v>
      </c>
      <c r="H336" s="27">
        <v>164.6</v>
      </c>
      <c r="I336" s="27">
        <v>209.9</v>
      </c>
      <c r="J336" s="27">
        <v>168</v>
      </c>
      <c r="K336" s="27">
        <v>160.4</v>
      </c>
      <c r="L336" s="27">
        <v>165</v>
      </c>
      <c r="M336" s="27">
        <v>118.9</v>
      </c>
      <c r="N336" s="27">
        <v>186.6</v>
      </c>
      <c r="O336" s="27">
        <v>173.2</v>
      </c>
      <c r="P336" s="27">
        <v>180.4</v>
      </c>
      <c r="Q336" s="27">
        <v>170.8</v>
      </c>
      <c r="R336" s="21">
        <f t="shared" si="36"/>
        <v>2226.8000000000002</v>
      </c>
      <c r="S336" s="21">
        <v>179.3</v>
      </c>
      <c r="T336" s="21">
        <v>177.2</v>
      </c>
      <c r="U336" s="21">
        <v>179</v>
      </c>
      <c r="V336" s="21">
        <f t="shared" si="37"/>
        <v>535.5</v>
      </c>
      <c r="W336" s="22">
        <v>139.25</v>
      </c>
      <c r="X336" s="21">
        <v>175.3</v>
      </c>
      <c r="Y336" s="21">
        <v>168.9</v>
      </c>
      <c r="Z336" s="22">
        <f t="shared" si="38"/>
        <v>483.45000000000005</v>
      </c>
      <c r="AA336" s="21">
        <v>177.7</v>
      </c>
      <c r="AB336" s="21">
        <v>168.5</v>
      </c>
      <c r="AC336" s="21">
        <f t="shared" si="39"/>
        <v>346.2</v>
      </c>
      <c r="AD336" s="27">
        <v>167.1</v>
      </c>
      <c r="AE336" s="27">
        <v>167.6</v>
      </c>
      <c r="AF336" s="27">
        <v>171.8</v>
      </c>
      <c r="AG336" s="21">
        <f t="shared" si="40"/>
        <v>339.4</v>
      </c>
      <c r="AH336" s="27">
        <v>192.9</v>
      </c>
      <c r="AI336" s="27">
        <v>170.9</v>
      </c>
      <c r="AJ336" s="21">
        <f t="shared" si="41"/>
        <v>363.8</v>
      </c>
      <c r="AK336" s="21">
        <v>172.5</v>
      </c>
    </row>
    <row r="337" spans="1:37">
      <c r="A337" s="21" t="s">
        <v>33</v>
      </c>
      <c r="B337" s="26">
        <v>2022</v>
      </c>
      <c r="C337" s="21" t="s">
        <v>38</v>
      </c>
      <c r="D337" s="21" t="str">
        <f t="shared" si="35"/>
        <v>Yes</v>
      </c>
      <c r="E337" s="27">
        <v>156.69999999999999</v>
      </c>
      <c r="F337" s="27">
        <v>221.2</v>
      </c>
      <c r="G337" s="27">
        <v>164.1</v>
      </c>
      <c r="H337" s="27">
        <v>165.4</v>
      </c>
      <c r="I337" s="27">
        <v>189.5</v>
      </c>
      <c r="J337" s="27">
        <v>174.5</v>
      </c>
      <c r="K337" s="27">
        <v>203.2</v>
      </c>
      <c r="L337" s="27">
        <v>164.1</v>
      </c>
      <c r="M337" s="27">
        <v>121.2</v>
      </c>
      <c r="N337" s="27">
        <v>181.4</v>
      </c>
      <c r="O337" s="27">
        <v>158.5</v>
      </c>
      <c r="P337" s="27">
        <v>184.9</v>
      </c>
      <c r="Q337" s="27">
        <v>177.5</v>
      </c>
      <c r="R337" s="21">
        <f t="shared" si="36"/>
        <v>2262.2000000000003</v>
      </c>
      <c r="S337" s="21">
        <v>170</v>
      </c>
      <c r="T337" s="21">
        <v>155.9</v>
      </c>
      <c r="U337" s="21">
        <v>167.8</v>
      </c>
      <c r="V337" s="21">
        <f t="shared" si="37"/>
        <v>493.7</v>
      </c>
      <c r="W337" s="22">
        <v>167.5</v>
      </c>
      <c r="X337" s="21">
        <v>173.5</v>
      </c>
      <c r="Y337" s="21">
        <v>161.1</v>
      </c>
      <c r="Z337" s="22">
        <f t="shared" si="38"/>
        <v>502.1</v>
      </c>
      <c r="AA337" s="21">
        <v>170.1</v>
      </c>
      <c r="AB337" s="21">
        <v>168.2</v>
      </c>
      <c r="AC337" s="21">
        <f t="shared" si="39"/>
        <v>338.29999999999995</v>
      </c>
      <c r="AD337" s="27">
        <v>159.4</v>
      </c>
      <c r="AE337" s="27">
        <v>163.19999999999999</v>
      </c>
      <c r="AF337" s="27">
        <v>165.2</v>
      </c>
      <c r="AG337" s="21">
        <f t="shared" si="40"/>
        <v>328.4</v>
      </c>
      <c r="AH337" s="27">
        <v>197.5</v>
      </c>
      <c r="AI337" s="27">
        <v>163.80000000000001</v>
      </c>
      <c r="AJ337" s="21">
        <f t="shared" si="41"/>
        <v>361.3</v>
      </c>
      <c r="AK337" s="21">
        <v>170.8</v>
      </c>
    </row>
    <row r="338" spans="1:37">
      <c r="A338" s="21" t="s">
        <v>34</v>
      </c>
      <c r="B338" s="26">
        <v>2022</v>
      </c>
      <c r="C338" s="21" t="s">
        <v>38</v>
      </c>
      <c r="D338" s="21" t="str">
        <f t="shared" si="35"/>
        <v>No</v>
      </c>
      <c r="E338" s="27">
        <v>154.1</v>
      </c>
      <c r="F338" s="27">
        <v>217</v>
      </c>
      <c r="G338" s="27">
        <v>162.4</v>
      </c>
      <c r="H338" s="27">
        <v>164.9</v>
      </c>
      <c r="I338" s="27">
        <v>202.4</v>
      </c>
      <c r="J338" s="27">
        <v>171</v>
      </c>
      <c r="K338" s="27">
        <v>174.9</v>
      </c>
      <c r="L338" s="27">
        <v>164.7</v>
      </c>
      <c r="M338" s="27">
        <v>119.7</v>
      </c>
      <c r="N338" s="27">
        <v>184.9</v>
      </c>
      <c r="O338" s="27">
        <v>167.1</v>
      </c>
      <c r="P338" s="27">
        <v>182.5</v>
      </c>
      <c r="Q338" s="27">
        <v>173.3</v>
      </c>
      <c r="R338" s="21">
        <f t="shared" si="36"/>
        <v>2238.9000000000005</v>
      </c>
      <c r="S338" s="21">
        <v>175.6</v>
      </c>
      <c r="T338" s="21">
        <v>168.4</v>
      </c>
      <c r="U338" s="21">
        <v>174.6</v>
      </c>
      <c r="V338" s="21">
        <f t="shared" si="37"/>
        <v>518.6</v>
      </c>
      <c r="W338" s="22">
        <v>167.5</v>
      </c>
      <c r="X338" s="21">
        <v>174.6</v>
      </c>
      <c r="Y338" s="21">
        <v>165.2</v>
      </c>
      <c r="Z338" s="22">
        <f t="shared" si="38"/>
        <v>507.3</v>
      </c>
      <c r="AA338" s="21">
        <v>174.8</v>
      </c>
      <c r="AB338" s="21">
        <v>168.4</v>
      </c>
      <c r="AC338" s="21">
        <f t="shared" si="39"/>
        <v>343.20000000000005</v>
      </c>
      <c r="AD338" s="27">
        <v>163</v>
      </c>
      <c r="AE338" s="27">
        <v>165.1</v>
      </c>
      <c r="AF338" s="27">
        <v>167.9</v>
      </c>
      <c r="AG338" s="21">
        <f t="shared" si="40"/>
        <v>333</v>
      </c>
      <c r="AH338" s="27">
        <v>194.1</v>
      </c>
      <c r="AI338" s="27">
        <v>167.5</v>
      </c>
      <c r="AJ338" s="21">
        <f t="shared" si="41"/>
        <v>361.6</v>
      </c>
      <c r="AK338" s="21">
        <v>171.7</v>
      </c>
    </row>
    <row r="339" spans="1:37">
      <c r="A339" s="21" t="s">
        <v>30</v>
      </c>
      <c r="B339" s="26">
        <v>2022</v>
      </c>
      <c r="C339" s="21" t="s">
        <v>39</v>
      </c>
      <c r="D339" s="21" t="str">
        <f t="shared" si="35"/>
        <v>No</v>
      </c>
      <c r="E339" s="27">
        <v>153.80000000000001</v>
      </c>
      <c r="F339" s="27">
        <v>217.2</v>
      </c>
      <c r="G339" s="27">
        <v>169.6</v>
      </c>
      <c r="H339" s="27">
        <v>165.4</v>
      </c>
      <c r="I339" s="27">
        <v>208.1</v>
      </c>
      <c r="J339" s="27">
        <v>165.8</v>
      </c>
      <c r="K339" s="27">
        <v>167.3</v>
      </c>
      <c r="L339" s="27">
        <v>164.6</v>
      </c>
      <c r="M339" s="27">
        <v>119.1</v>
      </c>
      <c r="N339" s="27">
        <v>188.9</v>
      </c>
      <c r="O339" s="27">
        <v>174.2</v>
      </c>
      <c r="P339" s="27">
        <v>181.9</v>
      </c>
      <c r="Q339" s="27">
        <v>172.4</v>
      </c>
      <c r="R339" s="21">
        <f t="shared" si="36"/>
        <v>2248.3000000000002</v>
      </c>
      <c r="S339" s="21">
        <v>180.7</v>
      </c>
      <c r="T339" s="21">
        <v>178.7</v>
      </c>
      <c r="U339" s="21">
        <v>180.4</v>
      </c>
      <c r="V339" s="21">
        <f t="shared" si="37"/>
        <v>539.79999999999995</v>
      </c>
      <c r="W339" s="22">
        <v>139.25</v>
      </c>
      <c r="X339" s="21">
        <v>176.7</v>
      </c>
      <c r="Y339" s="21">
        <v>170.3</v>
      </c>
      <c r="Z339" s="22">
        <f t="shared" si="38"/>
        <v>486.25</v>
      </c>
      <c r="AA339" s="21">
        <v>178.2</v>
      </c>
      <c r="AB339" s="21">
        <v>169.5</v>
      </c>
      <c r="AC339" s="21">
        <f t="shared" si="39"/>
        <v>347.7</v>
      </c>
      <c r="AD339" s="27">
        <v>165.5</v>
      </c>
      <c r="AE339" s="27">
        <v>168</v>
      </c>
      <c r="AF339" s="27">
        <v>172.6</v>
      </c>
      <c r="AG339" s="21">
        <f t="shared" si="40"/>
        <v>340.6</v>
      </c>
      <c r="AH339" s="27">
        <v>192.9</v>
      </c>
      <c r="AI339" s="27">
        <v>171</v>
      </c>
      <c r="AJ339" s="21">
        <f t="shared" si="41"/>
        <v>363.9</v>
      </c>
      <c r="AK339" s="21">
        <v>173.6</v>
      </c>
    </row>
    <row r="340" spans="1:37">
      <c r="A340" s="21" t="s">
        <v>33</v>
      </c>
      <c r="B340" s="26">
        <v>2022</v>
      </c>
      <c r="C340" s="21" t="s">
        <v>39</v>
      </c>
      <c r="D340" s="21" t="str">
        <f t="shared" si="35"/>
        <v>Yes</v>
      </c>
      <c r="E340" s="27">
        <v>157.5</v>
      </c>
      <c r="F340" s="27">
        <v>223.4</v>
      </c>
      <c r="G340" s="27">
        <v>172.8</v>
      </c>
      <c r="H340" s="27">
        <v>166.4</v>
      </c>
      <c r="I340" s="27">
        <v>188.6</v>
      </c>
      <c r="J340" s="27">
        <v>174.1</v>
      </c>
      <c r="K340" s="27">
        <v>211.5</v>
      </c>
      <c r="L340" s="27">
        <v>163.6</v>
      </c>
      <c r="M340" s="27">
        <v>121.4</v>
      </c>
      <c r="N340" s="27">
        <v>183.5</v>
      </c>
      <c r="O340" s="27">
        <v>159.1</v>
      </c>
      <c r="P340" s="27">
        <v>186.3</v>
      </c>
      <c r="Q340" s="27">
        <v>179.3</v>
      </c>
      <c r="R340" s="21">
        <f t="shared" si="36"/>
        <v>2287.5</v>
      </c>
      <c r="S340" s="21">
        <v>171.6</v>
      </c>
      <c r="T340" s="21">
        <v>157.4</v>
      </c>
      <c r="U340" s="21">
        <v>169.4</v>
      </c>
      <c r="V340" s="21">
        <f t="shared" si="37"/>
        <v>498.4</v>
      </c>
      <c r="W340" s="22">
        <v>166.8</v>
      </c>
      <c r="X340" s="21">
        <v>174.9</v>
      </c>
      <c r="Y340" s="21">
        <v>162.1</v>
      </c>
      <c r="Z340" s="22">
        <f t="shared" si="38"/>
        <v>503.80000000000007</v>
      </c>
      <c r="AA340" s="21">
        <v>170.9</v>
      </c>
      <c r="AB340" s="21">
        <v>169.2</v>
      </c>
      <c r="AC340" s="21">
        <f t="shared" si="39"/>
        <v>340.1</v>
      </c>
      <c r="AD340" s="27">
        <v>157.19999999999999</v>
      </c>
      <c r="AE340" s="27">
        <v>164.1</v>
      </c>
      <c r="AF340" s="27">
        <v>166.5</v>
      </c>
      <c r="AG340" s="21">
        <f t="shared" si="40"/>
        <v>330.6</v>
      </c>
      <c r="AH340" s="27">
        <v>198.3</v>
      </c>
      <c r="AI340" s="27">
        <v>163.80000000000001</v>
      </c>
      <c r="AJ340" s="21">
        <f t="shared" si="41"/>
        <v>362.1</v>
      </c>
      <c r="AK340" s="21">
        <v>171.4</v>
      </c>
    </row>
    <row r="341" spans="1:37">
      <c r="A341" s="21" t="s">
        <v>34</v>
      </c>
      <c r="B341" s="26">
        <v>2022</v>
      </c>
      <c r="C341" s="21" t="s">
        <v>39</v>
      </c>
      <c r="D341" s="21" t="str">
        <f t="shared" si="35"/>
        <v>No</v>
      </c>
      <c r="E341" s="27">
        <v>155</v>
      </c>
      <c r="F341" s="27">
        <v>219.4</v>
      </c>
      <c r="G341" s="27">
        <v>170.8</v>
      </c>
      <c r="H341" s="27">
        <v>165.8</v>
      </c>
      <c r="I341" s="27">
        <v>200.9</v>
      </c>
      <c r="J341" s="27">
        <v>169.7</v>
      </c>
      <c r="K341" s="27">
        <v>182.3</v>
      </c>
      <c r="L341" s="27">
        <v>164.3</v>
      </c>
      <c r="M341" s="27">
        <v>119.9</v>
      </c>
      <c r="N341" s="27">
        <v>187.1</v>
      </c>
      <c r="O341" s="27">
        <v>167.9</v>
      </c>
      <c r="P341" s="27">
        <v>183.9</v>
      </c>
      <c r="Q341" s="27">
        <v>174.9</v>
      </c>
      <c r="R341" s="21">
        <f t="shared" si="36"/>
        <v>2261.9</v>
      </c>
      <c r="S341" s="21">
        <v>177.1</v>
      </c>
      <c r="T341" s="21">
        <v>169.9</v>
      </c>
      <c r="U341" s="21">
        <v>176</v>
      </c>
      <c r="V341" s="21">
        <f t="shared" si="37"/>
        <v>523</v>
      </c>
      <c r="W341" s="22">
        <v>166.8</v>
      </c>
      <c r="X341" s="21">
        <v>176</v>
      </c>
      <c r="Y341" s="21">
        <v>166.4</v>
      </c>
      <c r="Z341" s="22">
        <f t="shared" si="38"/>
        <v>509.20000000000005</v>
      </c>
      <c r="AA341" s="21">
        <v>175.4</v>
      </c>
      <c r="AB341" s="21">
        <v>169.4</v>
      </c>
      <c r="AC341" s="21">
        <f t="shared" si="39"/>
        <v>344.8</v>
      </c>
      <c r="AD341" s="27">
        <v>161.1</v>
      </c>
      <c r="AE341" s="27">
        <v>165.8</v>
      </c>
      <c r="AF341" s="27">
        <v>169</v>
      </c>
      <c r="AG341" s="21">
        <f t="shared" si="40"/>
        <v>334.8</v>
      </c>
      <c r="AH341" s="27">
        <v>194.3</v>
      </c>
      <c r="AI341" s="27">
        <v>167.5</v>
      </c>
      <c r="AJ341" s="21">
        <f t="shared" si="41"/>
        <v>361.8</v>
      </c>
      <c r="AK341" s="21">
        <v>172.6</v>
      </c>
    </row>
    <row r="342" spans="1:37">
      <c r="A342" s="21" t="s">
        <v>30</v>
      </c>
      <c r="B342" s="26">
        <v>2022</v>
      </c>
      <c r="C342" s="21" t="s">
        <v>40</v>
      </c>
      <c r="D342" s="21" t="str">
        <f t="shared" si="35"/>
        <v>No</v>
      </c>
      <c r="E342" s="27">
        <v>155.19999999999999</v>
      </c>
      <c r="F342" s="27">
        <v>210.8</v>
      </c>
      <c r="G342" s="27">
        <v>174.3</v>
      </c>
      <c r="H342" s="27">
        <v>166.3</v>
      </c>
      <c r="I342" s="27">
        <v>202.2</v>
      </c>
      <c r="J342" s="27">
        <v>169.6</v>
      </c>
      <c r="K342" s="27">
        <v>168.6</v>
      </c>
      <c r="L342" s="27">
        <v>164.4</v>
      </c>
      <c r="M342" s="27">
        <v>119.2</v>
      </c>
      <c r="N342" s="27">
        <v>191.8</v>
      </c>
      <c r="O342" s="27">
        <v>174.5</v>
      </c>
      <c r="P342" s="27">
        <v>183.1</v>
      </c>
      <c r="Q342" s="27">
        <v>172.5</v>
      </c>
      <c r="R342" s="21">
        <f t="shared" si="36"/>
        <v>2252.5</v>
      </c>
      <c r="S342" s="21">
        <v>182</v>
      </c>
      <c r="T342" s="21">
        <v>180.3</v>
      </c>
      <c r="U342" s="21">
        <v>181.7</v>
      </c>
      <c r="V342" s="21">
        <f t="shared" si="37"/>
        <v>544</v>
      </c>
      <c r="W342" s="22">
        <v>139.25</v>
      </c>
      <c r="X342" s="21">
        <v>179.6</v>
      </c>
      <c r="Y342" s="21">
        <v>171.3</v>
      </c>
      <c r="Z342" s="22">
        <f t="shared" si="38"/>
        <v>490.15000000000003</v>
      </c>
      <c r="AA342" s="21">
        <v>178.8</v>
      </c>
      <c r="AB342" s="21">
        <v>169.7</v>
      </c>
      <c r="AC342" s="21">
        <f t="shared" si="39"/>
        <v>348.5</v>
      </c>
      <c r="AD342" s="27">
        <v>166.3</v>
      </c>
      <c r="AE342" s="27">
        <v>168.6</v>
      </c>
      <c r="AF342" s="27">
        <v>174.7</v>
      </c>
      <c r="AG342" s="21">
        <f t="shared" si="40"/>
        <v>343.29999999999995</v>
      </c>
      <c r="AH342" s="27">
        <v>193.2</v>
      </c>
      <c r="AI342" s="27">
        <v>171.8</v>
      </c>
      <c r="AJ342" s="21">
        <f t="shared" si="41"/>
        <v>365</v>
      </c>
      <c r="AK342" s="21">
        <v>174.3</v>
      </c>
    </row>
    <row r="343" spans="1:37">
      <c r="A343" s="21" t="s">
        <v>33</v>
      </c>
      <c r="B343" s="26">
        <v>2022</v>
      </c>
      <c r="C343" s="21" t="s">
        <v>40</v>
      </c>
      <c r="D343" s="21" t="str">
        <f t="shared" si="35"/>
        <v>Yes</v>
      </c>
      <c r="E343" s="27">
        <v>159.30000000000001</v>
      </c>
      <c r="F343" s="27">
        <v>217.1</v>
      </c>
      <c r="G343" s="27">
        <v>176.6</v>
      </c>
      <c r="H343" s="27">
        <v>167.1</v>
      </c>
      <c r="I343" s="27">
        <v>184.8</v>
      </c>
      <c r="J343" s="27">
        <v>179.5</v>
      </c>
      <c r="K343" s="27">
        <v>208.5</v>
      </c>
      <c r="L343" s="27">
        <v>164</v>
      </c>
      <c r="M343" s="27">
        <v>121.5</v>
      </c>
      <c r="N343" s="27">
        <v>186.3</v>
      </c>
      <c r="O343" s="27">
        <v>159.80000000000001</v>
      </c>
      <c r="P343" s="27">
        <v>187.7</v>
      </c>
      <c r="Q343" s="27">
        <v>179.4</v>
      </c>
      <c r="R343" s="21">
        <f t="shared" si="36"/>
        <v>2291.6</v>
      </c>
      <c r="S343" s="21">
        <v>172.7</v>
      </c>
      <c r="T343" s="21">
        <v>158.69999999999999</v>
      </c>
      <c r="U343" s="21">
        <v>170.6</v>
      </c>
      <c r="V343" s="21">
        <f t="shared" si="37"/>
        <v>502</v>
      </c>
      <c r="W343" s="22">
        <v>167.8</v>
      </c>
      <c r="X343" s="21">
        <v>179.5</v>
      </c>
      <c r="Y343" s="21">
        <v>163.1</v>
      </c>
      <c r="Z343" s="22">
        <f t="shared" si="38"/>
        <v>510.4</v>
      </c>
      <c r="AA343" s="21">
        <v>171.7</v>
      </c>
      <c r="AB343" s="21">
        <v>169.8</v>
      </c>
      <c r="AC343" s="21">
        <f t="shared" si="39"/>
        <v>341.5</v>
      </c>
      <c r="AD343" s="27">
        <v>157.4</v>
      </c>
      <c r="AE343" s="27">
        <v>164.6</v>
      </c>
      <c r="AF343" s="27">
        <v>169.1</v>
      </c>
      <c r="AG343" s="21">
        <f t="shared" si="40"/>
        <v>333.7</v>
      </c>
      <c r="AH343" s="27">
        <v>198.6</v>
      </c>
      <c r="AI343" s="27">
        <v>164.7</v>
      </c>
      <c r="AJ343" s="21">
        <f t="shared" si="41"/>
        <v>363.29999999999995</v>
      </c>
      <c r="AK343" s="21">
        <v>172.3</v>
      </c>
    </row>
    <row r="344" spans="1:37">
      <c r="A344" s="21" t="s">
        <v>34</v>
      </c>
      <c r="B344" s="26">
        <v>2022</v>
      </c>
      <c r="C344" s="21" t="s">
        <v>40</v>
      </c>
      <c r="D344" s="21" t="str">
        <f t="shared" si="35"/>
        <v>No</v>
      </c>
      <c r="E344" s="27">
        <v>156.5</v>
      </c>
      <c r="F344" s="27">
        <v>213</v>
      </c>
      <c r="G344" s="27">
        <v>175.2</v>
      </c>
      <c r="H344" s="27">
        <v>166.6</v>
      </c>
      <c r="I344" s="27">
        <v>195.8</v>
      </c>
      <c r="J344" s="27">
        <v>174.2</v>
      </c>
      <c r="K344" s="27">
        <v>182.1</v>
      </c>
      <c r="L344" s="27">
        <v>164.3</v>
      </c>
      <c r="M344" s="27">
        <v>120</v>
      </c>
      <c r="N344" s="27">
        <v>190</v>
      </c>
      <c r="O344" s="27">
        <v>168.4</v>
      </c>
      <c r="P344" s="27">
        <v>185.2</v>
      </c>
      <c r="Q344" s="27">
        <v>175</v>
      </c>
      <c r="R344" s="21">
        <f t="shared" si="36"/>
        <v>2266.3000000000002</v>
      </c>
      <c r="S344" s="21">
        <v>178.3</v>
      </c>
      <c r="T344" s="21">
        <v>171.3</v>
      </c>
      <c r="U344" s="21">
        <v>177.3</v>
      </c>
      <c r="V344" s="21">
        <f t="shared" si="37"/>
        <v>526.90000000000009</v>
      </c>
      <c r="W344" s="22">
        <v>167.8</v>
      </c>
      <c r="X344" s="21">
        <v>179.6</v>
      </c>
      <c r="Y344" s="21">
        <v>167.4</v>
      </c>
      <c r="Z344" s="22">
        <f t="shared" si="38"/>
        <v>514.79999999999995</v>
      </c>
      <c r="AA344" s="21">
        <v>176.1</v>
      </c>
      <c r="AB344" s="21">
        <v>169.7</v>
      </c>
      <c r="AC344" s="21">
        <f t="shared" si="39"/>
        <v>345.79999999999995</v>
      </c>
      <c r="AD344" s="27">
        <v>161.6</v>
      </c>
      <c r="AE344" s="27">
        <v>166.3</v>
      </c>
      <c r="AF344" s="27">
        <v>171.4</v>
      </c>
      <c r="AG344" s="21">
        <f t="shared" si="40"/>
        <v>337.70000000000005</v>
      </c>
      <c r="AH344" s="27">
        <v>194.6</v>
      </c>
      <c r="AI344" s="27">
        <v>168.4</v>
      </c>
      <c r="AJ344" s="21">
        <f t="shared" si="41"/>
        <v>363</v>
      </c>
      <c r="AK344" s="21">
        <v>173.4</v>
      </c>
    </row>
    <row r="345" spans="1:37">
      <c r="A345" s="21" t="s">
        <v>30</v>
      </c>
      <c r="B345" s="26">
        <v>2022</v>
      </c>
      <c r="C345" s="21" t="s">
        <v>41</v>
      </c>
      <c r="D345" s="21" t="str">
        <f t="shared" si="35"/>
        <v>Yes</v>
      </c>
      <c r="E345" s="27">
        <v>159.5</v>
      </c>
      <c r="F345" s="27">
        <v>204.1</v>
      </c>
      <c r="G345" s="27">
        <v>168.3</v>
      </c>
      <c r="H345" s="27">
        <v>167.9</v>
      </c>
      <c r="I345" s="27">
        <v>198.1</v>
      </c>
      <c r="J345" s="27">
        <v>169.2</v>
      </c>
      <c r="K345" s="27">
        <v>173.1</v>
      </c>
      <c r="L345" s="27">
        <v>167.1</v>
      </c>
      <c r="M345" s="27">
        <v>120.2</v>
      </c>
      <c r="N345" s="27">
        <v>195.6</v>
      </c>
      <c r="O345" s="27">
        <v>174.8</v>
      </c>
      <c r="P345" s="27">
        <v>184</v>
      </c>
      <c r="Q345" s="27">
        <v>173.9</v>
      </c>
      <c r="R345" s="21">
        <f t="shared" si="36"/>
        <v>2255.7999999999997</v>
      </c>
      <c r="S345" s="21">
        <v>183.2</v>
      </c>
      <c r="T345" s="21">
        <v>181.7</v>
      </c>
      <c r="U345" s="21">
        <v>183</v>
      </c>
      <c r="V345" s="21">
        <f t="shared" si="37"/>
        <v>547.9</v>
      </c>
      <c r="W345" s="22">
        <v>139.25</v>
      </c>
      <c r="X345" s="21">
        <v>179.1</v>
      </c>
      <c r="Y345" s="21">
        <v>172.3</v>
      </c>
      <c r="Z345" s="22">
        <f t="shared" si="38"/>
        <v>490.65000000000003</v>
      </c>
      <c r="AA345" s="21">
        <v>179.4</v>
      </c>
      <c r="AB345" s="21">
        <v>171.1</v>
      </c>
      <c r="AC345" s="21">
        <f t="shared" si="39"/>
        <v>350.5</v>
      </c>
      <c r="AD345" s="27">
        <v>166.6</v>
      </c>
      <c r="AE345" s="27">
        <v>169.3</v>
      </c>
      <c r="AF345" s="27">
        <v>175.7</v>
      </c>
      <c r="AG345" s="21">
        <f t="shared" si="40"/>
        <v>345</v>
      </c>
      <c r="AH345" s="27">
        <v>193.7</v>
      </c>
      <c r="AI345" s="27">
        <v>172.6</v>
      </c>
      <c r="AJ345" s="21">
        <f t="shared" si="41"/>
        <v>366.29999999999995</v>
      </c>
      <c r="AK345" s="21">
        <v>175.3</v>
      </c>
    </row>
    <row r="346" spans="1:37">
      <c r="A346" s="21" t="s">
        <v>33</v>
      </c>
      <c r="B346" s="26">
        <v>2022</v>
      </c>
      <c r="C346" s="21" t="s">
        <v>41</v>
      </c>
      <c r="D346" s="21" t="str">
        <f t="shared" si="35"/>
        <v>Yes</v>
      </c>
      <c r="E346" s="27">
        <v>162.1</v>
      </c>
      <c r="F346" s="27">
        <v>210.9</v>
      </c>
      <c r="G346" s="27">
        <v>170.6</v>
      </c>
      <c r="H346" s="27">
        <v>168.4</v>
      </c>
      <c r="I346" s="27">
        <v>182.5</v>
      </c>
      <c r="J346" s="27">
        <v>177.1</v>
      </c>
      <c r="K346" s="27">
        <v>213.1</v>
      </c>
      <c r="L346" s="27">
        <v>167.3</v>
      </c>
      <c r="M346" s="27">
        <v>122.2</v>
      </c>
      <c r="N346" s="27">
        <v>189.7</v>
      </c>
      <c r="O346" s="27">
        <v>160.5</v>
      </c>
      <c r="P346" s="27">
        <v>188.9</v>
      </c>
      <c r="Q346" s="27">
        <v>180.4</v>
      </c>
      <c r="R346" s="21">
        <f t="shared" si="36"/>
        <v>2293.6999999999998</v>
      </c>
      <c r="S346" s="21">
        <v>173.7</v>
      </c>
      <c r="T346" s="21">
        <v>160</v>
      </c>
      <c r="U346" s="21">
        <v>171.6</v>
      </c>
      <c r="V346" s="21">
        <f t="shared" si="37"/>
        <v>505.29999999999995</v>
      </c>
      <c r="W346" s="22">
        <v>169</v>
      </c>
      <c r="X346" s="21">
        <v>178.4</v>
      </c>
      <c r="Y346" s="21">
        <v>164.2</v>
      </c>
      <c r="Z346" s="22">
        <f t="shared" si="38"/>
        <v>511.59999999999997</v>
      </c>
      <c r="AA346" s="21">
        <v>172.6</v>
      </c>
      <c r="AB346" s="21">
        <v>171.4</v>
      </c>
      <c r="AC346" s="21">
        <f t="shared" si="39"/>
        <v>344</v>
      </c>
      <c r="AD346" s="27">
        <v>157.69999999999999</v>
      </c>
      <c r="AE346" s="27">
        <v>165.1</v>
      </c>
      <c r="AF346" s="27">
        <v>169.9</v>
      </c>
      <c r="AG346" s="21">
        <f t="shared" si="40"/>
        <v>335</v>
      </c>
      <c r="AH346" s="27">
        <v>198.7</v>
      </c>
      <c r="AI346" s="27">
        <v>165.4</v>
      </c>
      <c r="AJ346" s="21">
        <f t="shared" si="41"/>
        <v>364.1</v>
      </c>
      <c r="AK346" s="21">
        <v>173.1</v>
      </c>
    </row>
    <row r="347" spans="1:37">
      <c r="A347" s="21" t="s">
        <v>34</v>
      </c>
      <c r="B347" s="26">
        <v>2022</v>
      </c>
      <c r="C347" s="21" t="s">
        <v>41</v>
      </c>
      <c r="D347" s="21" t="str">
        <f t="shared" si="35"/>
        <v>Yes</v>
      </c>
      <c r="E347" s="27">
        <v>160.30000000000001</v>
      </c>
      <c r="F347" s="27">
        <v>206.5</v>
      </c>
      <c r="G347" s="27">
        <v>169.2</v>
      </c>
      <c r="H347" s="27">
        <v>168.1</v>
      </c>
      <c r="I347" s="27">
        <v>192.4</v>
      </c>
      <c r="J347" s="27">
        <v>172.9</v>
      </c>
      <c r="K347" s="27">
        <v>186.7</v>
      </c>
      <c r="L347" s="27">
        <v>167.2</v>
      </c>
      <c r="M347" s="27">
        <v>120.9</v>
      </c>
      <c r="N347" s="27">
        <v>193.6</v>
      </c>
      <c r="O347" s="27">
        <v>168.8</v>
      </c>
      <c r="P347" s="27">
        <v>186.3</v>
      </c>
      <c r="Q347" s="27">
        <v>176.3</v>
      </c>
      <c r="R347" s="21">
        <f t="shared" si="36"/>
        <v>2269.2000000000003</v>
      </c>
      <c r="S347" s="21">
        <v>179.5</v>
      </c>
      <c r="T347" s="21">
        <v>172.7</v>
      </c>
      <c r="U347" s="21">
        <v>178.5</v>
      </c>
      <c r="V347" s="21">
        <f t="shared" si="37"/>
        <v>530.70000000000005</v>
      </c>
      <c r="W347" s="22">
        <v>169</v>
      </c>
      <c r="X347" s="21">
        <v>178.8</v>
      </c>
      <c r="Y347" s="21">
        <v>168.5</v>
      </c>
      <c r="Z347" s="22">
        <f t="shared" si="38"/>
        <v>516.29999999999995</v>
      </c>
      <c r="AA347" s="21">
        <v>176.8</v>
      </c>
      <c r="AB347" s="21">
        <v>171.2</v>
      </c>
      <c r="AC347" s="21">
        <f t="shared" si="39"/>
        <v>348</v>
      </c>
      <c r="AD347" s="27">
        <v>161.9</v>
      </c>
      <c r="AE347" s="27">
        <v>166.9</v>
      </c>
      <c r="AF347" s="27">
        <v>172.3</v>
      </c>
      <c r="AG347" s="21">
        <f t="shared" si="40"/>
        <v>339.20000000000005</v>
      </c>
      <c r="AH347" s="27">
        <v>195</v>
      </c>
      <c r="AI347" s="27">
        <v>169.1</v>
      </c>
      <c r="AJ347" s="21">
        <f t="shared" si="41"/>
        <v>364.1</v>
      </c>
      <c r="AK347" s="21">
        <v>174.3</v>
      </c>
    </row>
    <row r="348" spans="1:37">
      <c r="A348" s="21" t="s">
        <v>30</v>
      </c>
      <c r="B348" s="26">
        <v>2022</v>
      </c>
      <c r="C348" s="21" t="s">
        <v>42</v>
      </c>
      <c r="D348" s="21" t="str">
        <f t="shared" si="35"/>
        <v>Yes</v>
      </c>
      <c r="E348" s="27">
        <v>162.9</v>
      </c>
      <c r="F348" s="27">
        <v>206.7</v>
      </c>
      <c r="G348" s="27">
        <v>169</v>
      </c>
      <c r="H348" s="27">
        <v>169.5</v>
      </c>
      <c r="I348" s="27">
        <v>194.1</v>
      </c>
      <c r="J348" s="27">
        <v>164.1</v>
      </c>
      <c r="K348" s="27">
        <v>176.9</v>
      </c>
      <c r="L348" s="27">
        <v>169</v>
      </c>
      <c r="M348" s="27">
        <v>120.8</v>
      </c>
      <c r="N348" s="27">
        <v>199.1</v>
      </c>
      <c r="O348" s="27">
        <v>175.4</v>
      </c>
      <c r="P348" s="27">
        <v>184.8</v>
      </c>
      <c r="Q348" s="27">
        <v>175.5</v>
      </c>
      <c r="R348" s="21">
        <f t="shared" si="36"/>
        <v>2267.8000000000002</v>
      </c>
      <c r="S348" s="21">
        <v>184.7</v>
      </c>
      <c r="T348" s="21">
        <v>183.3</v>
      </c>
      <c r="U348" s="21">
        <v>184.5</v>
      </c>
      <c r="V348" s="21">
        <f t="shared" si="37"/>
        <v>552.5</v>
      </c>
      <c r="W348" s="22">
        <v>139.25</v>
      </c>
      <c r="X348" s="21">
        <v>179.7</v>
      </c>
      <c r="Y348" s="21">
        <v>173.6</v>
      </c>
      <c r="Z348" s="22">
        <f t="shared" si="38"/>
        <v>492.54999999999995</v>
      </c>
      <c r="AA348" s="21">
        <v>180.2</v>
      </c>
      <c r="AB348" s="21">
        <v>170.8</v>
      </c>
      <c r="AC348" s="21">
        <f t="shared" si="39"/>
        <v>351</v>
      </c>
      <c r="AD348" s="27">
        <v>166.9</v>
      </c>
      <c r="AE348" s="27">
        <v>170</v>
      </c>
      <c r="AF348" s="27">
        <v>176.2</v>
      </c>
      <c r="AG348" s="21">
        <f t="shared" si="40"/>
        <v>346.2</v>
      </c>
      <c r="AH348" s="27">
        <v>194.5</v>
      </c>
      <c r="AI348" s="27">
        <v>173.1</v>
      </c>
      <c r="AJ348" s="21">
        <f t="shared" si="41"/>
        <v>367.6</v>
      </c>
      <c r="AK348" s="21">
        <v>176.4</v>
      </c>
    </row>
    <row r="349" spans="1:37">
      <c r="A349" s="21" t="s">
        <v>33</v>
      </c>
      <c r="B349" s="26">
        <v>2022</v>
      </c>
      <c r="C349" s="21" t="s">
        <v>42</v>
      </c>
      <c r="D349" s="21" t="str">
        <f t="shared" si="35"/>
        <v>Yes</v>
      </c>
      <c r="E349" s="27">
        <v>164.9</v>
      </c>
      <c r="F349" s="27">
        <v>213.7</v>
      </c>
      <c r="G349" s="27">
        <v>170.9</v>
      </c>
      <c r="H349" s="27">
        <v>170.1</v>
      </c>
      <c r="I349" s="27">
        <v>179.3</v>
      </c>
      <c r="J349" s="27">
        <v>167.5</v>
      </c>
      <c r="K349" s="27">
        <v>220.8</v>
      </c>
      <c r="L349" s="27">
        <v>169.2</v>
      </c>
      <c r="M349" s="27">
        <v>123.1</v>
      </c>
      <c r="N349" s="27">
        <v>193.6</v>
      </c>
      <c r="O349" s="27">
        <v>161.1</v>
      </c>
      <c r="P349" s="27">
        <v>190.4</v>
      </c>
      <c r="Q349" s="27">
        <v>181.8</v>
      </c>
      <c r="R349" s="21">
        <f t="shared" si="36"/>
        <v>2306.4</v>
      </c>
      <c r="S349" s="21">
        <v>175</v>
      </c>
      <c r="T349" s="21">
        <v>161.69999999999999</v>
      </c>
      <c r="U349" s="21">
        <v>173</v>
      </c>
      <c r="V349" s="21">
        <f t="shared" si="37"/>
        <v>509.7</v>
      </c>
      <c r="W349" s="22">
        <v>169.5</v>
      </c>
      <c r="X349" s="21">
        <v>179.2</v>
      </c>
      <c r="Y349" s="21">
        <v>165</v>
      </c>
      <c r="Z349" s="22">
        <f t="shared" si="38"/>
        <v>513.70000000000005</v>
      </c>
      <c r="AA349" s="21">
        <v>173.8</v>
      </c>
      <c r="AB349" s="21">
        <v>171.1</v>
      </c>
      <c r="AC349" s="21">
        <f t="shared" si="39"/>
        <v>344.9</v>
      </c>
      <c r="AD349" s="27">
        <v>158.19999999999999</v>
      </c>
      <c r="AE349" s="27">
        <v>165.8</v>
      </c>
      <c r="AF349" s="27">
        <v>170.9</v>
      </c>
      <c r="AG349" s="21">
        <f t="shared" si="40"/>
        <v>336.70000000000005</v>
      </c>
      <c r="AH349" s="27">
        <v>199.7</v>
      </c>
      <c r="AI349" s="27">
        <v>166.1</v>
      </c>
      <c r="AJ349" s="21">
        <f t="shared" si="41"/>
        <v>365.79999999999995</v>
      </c>
      <c r="AK349" s="21">
        <v>174.1</v>
      </c>
    </row>
    <row r="350" spans="1:37">
      <c r="A350" s="21" t="s">
        <v>34</v>
      </c>
      <c r="B350" s="26">
        <v>2022</v>
      </c>
      <c r="C350" s="21" t="s">
        <v>42</v>
      </c>
      <c r="D350" s="21" t="str">
        <f t="shared" si="35"/>
        <v>Yes</v>
      </c>
      <c r="E350" s="27">
        <v>163.5</v>
      </c>
      <c r="F350" s="27">
        <v>209.2</v>
      </c>
      <c r="G350" s="27">
        <v>169.7</v>
      </c>
      <c r="H350" s="27">
        <v>169.7</v>
      </c>
      <c r="I350" s="27">
        <v>188.7</v>
      </c>
      <c r="J350" s="27">
        <v>165.7</v>
      </c>
      <c r="K350" s="27">
        <v>191.8</v>
      </c>
      <c r="L350" s="27">
        <v>169.1</v>
      </c>
      <c r="M350" s="27">
        <v>121.6</v>
      </c>
      <c r="N350" s="27">
        <v>197.3</v>
      </c>
      <c r="O350" s="27">
        <v>169.4</v>
      </c>
      <c r="P350" s="27">
        <v>187.4</v>
      </c>
      <c r="Q350" s="27">
        <v>177.8</v>
      </c>
      <c r="R350" s="21">
        <f t="shared" si="36"/>
        <v>2280.9</v>
      </c>
      <c r="S350" s="21">
        <v>180.9</v>
      </c>
      <c r="T350" s="21">
        <v>174.3</v>
      </c>
      <c r="U350" s="21">
        <v>179.9</v>
      </c>
      <c r="V350" s="21">
        <f t="shared" si="37"/>
        <v>535.1</v>
      </c>
      <c r="W350" s="22">
        <v>169.5</v>
      </c>
      <c r="X350" s="21">
        <v>179.5</v>
      </c>
      <c r="Y350" s="21">
        <v>169.5</v>
      </c>
      <c r="Z350" s="22">
        <f t="shared" si="38"/>
        <v>518.5</v>
      </c>
      <c r="AA350" s="21">
        <v>177.8</v>
      </c>
      <c r="AB350" s="21">
        <v>170.9</v>
      </c>
      <c r="AC350" s="21">
        <f t="shared" si="39"/>
        <v>348.70000000000005</v>
      </c>
      <c r="AD350" s="27">
        <v>162.30000000000001</v>
      </c>
      <c r="AE350" s="27">
        <v>167.6</v>
      </c>
      <c r="AF350" s="27">
        <v>173.1</v>
      </c>
      <c r="AG350" s="21">
        <f t="shared" si="40"/>
        <v>340.7</v>
      </c>
      <c r="AH350" s="27">
        <v>195.9</v>
      </c>
      <c r="AI350" s="27">
        <v>169.7</v>
      </c>
      <c r="AJ350" s="21">
        <f t="shared" si="41"/>
        <v>365.6</v>
      </c>
      <c r="AK350" s="21">
        <v>175.3</v>
      </c>
    </row>
    <row r="351" spans="1:37">
      <c r="A351" s="21" t="s">
        <v>30</v>
      </c>
      <c r="B351" s="26">
        <v>2022</v>
      </c>
      <c r="C351" s="21" t="s">
        <v>43</v>
      </c>
      <c r="D351" s="21" t="str">
        <f t="shared" si="35"/>
        <v>Yes</v>
      </c>
      <c r="E351" s="27">
        <v>164.7</v>
      </c>
      <c r="F351" s="27">
        <v>208.8</v>
      </c>
      <c r="G351" s="27">
        <v>170.3</v>
      </c>
      <c r="H351" s="27">
        <v>170.9</v>
      </c>
      <c r="I351" s="27">
        <v>191.6</v>
      </c>
      <c r="J351" s="27">
        <v>162.19999999999999</v>
      </c>
      <c r="K351" s="27">
        <v>184.8</v>
      </c>
      <c r="L351" s="27">
        <v>169.7</v>
      </c>
      <c r="M351" s="27">
        <v>121.1</v>
      </c>
      <c r="N351" s="27">
        <v>201.6</v>
      </c>
      <c r="O351" s="27">
        <v>175.8</v>
      </c>
      <c r="P351" s="27">
        <v>185.6</v>
      </c>
      <c r="Q351" s="27">
        <v>177.4</v>
      </c>
      <c r="R351" s="21">
        <f t="shared" si="36"/>
        <v>2284.5</v>
      </c>
      <c r="S351" s="21">
        <v>186.1</v>
      </c>
      <c r="T351" s="21">
        <v>184.4</v>
      </c>
      <c r="U351" s="21">
        <v>185.9</v>
      </c>
      <c r="V351" s="21">
        <f t="shared" si="37"/>
        <v>556.4</v>
      </c>
      <c r="W351" s="22">
        <v>139.25</v>
      </c>
      <c r="X351" s="21">
        <v>180.8</v>
      </c>
      <c r="Y351" s="21">
        <v>174.4</v>
      </c>
      <c r="Z351" s="22">
        <f t="shared" si="38"/>
        <v>494.45000000000005</v>
      </c>
      <c r="AA351" s="21">
        <v>181.2</v>
      </c>
      <c r="AB351" s="21">
        <v>172</v>
      </c>
      <c r="AC351" s="21">
        <f t="shared" si="39"/>
        <v>353.2</v>
      </c>
      <c r="AD351" s="27">
        <v>167.4</v>
      </c>
      <c r="AE351" s="27">
        <v>170.6</v>
      </c>
      <c r="AF351" s="27">
        <v>176.5</v>
      </c>
      <c r="AG351" s="21">
        <f t="shared" si="40"/>
        <v>347.1</v>
      </c>
      <c r="AH351" s="27">
        <v>194.9</v>
      </c>
      <c r="AI351" s="27">
        <v>173.9</v>
      </c>
      <c r="AJ351" s="21">
        <f t="shared" si="41"/>
        <v>368.8</v>
      </c>
      <c r="AK351" s="21">
        <v>177.9</v>
      </c>
    </row>
    <row r="352" spans="1:37">
      <c r="A352" s="21" t="s">
        <v>33</v>
      </c>
      <c r="B352" s="26">
        <v>2022</v>
      </c>
      <c r="C352" s="21" t="s">
        <v>43</v>
      </c>
      <c r="D352" s="21" t="str">
        <f t="shared" si="35"/>
        <v>Yes</v>
      </c>
      <c r="E352" s="27">
        <v>166.4</v>
      </c>
      <c r="F352" s="27">
        <v>214.9</v>
      </c>
      <c r="G352" s="27">
        <v>171.9</v>
      </c>
      <c r="H352" s="27">
        <v>171</v>
      </c>
      <c r="I352" s="27">
        <v>177.7</v>
      </c>
      <c r="J352" s="27">
        <v>165.7</v>
      </c>
      <c r="K352" s="27">
        <v>228.6</v>
      </c>
      <c r="L352" s="27">
        <v>169.9</v>
      </c>
      <c r="M352" s="27">
        <v>123.4</v>
      </c>
      <c r="N352" s="27">
        <v>196.4</v>
      </c>
      <c r="O352" s="27">
        <v>161.6</v>
      </c>
      <c r="P352" s="27">
        <v>191.5</v>
      </c>
      <c r="Q352" s="27">
        <v>183.3</v>
      </c>
      <c r="R352" s="21">
        <f t="shared" si="36"/>
        <v>2322.3000000000002</v>
      </c>
      <c r="S352" s="21">
        <v>175.5</v>
      </c>
      <c r="T352" s="21">
        <v>162.6</v>
      </c>
      <c r="U352" s="21">
        <v>173.6</v>
      </c>
      <c r="V352" s="21">
        <f t="shared" si="37"/>
        <v>511.70000000000005</v>
      </c>
      <c r="W352" s="22">
        <v>171.2</v>
      </c>
      <c r="X352" s="21">
        <v>180</v>
      </c>
      <c r="Y352" s="21">
        <v>166</v>
      </c>
      <c r="Z352" s="22">
        <f t="shared" si="38"/>
        <v>517.20000000000005</v>
      </c>
      <c r="AA352" s="21">
        <v>174.7</v>
      </c>
      <c r="AB352" s="21">
        <v>172.3</v>
      </c>
      <c r="AC352" s="21">
        <f t="shared" si="39"/>
        <v>347</v>
      </c>
      <c r="AD352" s="27">
        <v>158.80000000000001</v>
      </c>
      <c r="AE352" s="27">
        <v>166.3</v>
      </c>
      <c r="AF352" s="27">
        <v>171.2</v>
      </c>
      <c r="AG352" s="21">
        <f t="shared" si="40"/>
        <v>337.5</v>
      </c>
      <c r="AH352" s="27">
        <v>200.1</v>
      </c>
      <c r="AI352" s="27">
        <v>166.8</v>
      </c>
      <c r="AJ352" s="21">
        <f t="shared" si="41"/>
        <v>366.9</v>
      </c>
      <c r="AK352" s="21">
        <v>175.3</v>
      </c>
    </row>
    <row r="353" spans="1:37">
      <c r="A353" s="21" t="s">
        <v>34</v>
      </c>
      <c r="B353" s="26">
        <v>2022</v>
      </c>
      <c r="C353" s="21" t="s">
        <v>43</v>
      </c>
      <c r="D353" s="21" t="str">
        <f t="shared" si="35"/>
        <v>Yes</v>
      </c>
      <c r="E353" s="27">
        <v>165.2</v>
      </c>
      <c r="F353" s="27">
        <v>210.9</v>
      </c>
      <c r="G353" s="27">
        <v>170.9</v>
      </c>
      <c r="H353" s="27">
        <v>170.9</v>
      </c>
      <c r="I353" s="27">
        <v>186.5</v>
      </c>
      <c r="J353" s="27">
        <v>163.80000000000001</v>
      </c>
      <c r="K353" s="27">
        <v>199.7</v>
      </c>
      <c r="L353" s="27">
        <v>169.8</v>
      </c>
      <c r="M353" s="27">
        <v>121.9</v>
      </c>
      <c r="N353" s="27">
        <v>199.9</v>
      </c>
      <c r="O353" s="27">
        <v>169.9</v>
      </c>
      <c r="P353" s="27">
        <v>188.3</v>
      </c>
      <c r="Q353" s="27">
        <v>179.6</v>
      </c>
      <c r="R353" s="21">
        <f t="shared" si="36"/>
        <v>2297.3000000000002</v>
      </c>
      <c r="S353" s="21">
        <v>181.9</v>
      </c>
      <c r="T353" s="21">
        <v>175.3</v>
      </c>
      <c r="U353" s="21">
        <v>181</v>
      </c>
      <c r="V353" s="21">
        <f t="shared" si="37"/>
        <v>538.20000000000005</v>
      </c>
      <c r="W353" s="22">
        <v>171.2</v>
      </c>
      <c r="X353" s="21">
        <v>180.5</v>
      </c>
      <c r="Y353" s="21">
        <v>170.4</v>
      </c>
      <c r="Z353" s="22">
        <f t="shared" si="38"/>
        <v>522.1</v>
      </c>
      <c r="AA353" s="21">
        <v>178.7</v>
      </c>
      <c r="AB353" s="21">
        <v>172.1</v>
      </c>
      <c r="AC353" s="21">
        <f t="shared" si="39"/>
        <v>350.79999999999995</v>
      </c>
      <c r="AD353" s="27">
        <v>162.9</v>
      </c>
      <c r="AE353" s="27">
        <v>168.2</v>
      </c>
      <c r="AF353" s="27">
        <v>173.4</v>
      </c>
      <c r="AG353" s="21">
        <f t="shared" si="40"/>
        <v>341.6</v>
      </c>
      <c r="AH353" s="27">
        <v>196.3</v>
      </c>
      <c r="AI353" s="27">
        <v>170.5</v>
      </c>
      <c r="AJ353" s="21">
        <f t="shared" si="41"/>
        <v>366.8</v>
      </c>
      <c r="AK353" s="21">
        <v>176.7</v>
      </c>
    </row>
    <row r="354" spans="1:37">
      <c r="A354" s="21" t="s">
        <v>30</v>
      </c>
      <c r="B354" s="26">
        <v>2022</v>
      </c>
      <c r="C354" s="21" t="s">
        <v>45</v>
      </c>
      <c r="D354" s="21" t="str">
        <f t="shared" si="35"/>
        <v>Yes</v>
      </c>
      <c r="E354" s="27">
        <v>166.9</v>
      </c>
      <c r="F354" s="27">
        <v>207.2</v>
      </c>
      <c r="G354" s="27">
        <v>180.2</v>
      </c>
      <c r="H354" s="27">
        <v>172.3</v>
      </c>
      <c r="I354" s="27">
        <v>194</v>
      </c>
      <c r="J354" s="27">
        <v>159.1</v>
      </c>
      <c r="K354" s="27">
        <v>171.6</v>
      </c>
      <c r="L354" s="27">
        <v>170.2</v>
      </c>
      <c r="M354" s="27">
        <v>121.5</v>
      </c>
      <c r="N354" s="27">
        <v>204.8</v>
      </c>
      <c r="O354" s="27">
        <v>176.4</v>
      </c>
      <c r="P354" s="27">
        <v>186.9</v>
      </c>
      <c r="Q354" s="27">
        <v>176.6</v>
      </c>
      <c r="R354" s="21">
        <f t="shared" si="36"/>
        <v>2287.6999999999998</v>
      </c>
      <c r="S354" s="21">
        <v>187.2</v>
      </c>
      <c r="T354" s="21">
        <v>185.2</v>
      </c>
      <c r="U354" s="21">
        <v>186.9</v>
      </c>
      <c r="V354" s="21">
        <f t="shared" si="37"/>
        <v>559.29999999999995</v>
      </c>
      <c r="W354" s="22">
        <v>139.25</v>
      </c>
      <c r="X354" s="21">
        <v>181.9</v>
      </c>
      <c r="Y354" s="21">
        <v>175.5</v>
      </c>
      <c r="Z354" s="22">
        <f t="shared" si="38"/>
        <v>496.65</v>
      </c>
      <c r="AA354" s="21">
        <v>182.3</v>
      </c>
      <c r="AB354" s="21">
        <v>173.4</v>
      </c>
      <c r="AC354" s="21">
        <f t="shared" si="39"/>
        <v>355.70000000000005</v>
      </c>
      <c r="AD354" s="27">
        <v>167.5</v>
      </c>
      <c r="AE354" s="27">
        <v>170.8</v>
      </c>
      <c r="AF354" s="27">
        <v>176.9</v>
      </c>
      <c r="AG354" s="21">
        <f t="shared" si="40"/>
        <v>347.70000000000005</v>
      </c>
      <c r="AH354" s="27">
        <v>195.5</v>
      </c>
      <c r="AI354" s="27">
        <v>174.6</v>
      </c>
      <c r="AJ354" s="21">
        <f t="shared" si="41"/>
        <v>370.1</v>
      </c>
      <c r="AK354" s="21">
        <v>177.8</v>
      </c>
    </row>
    <row r="355" spans="1:37">
      <c r="A355" s="21" t="s">
        <v>33</v>
      </c>
      <c r="B355" s="26">
        <v>2022</v>
      </c>
      <c r="C355" s="21" t="s">
        <v>45</v>
      </c>
      <c r="D355" s="21" t="str">
        <f t="shared" si="35"/>
        <v>Yes</v>
      </c>
      <c r="E355" s="27">
        <v>168.4</v>
      </c>
      <c r="F355" s="27">
        <v>213.4</v>
      </c>
      <c r="G355" s="27">
        <v>183.2</v>
      </c>
      <c r="H355" s="27">
        <v>172.3</v>
      </c>
      <c r="I355" s="27">
        <v>180</v>
      </c>
      <c r="J355" s="27">
        <v>162.6</v>
      </c>
      <c r="K355" s="27">
        <v>205.5</v>
      </c>
      <c r="L355" s="27">
        <v>171</v>
      </c>
      <c r="M355" s="27">
        <v>123.4</v>
      </c>
      <c r="N355" s="27">
        <v>198.8</v>
      </c>
      <c r="O355" s="27">
        <v>162.1</v>
      </c>
      <c r="P355" s="27">
        <v>192.4</v>
      </c>
      <c r="Q355" s="27">
        <v>181.3</v>
      </c>
      <c r="R355" s="21">
        <f t="shared" si="36"/>
        <v>2314.4</v>
      </c>
      <c r="S355" s="21">
        <v>176.7</v>
      </c>
      <c r="T355" s="21">
        <v>163.5</v>
      </c>
      <c r="U355" s="21">
        <v>174.7</v>
      </c>
      <c r="V355" s="21">
        <f t="shared" si="37"/>
        <v>514.9</v>
      </c>
      <c r="W355" s="22">
        <v>171.8</v>
      </c>
      <c r="X355" s="21">
        <v>180.3</v>
      </c>
      <c r="Y355" s="21">
        <v>166.9</v>
      </c>
      <c r="Z355" s="22">
        <f t="shared" si="38"/>
        <v>519</v>
      </c>
      <c r="AA355" s="21">
        <v>175.8</v>
      </c>
      <c r="AB355" s="21">
        <v>173.8</v>
      </c>
      <c r="AC355" s="21">
        <f t="shared" si="39"/>
        <v>349.6</v>
      </c>
      <c r="AD355" s="27">
        <v>158.9</v>
      </c>
      <c r="AE355" s="27">
        <v>166.7</v>
      </c>
      <c r="AF355" s="27">
        <v>171.5</v>
      </c>
      <c r="AG355" s="21">
        <f t="shared" si="40"/>
        <v>338.2</v>
      </c>
      <c r="AH355" s="27">
        <v>200.6</v>
      </c>
      <c r="AI355" s="27">
        <v>167.4</v>
      </c>
      <c r="AJ355" s="21">
        <f t="shared" si="41"/>
        <v>368</v>
      </c>
      <c r="AK355" s="21">
        <v>174.1</v>
      </c>
    </row>
    <row r="356" spans="1:37">
      <c r="A356" s="21" t="s">
        <v>34</v>
      </c>
      <c r="B356" s="26">
        <v>2022</v>
      </c>
      <c r="C356" s="21" t="s">
        <v>45</v>
      </c>
      <c r="D356" s="21" t="str">
        <f t="shared" si="35"/>
        <v>Yes</v>
      </c>
      <c r="E356" s="27">
        <v>167.4</v>
      </c>
      <c r="F356" s="27">
        <v>209.4</v>
      </c>
      <c r="G356" s="27">
        <v>181.4</v>
      </c>
      <c r="H356" s="27">
        <v>172.3</v>
      </c>
      <c r="I356" s="27">
        <v>188.9</v>
      </c>
      <c r="J356" s="27">
        <v>160.69999999999999</v>
      </c>
      <c r="K356" s="27">
        <v>183.1</v>
      </c>
      <c r="L356" s="27">
        <v>170.5</v>
      </c>
      <c r="M356" s="27">
        <v>122.1</v>
      </c>
      <c r="N356" s="27">
        <v>202.8</v>
      </c>
      <c r="O356" s="27">
        <v>170.4</v>
      </c>
      <c r="P356" s="27">
        <v>189.5</v>
      </c>
      <c r="Q356" s="27">
        <v>178.3</v>
      </c>
      <c r="R356" s="21">
        <f t="shared" si="36"/>
        <v>2296.8000000000002</v>
      </c>
      <c r="S356" s="21">
        <v>183.1</v>
      </c>
      <c r="T356" s="21">
        <v>176.2</v>
      </c>
      <c r="U356" s="21">
        <v>182.1</v>
      </c>
      <c r="V356" s="21">
        <f t="shared" si="37"/>
        <v>541.4</v>
      </c>
      <c r="W356" s="22">
        <v>171.8</v>
      </c>
      <c r="X356" s="21">
        <v>181.3</v>
      </c>
      <c r="Y356" s="21">
        <v>171.4</v>
      </c>
      <c r="Z356" s="22">
        <f t="shared" si="38"/>
        <v>524.5</v>
      </c>
      <c r="AA356" s="21">
        <v>179.8</v>
      </c>
      <c r="AB356" s="21">
        <v>173.6</v>
      </c>
      <c r="AC356" s="21">
        <f t="shared" si="39"/>
        <v>353.4</v>
      </c>
      <c r="AD356" s="27">
        <v>163</v>
      </c>
      <c r="AE356" s="27">
        <v>168.5</v>
      </c>
      <c r="AF356" s="27">
        <v>173.7</v>
      </c>
      <c r="AG356" s="21">
        <f t="shared" si="40"/>
        <v>342.2</v>
      </c>
      <c r="AH356" s="27">
        <v>196.9</v>
      </c>
      <c r="AI356" s="27">
        <v>171.1</v>
      </c>
      <c r="AJ356" s="21">
        <f t="shared" si="41"/>
        <v>368</v>
      </c>
      <c r="AK356" s="21">
        <v>176.5</v>
      </c>
    </row>
    <row r="357" spans="1:37">
      <c r="A357" s="21" t="s">
        <v>30</v>
      </c>
      <c r="B357" s="26">
        <v>2022</v>
      </c>
      <c r="C357" s="21" t="s">
        <v>46</v>
      </c>
      <c r="D357" s="21" t="str">
        <f t="shared" si="35"/>
        <v>Yes</v>
      </c>
      <c r="E357" s="27">
        <v>168.8</v>
      </c>
      <c r="F357" s="27">
        <v>206.9</v>
      </c>
      <c r="G357" s="27">
        <v>189.1</v>
      </c>
      <c r="H357" s="27">
        <v>173.4</v>
      </c>
      <c r="I357" s="27">
        <v>193.9</v>
      </c>
      <c r="J357" s="27">
        <v>156.69999999999999</v>
      </c>
      <c r="K357" s="27">
        <v>150.19999999999999</v>
      </c>
      <c r="L357" s="27">
        <v>170.5</v>
      </c>
      <c r="M357" s="27">
        <v>121.2</v>
      </c>
      <c r="N357" s="27">
        <v>207.5</v>
      </c>
      <c r="O357" s="27">
        <v>176.8</v>
      </c>
      <c r="P357" s="27">
        <v>187.7</v>
      </c>
      <c r="Q357" s="27">
        <v>174.4</v>
      </c>
      <c r="R357" s="21">
        <f t="shared" si="36"/>
        <v>2277.1</v>
      </c>
      <c r="S357" s="21">
        <v>188.1</v>
      </c>
      <c r="T357" s="21">
        <v>185.9</v>
      </c>
      <c r="U357" s="21">
        <v>187.8</v>
      </c>
      <c r="V357" s="21">
        <f t="shared" si="37"/>
        <v>561.79999999999995</v>
      </c>
      <c r="W357" s="22">
        <v>139.25</v>
      </c>
      <c r="X357" s="21">
        <v>182.8</v>
      </c>
      <c r="Y357" s="21">
        <v>176.4</v>
      </c>
      <c r="Z357" s="22">
        <f t="shared" si="38"/>
        <v>498.45000000000005</v>
      </c>
      <c r="AA357" s="21">
        <v>183.5</v>
      </c>
      <c r="AB357" s="21">
        <v>175.7</v>
      </c>
      <c r="AC357" s="21">
        <f t="shared" si="39"/>
        <v>359.2</v>
      </c>
      <c r="AD357" s="27">
        <v>167.8</v>
      </c>
      <c r="AE357" s="27">
        <v>171.2</v>
      </c>
      <c r="AF357" s="27">
        <v>177.3</v>
      </c>
      <c r="AG357" s="21">
        <f t="shared" si="40"/>
        <v>348.5</v>
      </c>
      <c r="AH357" s="27">
        <v>195.9</v>
      </c>
      <c r="AI357" s="27">
        <v>175.5</v>
      </c>
      <c r="AJ357" s="21">
        <f t="shared" si="41"/>
        <v>371.4</v>
      </c>
      <c r="AK357" s="21">
        <v>177.1</v>
      </c>
    </row>
    <row r="358" spans="1:37">
      <c r="A358" s="21" t="s">
        <v>33</v>
      </c>
      <c r="B358" s="26">
        <v>2022</v>
      </c>
      <c r="C358" s="21" t="s">
        <v>46</v>
      </c>
      <c r="D358" s="21" t="str">
        <f t="shared" si="35"/>
        <v>Yes</v>
      </c>
      <c r="E358" s="27">
        <v>170.2</v>
      </c>
      <c r="F358" s="27">
        <v>212.9</v>
      </c>
      <c r="G358" s="27">
        <v>191.9</v>
      </c>
      <c r="H358" s="27">
        <v>173.9</v>
      </c>
      <c r="I358" s="27">
        <v>179.1</v>
      </c>
      <c r="J358" s="27">
        <v>159.5</v>
      </c>
      <c r="K358" s="27">
        <v>178.7</v>
      </c>
      <c r="L358" s="27">
        <v>171.3</v>
      </c>
      <c r="M358" s="27">
        <v>123.1</v>
      </c>
      <c r="N358" s="27">
        <v>200.5</v>
      </c>
      <c r="O358" s="27">
        <v>162.80000000000001</v>
      </c>
      <c r="P358" s="27">
        <v>193.3</v>
      </c>
      <c r="Q358" s="27">
        <v>178.6</v>
      </c>
      <c r="R358" s="21">
        <f t="shared" si="36"/>
        <v>2295.7999999999997</v>
      </c>
      <c r="S358" s="21">
        <v>177.7</v>
      </c>
      <c r="T358" s="21">
        <v>164.5</v>
      </c>
      <c r="U358" s="21">
        <v>175.7</v>
      </c>
      <c r="V358" s="21">
        <f t="shared" si="37"/>
        <v>517.9</v>
      </c>
      <c r="W358" s="22">
        <v>170.7</v>
      </c>
      <c r="X358" s="21">
        <v>180.6</v>
      </c>
      <c r="Y358" s="21">
        <v>167.3</v>
      </c>
      <c r="Z358" s="22">
        <f t="shared" si="38"/>
        <v>518.59999999999991</v>
      </c>
      <c r="AA358" s="21">
        <v>177.2</v>
      </c>
      <c r="AB358" s="21">
        <v>176</v>
      </c>
      <c r="AC358" s="21">
        <f t="shared" si="39"/>
        <v>353.2</v>
      </c>
      <c r="AD358" s="27">
        <v>159.4</v>
      </c>
      <c r="AE358" s="27">
        <v>167.1</v>
      </c>
      <c r="AF358" s="27">
        <v>171.8</v>
      </c>
      <c r="AG358" s="21">
        <f t="shared" si="40"/>
        <v>338.9</v>
      </c>
      <c r="AH358" s="27">
        <v>201.1</v>
      </c>
      <c r="AI358" s="27">
        <v>168.2</v>
      </c>
      <c r="AJ358" s="21">
        <f t="shared" si="41"/>
        <v>369.29999999999995</v>
      </c>
      <c r="AK358" s="21">
        <v>174.1</v>
      </c>
    </row>
    <row r="359" spans="1:37">
      <c r="A359" s="21" t="s">
        <v>34</v>
      </c>
      <c r="B359" s="26">
        <v>2022</v>
      </c>
      <c r="C359" s="21" t="s">
        <v>46</v>
      </c>
      <c r="D359" s="21" t="str">
        <f t="shared" si="35"/>
        <v>Yes</v>
      </c>
      <c r="E359" s="27">
        <v>169.2</v>
      </c>
      <c r="F359" s="27">
        <v>209</v>
      </c>
      <c r="G359" s="27">
        <v>190.2</v>
      </c>
      <c r="H359" s="27">
        <v>173.6</v>
      </c>
      <c r="I359" s="27">
        <v>188.5</v>
      </c>
      <c r="J359" s="27">
        <v>158</v>
      </c>
      <c r="K359" s="27">
        <v>159.9</v>
      </c>
      <c r="L359" s="27">
        <v>170.8</v>
      </c>
      <c r="M359" s="27">
        <v>121.8</v>
      </c>
      <c r="N359" s="27">
        <v>205.2</v>
      </c>
      <c r="O359" s="27">
        <v>171</v>
      </c>
      <c r="P359" s="27">
        <v>190.3</v>
      </c>
      <c r="Q359" s="27">
        <v>175.9</v>
      </c>
      <c r="R359" s="21">
        <f t="shared" si="36"/>
        <v>2283.4</v>
      </c>
      <c r="S359" s="21">
        <v>184</v>
      </c>
      <c r="T359" s="21">
        <v>177</v>
      </c>
      <c r="U359" s="21">
        <v>183</v>
      </c>
      <c r="V359" s="21">
        <f t="shared" si="37"/>
        <v>544</v>
      </c>
      <c r="W359" s="22">
        <v>170.7</v>
      </c>
      <c r="X359" s="21">
        <v>182</v>
      </c>
      <c r="Y359" s="21">
        <v>172.1</v>
      </c>
      <c r="Z359" s="22">
        <f t="shared" si="38"/>
        <v>524.79999999999995</v>
      </c>
      <c r="AA359" s="21">
        <v>181.1</v>
      </c>
      <c r="AB359" s="21">
        <v>175.8</v>
      </c>
      <c r="AC359" s="21">
        <f t="shared" si="39"/>
        <v>356.9</v>
      </c>
      <c r="AD359" s="27">
        <v>163.4</v>
      </c>
      <c r="AE359" s="27">
        <v>168.9</v>
      </c>
      <c r="AF359" s="27">
        <v>174.1</v>
      </c>
      <c r="AG359" s="21">
        <f t="shared" si="40"/>
        <v>343</v>
      </c>
      <c r="AH359" s="27">
        <v>197.3</v>
      </c>
      <c r="AI359" s="27">
        <v>172</v>
      </c>
      <c r="AJ359" s="21">
        <f t="shared" si="41"/>
        <v>369.3</v>
      </c>
      <c r="AK359" s="21">
        <v>175.7</v>
      </c>
    </row>
    <row r="360" spans="1:37">
      <c r="A360" s="21" t="s">
        <v>30</v>
      </c>
      <c r="B360" s="26">
        <v>2023</v>
      </c>
      <c r="C360" s="21" t="s">
        <v>31</v>
      </c>
      <c r="D360" s="21" t="str">
        <f t="shared" si="35"/>
        <v>Yes</v>
      </c>
      <c r="E360" s="27">
        <v>174</v>
      </c>
      <c r="F360" s="27">
        <v>208.3</v>
      </c>
      <c r="G360" s="27">
        <v>192.9</v>
      </c>
      <c r="H360" s="27">
        <v>174.3</v>
      </c>
      <c r="I360" s="27">
        <v>192.6</v>
      </c>
      <c r="J360" s="27">
        <v>156.30000000000001</v>
      </c>
      <c r="K360" s="27">
        <v>142.9</v>
      </c>
      <c r="L360" s="27">
        <v>170.7</v>
      </c>
      <c r="M360" s="27">
        <v>120.3</v>
      </c>
      <c r="N360" s="27">
        <v>210.5</v>
      </c>
      <c r="O360" s="27">
        <v>176.9</v>
      </c>
      <c r="P360" s="27">
        <v>188.5</v>
      </c>
      <c r="Q360" s="27">
        <v>175</v>
      </c>
      <c r="R360" s="21">
        <f t="shared" si="36"/>
        <v>2283.2000000000003</v>
      </c>
      <c r="S360" s="21">
        <v>189</v>
      </c>
      <c r="T360" s="21">
        <v>186.3</v>
      </c>
      <c r="U360" s="21">
        <v>188.6</v>
      </c>
      <c r="V360" s="21">
        <f t="shared" si="37"/>
        <v>563.9</v>
      </c>
      <c r="W360" s="22">
        <v>139.25</v>
      </c>
      <c r="X360" s="21">
        <v>183.2</v>
      </c>
      <c r="Y360" s="21">
        <v>177.2</v>
      </c>
      <c r="Z360" s="22">
        <f t="shared" si="38"/>
        <v>499.65</v>
      </c>
      <c r="AA360" s="21">
        <v>184.7</v>
      </c>
      <c r="AB360" s="21">
        <v>178.4</v>
      </c>
      <c r="AC360" s="21">
        <f t="shared" si="39"/>
        <v>363.1</v>
      </c>
      <c r="AD360" s="27">
        <v>168.2</v>
      </c>
      <c r="AE360" s="27">
        <v>171.8</v>
      </c>
      <c r="AF360" s="27">
        <v>177.8</v>
      </c>
      <c r="AG360" s="21">
        <f t="shared" si="40"/>
        <v>349.6</v>
      </c>
      <c r="AH360" s="27">
        <v>196.9</v>
      </c>
      <c r="AI360" s="27">
        <v>176.5</v>
      </c>
      <c r="AJ360" s="21">
        <f t="shared" si="41"/>
        <v>373.4</v>
      </c>
      <c r="AK360" s="21">
        <v>177.8</v>
      </c>
    </row>
    <row r="361" spans="1:37">
      <c r="A361" s="21" t="s">
        <v>33</v>
      </c>
      <c r="B361" s="26">
        <v>2023</v>
      </c>
      <c r="C361" s="21" t="s">
        <v>31</v>
      </c>
      <c r="D361" s="21" t="str">
        <f t="shared" si="35"/>
        <v>Yes</v>
      </c>
      <c r="E361" s="27">
        <v>173.3</v>
      </c>
      <c r="F361" s="27">
        <v>215.2</v>
      </c>
      <c r="G361" s="27">
        <v>197</v>
      </c>
      <c r="H361" s="27">
        <v>175.2</v>
      </c>
      <c r="I361" s="27">
        <v>178</v>
      </c>
      <c r="J361" s="27">
        <v>160.5</v>
      </c>
      <c r="K361" s="27">
        <v>175.3</v>
      </c>
      <c r="L361" s="27">
        <v>171.2</v>
      </c>
      <c r="M361" s="27">
        <v>122.7</v>
      </c>
      <c r="N361" s="27">
        <v>204.3</v>
      </c>
      <c r="O361" s="27">
        <v>163.69999999999999</v>
      </c>
      <c r="P361" s="27">
        <v>194.3</v>
      </c>
      <c r="Q361" s="27">
        <v>179.5</v>
      </c>
      <c r="R361" s="21">
        <f t="shared" si="36"/>
        <v>2310.2000000000003</v>
      </c>
      <c r="S361" s="21">
        <v>178.7</v>
      </c>
      <c r="T361" s="21">
        <v>165.3</v>
      </c>
      <c r="U361" s="21">
        <v>176.6</v>
      </c>
      <c r="V361" s="21">
        <f t="shared" si="37"/>
        <v>520.6</v>
      </c>
      <c r="W361" s="22">
        <v>172.1</v>
      </c>
      <c r="X361" s="21">
        <v>180.1</v>
      </c>
      <c r="Y361" s="21">
        <v>168</v>
      </c>
      <c r="Z361" s="22">
        <f t="shared" si="38"/>
        <v>520.20000000000005</v>
      </c>
      <c r="AA361" s="21">
        <v>178.5</v>
      </c>
      <c r="AB361" s="21">
        <v>178.8</v>
      </c>
      <c r="AC361" s="21">
        <f t="shared" si="39"/>
        <v>357.3</v>
      </c>
      <c r="AD361" s="27">
        <v>159.5</v>
      </c>
      <c r="AE361" s="27">
        <v>167.8</v>
      </c>
      <c r="AF361" s="27">
        <v>171.8</v>
      </c>
      <c r="AG361" s="21">
        <f t="shared" si="40"/>
        <v>339.6</v>
      </c>
      <c r="AH361" s="27">
        <v>201.6</v>
      </c>
      <c r="AI361" s="27">
        <v>168.9</v>
      </c>
      <c r="AJ361" s="21">
        <f t="shared" si="41"/>
        <v>370.5</v>
      </c>
      <c r="AK361" s="21">
        <v>174.9</v>
      </c>
    </row>
    <row r="362" spans="1:37">
      <c r="A362" s="21" t="s">
        <v>34</v>
      </c>
      <c r="B362" s="26">
        <v>2023</v>
      </c>
      <c r="C362" s="21" t="s">
        <v>31</v>
      </c>
      <c r="D362" s="21" t="str">
        <f t="shared" si="35"/>
        <v>Yes</v>
      </c>
      <c r="E362" s="27">
        <v>173.8</v>
      </c>
      <c r="F362" s="27">
        <v>210.7</v>
      </c>
      <c r="G362" s="27">
        <v>194.5</v>
      </c>
      <c r="H362" s="27">
        <v>174.6</v>
      </c>
      <c r="I362" s="27">
        <v>187.2</v>
      </c>
      <c r="J362" s="27">
        <v>158.30000000000001</v>
      </c>
      <c r="K362" s="27">
        <v>153.9</v>
      </c>
      <c r="L362" s="27">
        <v>170.9</v>
      </c>
      <c r="M362" s="27">
        <v>121.1</v>
      </c>
      <c r="N362" s="27">
        <v>208.4</v>
      </c>
      <c r="O362" s="27">
        <v>171.4</v>
      </c>
      <c r="P362" s="27">
        <v>191.2</v>
      </c>
      <c r="Q362" s="27">
        <v>176.7</v>
      </c>
      <c r="R362" s="21">
        <f t="shared" si="36"/>
        <v>2292.6999999999998</v>
      </c>
      <c r="S362" s="21">
        <v>184.9</v>
      </c>
      <c r="T362" s="21">
        <v>177.6</v>
      </c>
      <c r="U362" s="21">
        <v>183.8</v>
      </c>
      <c r="V362" s="21">
        <f t="shared" si="37"/>
        <v>546.29999999999995</v>
      </c>
      <c r="W362" s="22">
        <v>172.1</v>
      </c>
      <c r="X362" s="21">
        <v>182</v>
      </c>
      <c r="Y362" s="21">
        <v>172.9</v>
      </c>
      <c r="Z362" s="22">
        <f t="shared" si="38"/>
        <v>527</v>
      </c>
      <c r="AA362" s="21">
        <v>182.3</v>
      </c>
      <c r="AB362" s="21">
        <v>178.6</v>
      </c>
      <c r="AC362" s="21">
        <f t="shared" si="39"/>
        <v>360.9</v>
      </c>
      <c r="AD362" s="27">
        <v>163.6</v>
      </c>
      <c r="AE362" s="27">
        <v>169.5</v>
      </c>
      <c r="AF362" s="27">
        <v>174.3</v>
      </c>
      <c r="AG362" s="21">
        <f t="shared" si="40"/>
        <v>343.8</v>
      </c>
      <c r="AH362" s="27">
        <v>198.2</v>
      </c>
      <c r="AI362" s="27">
        <v>172.8</v>
      </c>
      <c r="AJ362" s="21">
        <f t="shared" si="41"/>
        <v>371</v>
      </c>
      <c r="AK362" s="21">
        <v>176.5</v>
      </c>
    </row>
    <row r="363" spans="1:37">
      <c r="A363" s="21" t="s">
        <v>30</v>
      </c>
      <c r="B363" s="26">
        <v>2023</v>
      </c>
      <c r="C363" s="21" t="s">
        <v>35</v>
      </c>
      <c r="D363" s="21" t="str">
        <f t="shared" si="35"/>
        <v>No</v>
      </c>
      <c r="E363" s="27">
        <v>174.2</v>
      </c>
      <c r="F363" s="27">
        <v>205.2</v>
      </c>
      <c r="G363" s="27">
        <v>173.9</v>
      </c>
      <c r="H363" s="27">
        <v>177</v>
      </c>
      <c r="I363" s="27">
        <v>183.4</v>
      </c>
      <c r="J363" s="27">
        <v>167.2</v>
      </c>
      <c r="K363" s="27">
        <v>140.9</v>
      </c>
      <c r="L363" s="27">
        <v>170.4</v>
      </c>
      <c r="M363" s="27">
        <v>119.1</v>
      </c>
      <c r="N363" s="27">
        <v>212.1</v>
      </c>
      <c r="O363" s="27">
        <v>177.6</v>
      </c>
      <c r="P363" s="27">
        <v>189.9</v>
      </c>
      <c r="Q363" s="27">
        <v>174.8</v>
      </c>
      <c r="R363" s="21">
        <f t="shared" si="36"/>
        <v>2265.6999999999998</v>
      </c>
      <c r="S363" s="21">
        <v>190</v>
      </c>
      <c r="T363" s="21">
        <v>187</v>
      </c>
      <c r="U363" s="21">
        <v>189.6</v>
      </c>
      <c r="V363" s="21">
        <f t="shared" si="37"/>
        <v>566.6</v>
      </c>
      <c r="W363" s="22">
        <v>139.25</v>
      </c>
      <c r="X363" s="21">
        <v>181.6</v>
      </c>
      <c r="Y363" s="21">
        <v>178.6</v>
      </c>
      <c r="Z363" s="22">
        <f t="shared" si="38"/>
        <v>499.45000000000005</v>
      </c>
      <c r="AA363" s="21">
        <v>186.6</v>
      </c>
      <c r="AB363" s="21">
        <v>180.7</v>
      </c>
      <c r="AC363" s="21">
        <f t="shared" si="39"/>
        <v>367.29999999999995</v>
      </c>
      <c r="AD363" s="27">
        <v>169</v>
      </c>
      <c r="AE363" s="27">
        <v>172.8</v>
      </c>
      <c r="AF363" s="27">
        <v>178.5</v>
      </c>
      <c r="AG363" s="21">
        <f t="shared" si="40"/>
        <v>351.3</v>
      </c>
      <c r="AH363" s="27">
        <v>198.3</v>
      </c>
      <c r="AI363" s="27">
        <v>177.9</v>
      </c>
      <c r="AJ363" s="21">
        <f t="shared" si="41"/>
        <v>376.20000000000005</v>
      </c>
      <c r="AK363" s="21">
        <v>178</v>
      </c>
    </row>
    <row r="364" spans="1:37">
      <c r="A364" s="21" t="s">
        <v>33</v>
      </c>
      <c r="B364" s="26">
        <v>2023</v>
      </c>
      <c r="C364" s="21" t="s">
        <v>35</v>
      </c>
      <c r="D364" s="21" t="str">
        <f t="shared" si="35"/>
        <v>Yes</v>
      </c>
      <c r="E364" s="27">
        <v>174.7</v>
      </c>
      <c r="F364" s="27">
        <v>212.2</v>
      </c>
      <c r="G364" s="27">
        <v>177.2</v>
      </c>
      <c r="H364" s="27">
        <v>177.9</v>
      </c>
      <c r="I364" s="27">
        <v>172.2</v>
      </c>
      <c r="J364" s="27">
        <v>172.1</v>
      </c>
      <c r="K364" s="27">
        <v>175.8</v>
      </c>
      <c r="L364" s="27">
        <v>172.2</v>
      </c>
      <c r="M364" s="27">
        <v>121.9</v>
      </c>
      <c r="N364" s="27">
        <v>204.8</v>
      </c>
      <c r="O364" s="27">
        <v>164.9</v>
      </c>
      <c r="P364" s="27">
        <v>196.6</v>
      </c>
      <c r="Q364" s="27">
        <v>180.7</v>
      </c>
      <c r="R364" s="21">
        <f t="shared" si="36"/>
        <v>2303.1999999999998</v>
      </c>
      <c r="S364" s="21">
        <v>180.3</v>
      </c>
      <c r="T364" s="21">
        <v>167</v>
      </c>
      <c r="U364" s="21">
        <v>178.2</v>
      </c>
      <c r="V364" s="21">
        <f t="shared" si="37"/>
        <v>525.5</v>
      </c>
      <c r="W364" s="22">
        <v>173.5</v>
      </c>
      <c r="X364" s="21">
        <v>182.8</v>
      </c>
      <c r="Y364" s="21">
        <v>169.2</v>
      </c>
      <c r="Z364" s="22">
        <f t="shared" si="38"/>
        <v>525.5</v>
      </c>
      <c r="AA364" s="21">
        <v>180.8</v>
      </c>
      <c r="AB364" s="21">
        <v>181.4</v>
      </c>
      <c r="AC364" s="21">
        <f t="shared" si="39"/>
        <v>362.20000000000005</v>
      </c>
      <c r="AD364" s="27">
        <v>159.80000000000001</v>
      </c>
      <c r="AE364" s="27">
        <v>168.4</v>
      </c>
      <c r="AF364" s="27">
        <v>172.5</v>
      </c>
      <c r="AG364" s="21">
        <f t="shared" si="40"/>
        <v>340.9</v>
      </c>
      <c r="AH364" s="27">
        <v>202.7</v>
      </c>
      <c r="AI364" s="27">
        <v>170</v>
      </c>
      <c r="AJ364" s="21">
        <f t="shared" si="41"/>
        <v>372.7</v>
      </c>
      <c r="AK364" s="21">
        <v>176.3</v>
      </c>
    </row>
    <row r="365" spans="1:37">
      <c r="A365" s="21" t="s">
        <v>34</v>
      </c>
      <c r="B365" s="26">
        <v>2023</v>
      </c>
      <c r="C365" s="21" t="s">
        <v>35</v>
      </c>
      <c r="D365" s="21" t="str">
        <f t="shared" si="35"/>
        <v>No</v>
      </c>
      <c r="E365" s="27">
        <v>174.4</v>
      </c>
      <c r="F365" s="27">
        <v>207.7</v>
      </c>
      <c r="G365" s="27">
        <v>175.2</v>
      </c>
      <c r="H365" s="27">
        <v>177.3</v>
      </c>
      <c r="I365" s="27">
        <v>179.3</v>
      </c>
      <c r="J365" s="27">
        <v>169.5</v>
      </c>
      <c r="K365" s="27">
        <v>152.69999999999999</v>
      </c>
      <c r="L365" s="27">
        <v>171</v>
      </c>
      <c r="M365" s="27">
        <v>120</v>
      </c>
      <c r="N365" s="27">
        <v>209.7</v>
      </c>
      <c r="O365" s="27">
        <v>172.3</v>
      </c>
      <c r="P365" s="27">
        <v>193</v>
      </c>
      <c r="Q365" s="27">
        <v>177</v>
      </c>
      <c r="R365" s="21">
        <f t="shared" si="36"/>
        <v>2279.1</v>
      </c>
      <c r="S365" s="21">
        <v>186.2</v>
      </c>
      <c r="T365" s="21">
        <v>178.7</v>
      </c>
      <c r="U365" s="21">
        <v>185.1</v>
      </c>
      <c r="V365" s="21">
        <f t="shared" si="37"/>
        <v>550</v>
      </c>
      <c r="W365" s="22">
        <v>173.5</v>
      </c>
      <c r="X365" s="21">
        <v>182.1</v>
      </c>
      <c r="Y365" s="21">
        <v>174.2</v>
      </c>
      <c r="Z365" s="22">
        <f t="shared" si="38"/>
        <v>529.79999999999995</v>
      </c>
      <c r="AA365" s="21">
        <v>184.4</v>
      </c>
      <c r="AB365" s="21">
        <v>181</v>
      </c>
      <c r="AC365" s="21">
        <f t="shared" si="39"/>
        <v>365.4</v>
      </c>
      <c r="AD365" s="27">
        <v>164.2</v>
      </c>
      <c r="AE365" s="27">
        <v>170.3</v>
      </c>
      <c r="AF365" s="27">
        <v>175</v>
      </c>
      <c r="AG365" s="21">
        <f t="shared" si="40"/>
        <v>345.3</v>
      </c>
      <c r="AH365" s="27">
        <v>199.5</v>
      </c>
      <c r="AI365" s="27">
        <v>174.1</v>
      </c>
      <c r="AJ365" s="21">
        <f t="shared" si="41"/>
        <v>373.6</v>
      </c>
      <c r="AK365" s="21">
        <v>177.2</v>
      </c>
    </row>
    <row r="366" spans="1:37">
      <c r="A366" s="21" t="s">
        <v>30</v>
      </c>
      <c r="B366" s="26">
        <v>2023</v>
      </c>
      <c r="C366" s="21" t="s">
        <v>36</v>
      </c>
      <c r="D366" s="21" t="str">
        <f t="shared" si="35"/>
        <v>No</v>
      </c>
      <c r="E366" s="27">
        <v>174.3</v>
      </c>
      <c r="F366" s="27">
        <v>205.2</v>
      </c>
      <c r="G366" s="27">
        <v>173.9</v>
      </c>
      <c r="H366" s="27">
        <v>177</v>
      </c>
      <c r="I366" s="27">
        <v>183.3</v>
      </c>
      <c r="J366" s="27">
        <v>167.2</v>
      </c>
      <c r="K366" s="27">
        <v>140.9</v>
      </c>
      <c r="L366" s="27">
        <v>170.5</v>
      </c>
      <c r="M366" s="27">
        <v>119.1</v>
      </c>
      <c r="N366" s="27">
        <v>212.1</v>
      </c>
      <c r="O366" s="27">
        <v>177.6</v>
      </c>
      <c r="P366" s="27">
        <v>189.9</v>
      </c>
      <c r="Q366" s="27">
        <v>174.8</v>
      </c>
      <c r="R366" s="21">
        <f t="shared" si="36"/>
        <v>2265.8000000000002</v>
      </c>
      <c r="S366" s="21">
        <v>190</v>
      </c>
      <c r="T366" s="21">
        <v>187</v>
      </c>
      <c r="U366" s="21">
        <v>189.6</v>
      </c>
      <c r="V366" s="21">
        <f t="shared" si="37"/>
        <v>566.6</v>
      </c>
      <c r="W366" s="22">
        <v>139.25</v>
      </c>
      <c r="X366" s="21">
        <v>181.4</v>
      </c>
      <c r="Y366" s="21">
        <v>178.6</v>
      </c>
      <c r="Z366" s="22">
        <f t="shared" si="38"/>
        <v>499.25</v>
      </c>
      <c r="AA366" s="21">
        <v>186.6</v>
      </c>
      <c r="AB366" s="21">
        <v>180.7</v>
      </c>
      <c r="AC366" s="21">
        <f t="shared" si="39"/>
        <v>367.29999999999995</v>
      </c>
      <c r="AD366" s="27">
        <v>169</v>
      </c>
      <c r="AE366" s="27">
        <v>172.8</v>
      </c>
      <c r="AF366" s="27">
        <v>178.5</v>
      </c>
      <c r="AG366" s="21">
        <f t="shared" si="40"/>
        <v>351.3</v>
      </c>
      <c r="AH366" s="27">
        <v>198.4</v>
      </c>
      <c r="AI366" s="27">
        <v>177.9</v>
      </c>
      <c r="AJ366" s="21">
        <f t="shared" si="41"/>
        <v>376.3</v>
      </c>
      <c r="AK366" s="21">
        <v>178</v>
      </c>
    </row>
    <row r="367" spans="1:37">
      <c r="A367" s="21" t="s">
        <v>33</v>
      </c>
      <c r="B367" s="26">
        <v>2023</v>
      </c>
      <c r="C367" s="21" t="s">
        <v>36</v>
      </c>
      <c r="D367" s="21" t="str">
        <f t="shared" si="35"/>
        <v>Yes</v>
      </c>
      <c r="E367" s="27">
        <v>174.7</v>
      </c>
      <c r="F367" s="27">
        <v>212.2</v>
      </c>
      <c r="G367" s="27">
        <v>177.2</v>
      </c>
      <c r="H367" s="27">
        <v>177.9</v>
      </c>
      <c r="I367" s="27">
        <v>172.2</v>
      </c>
      <c r="J367" s="27">
        <v>172.1</v>
      </c>
      <c r="K367" s="27">
        <v>175.9</v>
      </c>
      <c r="L367" s="27">
        <v>172.2</v>
      </c>
      <c r="M367" s="27">
        <v>121.9</v>
      </c>
      <c r="N367" s="27">
        <v>204.8</v>
      </c>
      <c r="O367" s="27">
        <v>164.9</v>
      </c>
      <c r="P367" s="27">
        <v>196.6</v>
      </c>
      <c r="Q367" s="27">
        <v>180.8</v>
      </c>
      <c r="R367" s="21">
        <f t="shared" si="36"/>
        <v>2303.4</v>
      </c>
      <c r="S367" s="21">
        <v>180.2</v>
      </c>
      <c r="T367" s="21">
        <v>167</v>
      </c>
      <c r="U367" s="21">
        <v>178.2</v>
      </c>
      <c r="V367" s="21">
        <f t="shared" si="37"/>
        <v>525.4</v>
      </c>
      <c r="W367" s="22">
        <v>173.5</v>
      </c>
      <c r="X367" s="21">
        <v>182.6</v>
      </c>
      <c r="Y367" s="21">
        <v>169.2</v>
      </c>
      <c r="Z367" s="22">
        <f t="shared" si="38"/>
        <v>525.29999999999995</v>
      </c>
      <c r="AA367" s="21">
        <v>180.8</v>
      </c>
      <c r="AB367" s="21">
        <v>181.5</v>
      </c>
      <c r="AC367" s="21">
        <f t="shared" si="39"/>
        <v>362.3</v>
      </c>
      <c r="AD367" s="27">
        <v>159.80000000000001</v>
      </c>
      <c r="AE367" s="27">
        <v>168.4</v>
      </c>
      <c r="AF367" s="27">
        <v>172.5</v>
      </c>
      <c r="AG367" s="21">
        <f t="shared" si="40"/>
        <v>340.9</v>
      </c>
      <c r="AH367" s="27">
        <v>202.7</v>
      </c>
      <c r="AI367" s="27">
        <v>170</v>
      </c>
      <c r="AJ367" s="21">
        <f t="shared" si="41"/>
        <v>372.7</v>
      </c>
      <c r="AK367" s="21">
        <v>176.3</v>
      </c>
    </row>
    <row r="368" spans="1:37">
      <c r="A368" s="21" t="s">
        <v>34</v>
      </c>
      <c r="B368" s="26">
        <v>2023</v>
      </c>
      <c r="C368" s="21" t="s">
        <v>36</v>
      </c>
      <c r="D368" s="21" t="str">
        <f t="shared" si="35"/>
        <v>No</v>
      </c>
      <c r="E368" s="27">
        <v>174.4</v>
      </c>
      <c r="F368" s="27">
        <v>207.7</v>
      </c>
      <c r="G368" s="27">
        <v>175.2</v>
      </c>
      <c r="H368" s="27">
        <v>177.3</v>
      </c>
      <c r="I368" s="27">
        <v>179.2</v>
      </c>
      <c r="J368" s="27">
        <v>169.5</v>
      </c>
      <c r="K368" s="27">
        <v>152.80000000000001</v>
      </c>
      <c r="L368" s="27">
        <v>171.1</v>
      </c>
      <c r="M368" s="27">
        <v>120</v>
      </c>
      <c r="N368" s="27">
        <v>209.7</v>
      </c>
      <c r="O368" s="27">
        <v>172.3</v>
      </c>
      <c r="P368" s="27">
        <v>193</v>
      </c>
      <c r="Q368" s="27">
        <v>177</v>
      </c>
      <c r="R368" s="21">
        <f t="shared" si="36"/>
        <v>2279.1999999999998</v>
      </c>
      <c r="S368" s="21">
        <v>186.1</v>
      </c>
      <c r="T368" s="21">
        <v>178.7</v>
      </c>
      <c r="U368" s="21">
        <v>185.1</v>
      </c>
      <c r="V368" s="21">
        <f t="shared" si="37"/>
        <v>549.9</v>
      </c>
      <c r="W368" s="22">
        <v>173.5</v>
      </c>
      <c r="X368" s="21">
        <v>181.9</v>
      </c>
      <c r="Y368" s="21">
        <v>174.2</v>
      </c>
      <c r="Z368" s="22">
        <f t="shared" si="38"/>
        <v>529.59999999999991</v>
      </c>
      <c r="AA368" s="21">
        <v>184.4</v>
      </c>
      <c r="AB368" s="21">
        <v>181</v>
      </c>
      <c r="AC368" s="21">
        <f t="shared" si="39"/>
        <v>365.4</v>
      </c>
      <c r="AD368" s="27">
        <v>164.2</v>
      </c>
      <c r="AE368" s="27">
        <v>170.3</v>
      </c>
      <c r="AF368" s="27">
        <v>175</v>
      </c>
      <c r="AG368" s="21">
        <f t="shared" si="40"/>
        <v>345.3</v>
      </c>
      <c r="AH368" s="27">
        <v>199.5</v>
      </c>
      <c r="AI368" s="27">
        <v>174.1</v>
      </c>
      <c r="AJ368" s="21">
        <f t="shared" si="41"/>
        <v>373.6</v>
      </c>
      <c r="AK368" s="21">
        <v>177.2</v>
      </c>
    </row>
    <row r="369" spans="1:37">
      <c r="A369" s="21" t="s">
        <v>30</v>
      </c>
      <c r="B369" s="26">
        <v>2023</v>
      </c>
      <c r="C369" s="21" t="s">
        <v>37</v>
      </c>
      <c r="D369" s="21" t="str">
        <f t="shared" si="35"/>
        <v>Yes</v>
      </c>
      <c r="E369" s="27">
        <v>173.3</v>
      </c>
      <c r="F369" s="27">
        <v>206.9</v>
      </c>
      <c r="G369" s="27">
        <v>167.9</v>
      </c>
      <c r="H369" s="27">
        <v>178.2</v>
      </c>
      <c r="I369" s="27">
        <v>178.5</v>
      </c>
      <c r="J369" s="27">
        <v>173.7</v>
      </c>
      <c r="K369" s="27">
        <v>142.80000000000001</v>
      </c>
      <c r="L369" s="27">
        <v>172.8</v>
      </c>
      <c r="M369" s="27">
        <v>120.4</v>
      </c>
      <c r="N369" s="27">
        <v>215.5</v>
      </c>
      <c r="O369" s="27">
        <v>178.2</v>
      </c>
      <c r="P369" s="27">
        <v>190.5</v>
      </c>
      <c r="Q369" s="27">
        <v>175.5</v>
      </c>
      <c r="R369" s="21">
        <f t="shared" si="36"/>
        <v>2274.1999999999998</v>
      </c>
      <c r="S369" s="21">
        <v>190.7</v>
      </c>
      <c r="T369" s="21">
        <v>187.3</v>
      </c>
      <c r="U369" s="21">
        <v>190.2</v>
      </c>
      <c r="V369" s="21">
        <f t="shared" si="37"/>
        <v>568.20000000000005</v>
      </c>
      <c r="W369" s="22">
        <v>139.25</v>
      </c>
      <c r="X369" s="21">
        <v>181.5</v>
      </c>
      <c r="Y369" s="21">
        <v>179.1</v>
      </c>
      <c r="Z369" s="22">
        <f t="shared" si="38"/>
        <v>499.85</v>
      </c>
      <c r="AA369" s="21">
        <v>187.2</v>
      </c>
      <c r="AB369" s="21">
        <v>183.8</v>
      </c>
      <c r="AC369" s="21">
        <f t="shared" si="39"/>
        <v>371</v>
      </c>
      <c r="AD369" s="27">
        <v>169.4</v>
      </c>
      <c r="AE369" s="27">
        <v>173.2</v>
      </c>
      <c r="AF369" s="27">
        <v>179.4</v>
      </c>
      <c r="AG369" s="21">
        <f t="shared" si="40"/>
        <v>352.6</v>
      </c>
      <c r="AH369" s="27">
        <v>199.5</v>
      </c>
      <c r="AI369" s="27">
        <v>178.9</v>
      </c>
      <c r="AJ369" s="21">
        <f t="shared" si="41"/>
        <v>378.4</v>
      </c>
      <c r="AK369" s="21">
        <v>178.8</v>
      </c>
    </row>
    <row r="370" spans="1:37">
      <c r="A370" s="21" t="s">
        <v>33</v>
      </c>
      <c r="B370" s="26">
        <v>2023</v>
      </c>
      <c r="C370" s="21" t="s">
        <v>37</v>
      </c>
      <c r="D370" s="21" t="str">
        <f t="shared" si="35"/>
        <v>Yes</v>
      </c>
      <c r="E370" s="27">
        <v>174.8</v>
      </c>
      <c r="F370" s="27">
        <v>213.7</v>
      </c>
      <c r="G370" s="27">
        <v>172.4</v>
      </c>
      <c r="H370" s="27">
        <v>178.8</v>
      </c>
      <c r="I370" s="27">
        <v>168.7</v>
      </c>
      <c r="J370" s="27">
        <v>179.2</v>
      </c>
      <c r="K370" s="27">
        <v>179.9</v>
      </c>
      <c r="L370" s="27">
        <v>174.7</v>
      </c>
      <c r="M370" s="27">
        <v>123.1</v>
      </c>
      <c r="N370" s="27">
        <v>207.8</v>
      </c>
      <c r="O370" s="27">
        <v>165.5</v>
      </c>
      <c r="P370" s="27">
        <v>197</v>
      </c>
      <c r="Q370" s="27">
        <v>182.1</v>
      </c>
      <c r="R370" s="21">
        <f t="shared" si="36"/>
        <v>2317.7000000000003</v>
      </c>
      <c r="S370" s="21">
        <v>181</v>
      </c>
      <c r="T370" s="21">
        <v>167.7</v>
      </c>
      <c r="U370" s="21">
        <v>178.9</v>
      </c>
      <c r="V370" s="21">
        <f t="shared" si="37"/>
        <v>527.6</v>
      </c>
      <c r="W370" s="22">
        <v>175.2</v>
      </c>
      <c r="X370" s="21">
        <v>182.1</v>
      </c>
      <c r="Y370" s="21">
        <v>169.6</v>
      </c>
      <c r="Z370" s="22">
        <f t="shared" si="38"/>
        <v>526.9</v>
      </c>
      <c r="AA370" s="21">
        <v>181.5</v>
      </c>
      <c r="AB370" s="21">
        <v>184.4</v>
      </c>
      <c r="AC370" s="21">
        <f t="shared" si="39"/>
        <v>365.9</v>
      </c>
      <c r="AD370" s="27">
        <v>160.1</v>
      </c>
      <c r="AE370" s="27">
        <v>168.8</v>
      </c>
      <c r="AF370" s="27">
        <v>174.2</v>
      </c>
      <c r="AG370" s="21">
        <f t="shared" si="40"/>
        <v>343</v>
      </c>
      <c r="AH370" s="27">
        <v>203.5</v>
      </c>
      <c r="AI370" s="27">
        <v>170.9</v>
      </c>
      <c r="AJ370" s="21">
        <f t="shared" si="41"/>
        <v>374.4</v>
      </c>
      <c r="AK370" s="21">
        <v>177.4</v>
      </c>
    </row>
    <row r="371" spans="1:37">
      <c r="A371" s="21" t="s">
        <v>34</v>
      </c>
      <c r="B371" s="26">
        <v>2023</v>
      </c>
      <c r="C371" s="21" t="s">
        <v>37</v>
      </c>
      <c r="D371" s="21" t="str">
        <f t="shared" si="35"/>
        <v>Yes</v>
      </c>
      <c r="E371" s="27">
        <v>173.8</v>
      </c>
      <c r="F371" s="27">
        <v>209.3</v>
      </c>
      <c r="G371" s="27">
        <v>169.6</v>
      </c>
      <c r="H371" s="27">
        <v>178.4</v>
      </c>
      <c r="I371" s="27">
        <v>174.9</v>
      </c>
      <c r="J371" s="27">
        <v>176.3</v>
      </c>
      <c r="K371" s="27">
        <v>155.4</v>
      </c>
      <c r="L371" s="27">
        <v>173.4</v>
      </c>
      <c r="M371" s="27">
        <v>121.3</v>
      </c>
      <c r="N371" s="27">
        <v>212.9</v>
      </c>
      <c r="O371" s="27">
        <v>172.9</v>
      </c>
      <c r="P371" s="27">
        <v>193.5</v>
      </c>
      <c r="Q371" s="27">
        <v>177.9</v>
      </c>
      <c r="R371" s="21">
        <f t="shared" si="36"/>
        <v>2289.6000000000004</v>
      </c>
      <c r="S371" s="21">
        <v>186.9</v>
      </c>
      <c r="T371" s="21">
        <v>179.2</v>
      </c>
      <c r="U371" s="21">
        <v>185.7</v>
      </c>
      <c r="V371" s="21">
        <f t="shared" si="37"/>
        <v>551.79999999999995</v>
      </c>
      <c r="W371" s="22">
        <v>175.2</v>
      </c>
      <c r="X371" s="21">
        <v>181.7</v>
      </c>
      <c r="Y371" s="21">
        <v>174.6</v>
      </c>
      <c r="Z371" s="22">
        <f t="shared" si="38"/>
        <v>531.5</v>
      </c>
      <c r="AA371" s="21">
        <v>185</v>
      </c>
      <c r="AB371" s="21">
        <v>184</v>
      </c>
      <c r="AC371" s="21">
        <f t="shared" si="39"/>
        <v>369</v>
      </c>
      <c r="AD371" s="27">
        <v>164.5</v>
      </c>
      <c r="AE371" s="27">
        <v>170.7</v>
      </c>
      <c r="AF371" s="27">
        <v>176.4</v>
      </c>
      <c r="AG371" s="21">
        <f t="shared" si="40"/>
        <v>347.1</v>
      </c>
      <c r="AH371" s="27">
        <v>200.6</v>
      </c>
      <c r="AI371" s="27">
        <v>175</v>
      </c>
      <c r="AJ371" s="21">
        <f t="shared" si="41"/>
        <v>375.6</v>
      </c>
      <c r="AK371" s="21">
        <v>178.1</v>
      </c>
    </row>
    <row r="372" spans="1:37">
      <c r="A372" s="21" t="s">
        <v>30</v>
      </c>
      <c r="B372" s="26">
        <v>2023</v>
      </c>
      <c r="C372" s="21" t="s">
        <v>38</v>
      </c>
      <c r="D372" s="21" t="str">
        <f t="shared" si="35"/>
        <v>Yes</v>
      </c>
      <c r="E372" s="27">
        <v>173.2</v>
      </c>
      <c r="F372" s="27">
        <v>211.5</v>
      </c>
      <c r="G372" s="27">
        <v>171</v>
      </c>
      <c r="H372" s="27">
        <v>179.6</v>
      </c>
      <c r="I372" s="27">
        <v>173.3</v>
      </c>
      <c r="J372" s="27">
        <v>169</v>
      </c>
      <c r="K372" s="27">
        <v>148.69999999999999</v>
      </c>
      <c r="L372" s="27">
        <v>174.9</v>
      </c>
      <c r="M372" s="27">
        <v>121.9</v>
      </c>
      <c r="N372" s="27">
        <v>221</v>
      </c>
      <c r="O372" s="27">
        <v>178.7</v>
      </c>
      <c r="P372" s="27">
        <v>191.1</v>
      </c>
      <c r="Q372" s="27">
        <v>176.8</v>
      </c>
      <c r="R372" s="21">
        <f t="shared" si="36"/>
        <v>2290.7000000000007</v>
      </c>
      <c r="S372" s="21">
        <v>191.2</v>
      </c>
      <c r="T372" s="21">
        <v>187.9</v>
      </c>
      <c r="U372" s="21">
        <v>190.8</v>
      </c>
      <c r="V372" s="21">
        <f t="shared" si="37"/>
        <v>569.90000000000009</v>
      </c>
      <c r="W372" s="22">
        <v>139.25</v>
      </c>
      <c r="X372" s="21">
        <v>182.5</v>
      </c>
      <c r="Y372" s="21">
        <v>179.8</v>
      </c>
      <c r="Z372" s="22">
        <f t="shared" si="38"/>
        <v>501.55</v>
      </c>
      <c r="AA372" s="21">
        <v>187.8</v>
      </c>
      <c r="AB372" s="21">
        <v>184.9</v>
      </c>
      <c r="AC372" s="21">
        <f t="shared" si="39"/>
        <v>372.70000000000005</v>
      </c>
      <c r="AD372" s="27">
        <v>169.7</v>
      </c>
      <c r="AE372" s="27">
        <v>173.8</v>
      </c>
      <c r="AF372" s="27">
        <v>180.3</v>
      </c>
      <c r="AG372" s="21">
        <f t="shared" si="40"/>
        <v>354.1</v>
      </c>
      <c r="AH372" s="27">
        <v>199.9</v>
      </c>
      <c r="AI372" s="27">
        <v>179.5</v>
      </c>
      <c r="AJ372" s="21">
        <f t="shared" si="41"/>
        <v>379.4</v>
      </c>
      <c r="AK372" s="21">
        <v>179.8</v>
      </c>
    </row>
    <row r="373" spans="1:37">
      <c r="A373" s="21" t="s">
        <v>33</v>
      </c>
      <c r="B373" s="26">
        <v>2023</v>
      </c>
      <c r="C373" s="21" t="s">
        <v>38</v>
      </c>
      <c r="D373" s="21" t="str">
        <f t="shared" si="35"/>
        <v>Yes</v>
      </c>
      <c r="E373" s="27">
        <v>174.7</v>
      </c>
      <c r="F373" s="27">
        <v>219.4</v>
      </c>
      <c r="G373" s="27">
        <v>176.7</v>
      </c>
      <c r="H373" s="27">
        <v>179.4</v>
      </c>
      <c r="I373" s="27">
        <v>164.4</v>
      </c>
      <c r="J373" s="27">
        <v>175.8</v>
      </c>
      <c r="K373" s="27">
        <v>185</v>
      </c>
      <c r="L373" s="27">
        <v>176.9</v>
      </c>
      <c r="M373" s="27">
        <v>124.2</v>
      </c>
      <c r="N373" s="27">
        <v>211.9</v>
      </c>
      <c r="O373" s="27">
        <v>165.9</v>
      </c>
      <c r="P373" s="27">
        <v>197.7</v>
      </c>
      <c r="Q373" s="27">
        <v>183.1</v>
      </c>
      <c r="R373" s="21">
        <f t="shared" si="36"/>
        <v>2335.1</v>
      </c>
      <c r="S373" s="21">
        <v>181.3</v>
      </c>
      <c r="T373" s="21">
        <v>168.1</v>
      </c>
      <c r="U373" s="21">
        <v>179.3</v>
      </c>
      <c r="V373" s="21">
        <f t="shared" si="37"/>
        <v>528.70000000000005</v>
      </c>
      <c r="W373" s="22">
        <v>175.6</v>
      </c>
      <c r="X373" s="21">
        <v>183.4</v>
      </c>
      <c r="Y373" s="21">
        <v>170.1</v>
      </c>
      <c r="Z373" s="22">
        <f t="shared" si="38"/>
        <v>529.1</v>
      </c>
      <c r="AA373" s="21">
        <v>182.2</v>
      </c>
      <c r="AB373" s="21">
        <v>185.6</v>
      </c>
      <c r="AC373" s="21">
        <f t="shared" si="39"/>
        <v>367.79999999999995</v>
      </c>
      <c r="AD373" s="27">
        <v>160.4</v>
      </c>
      <c r="AE373" s="27">
        <v>169.2</v>
      </c>
      <c r="AF373" s="27">
        <v>174.8</v>
      </c>
      <c r="AG373" s="21">
        <f t="shared" si="40"/>
        <v>344</v>
      </c>
      <c r="AH373" s="27">
        <v>204.2</v>
      </c>
      <c r="AI373" s="27">
        <v>171.6</v>
      </c>
      <c r="AJ373" s="21">
        <f t="shared" si="41"/>
        <v>375.79999999999995</v>
      </c>
      <c r="AK373" s="21">
        <v>178.2</v>
      </c>
    </row>
    <row r="374" spans="1:37">
      <c r="A374" s="21" t="s">
        <v>34</v>
      </c>
      <c r="B374" s="26">
        <v>2023</v>
      </c>
      <c r="C374" s="21" t="s">
        <v>38</v>
      </c>
      <c r="D374" s="21" t="str">
        <f t="shared" si="35"/>
        <v>Yes</v>
      </c>
      <c r="E374" s="27">
        <v>173.7</v>
      </c>
      <c r="F374" s="27">
        <v>214.3</v>
      </c>
      <c r="G374" s="27">
        <v>173.2</v>
      </c>
      <c r="H374" s="27">
        <v>179.5</v>
      </c>
      <c r="I374" s="27">
        <v>170</v>
      </c>
      <c r="J374" s="27">
        <v>172.2</v>
      </c>
      <c r="K374" s="27">
        <v>161</v>
      </c>
      <c r="L374" s="27">
        <v>175.6</v>
      </c>
      <c r="M374" s="27">
        <v>122.7</v>
      </c>
      <c r="N374" s="27">
        <v>218</v>
      </c>
      <c r="O374" s="27">
        <v>173.4</v>
      </c>
      <c r="P374" s="27">
        <v>194.2</v>
      </c>
      <c r="Q374" s="27">
        <v>179.1</v>
      </c>
      <c r="R374" s="21">
        <f t="shared" si="36"/>
        <v>2306.9</v>
      </c>
      <c r="S374" s="21">
        <v>187.3</v>
      </c>
      <c r="T374" s="21">
        <v>179.7</v>
      </c>
      <c r="U374" s="21">
        <v>186.2</v>
      </c>
      <c r="V374" s="21">
        <f t="shared" si="37"/>
        <v>553.20000000000005</v>
      </c>
      <c r="W374" s="22">
        <v>175.6</v>
      </c>
      <c r="X374" s="21">
        <v>182.8</v>
      </c>
      <c r="Y374" s="21">
        <v>175.2</v>
      </c>
      <c r="Z374" s="22">
        <f t="shared" si="38"/>
        <v>533.59999999999991</v>
      </c>
      <c r="AA374" s="21">
        <v>185.7</v>
      </c>
      <c r="AB374" s="21">
        <v>185.2</v>
      </c>
      <c r="AC374" s="21">
        <f t="shared" si="39"/>
        <v>370.9</v>
      </c>
      <c r="AD374" s="27">
        <v>164.8</v>
      </c>
      <c r="AE374" s="27">
        <v>171.2</v>
      </c>
      <c r="AF374" s="27">
        <v>177.1</v>
      </c>
      <c r="AG374" s="21">
        <f t="shared" si="40"/>
        <v>348.29999999999995</v>
      </c>
      <c r="AH374" s="27">
        <v>201</v>
      </c>
      <c r="AI374" s="27">
        <v>175.7</v>
      </c>
      <c r="AJ374" s="21">
        <f t="shared" si="41"/>
        <v>376.7</v>
      </c>
      <c r="AK374" s="21">
        <v>179.1</v>
      </c>
    </row>
  </sheetData>
  <autoFilter ref="A2:AK374" xr:uid="{00000000-0009-0000-0000-000001000000}"/>
  <mergeCells count="7">
    <mergeCell ref="AE1:AF1"/>
    <mergeCell ref="AH1:AI1"/>
    <mergeCell ref="A1:C1"/>
    <mergeCell ref="E1:Q1"/>
    <mergeCell ref="S1:U1"/>
    <mergeCell ref="W1:Y1"/>
    <mergeCell ref="AA1:AB1"/>
  </mergeCells>
  <pageMargins left="0.75" right="0.75" top="1" bottom="1" header="0.5" footer="0.5"/>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86"/>
  <sheetViews>
    <sheetView topLeftCell="A50" zoomScale="112" zoomScaleNormal="112" workbookViewId="0">
      <selection activeCell="B57" sqref="B57"/>
    </sheetView>
  </sheetViews>
  <sheetFormatPr defaultColWidth="9" defaultRowHeight="14.4"/>
  <cols>
    <col min="1" max="1" width="48.44140625" customWidth="1"/>
    <col min="2" max="2" width="18.6640625" customWidth="1"/>
    <col min="3" max="3" width="14.33203125" bestFit="1" customWidth="1"/>
  </cols>
  <sheetData>
    <row r="1" spans="1:4" ht="18">
      <c r="A1" s="131" t="s">
        <v>92</v>
      </c>
      <c r="B1" s="131"/>
      <c r="C1" s="131"/>
      <c r="D1" s="131"/>
    </row>
    <row r="2" spans="1:4">
      <c r="A2" s="3" t="s">
        <v>56</v>
      </c>
      <c r="B2" s="3" t="s">
        <v>57</v>
      </c>
      <c r="C2" s="3" t="s">
        <v>58</v>
      </c>
      <c r="D2" s="4"/>
    </row>
    <row r="3" spans="1:4" ht="15.6">
      <c r="A3" s="5" t="s">
        <v>49</v>
      </c>
      <c r="B3" s="6">
        <f>AVERAGE('Main Data'!R3:R374)</f>
        <v>1824.5024590163928</v>
      </c>
      <c r="C3" s="6">
        <f>(B3/$B$10)*100</f>
        <v>50.390697602116049</v>
      </c>
      <c r="D3" s="4"/>
    </row>
    <row r="4" spans="1:4" ht="15.6">
      <c r="A4" s="5" t="s">
        <v>50</v>
      </c>
      <c r="B4" s="6">
        <f>AVERAGE('Main Data'!V3:V374)</f>
        <v>420.31530054644821</v>
      </c>
      <c r="C4" s="6">
        <f t="shared" ref="C4:C9" si="0">(B4/$B$10)*100</f>
        <v>11.608633960842635</v>
      </c>
      <c r="D4" s="4"/>
    </row>
    <row r="5" spans="1:4" ht="15.6">
      <c r="A5" s="5" t="s">
        <v>51</v>
      </c>
      <c r="B5" s="6">
        <f>AVERAGE('Main Data'!Z3:Z374)</f>
        <v>412.30683060109294</v>
      </c>
      <c r="C5" s="6">
        <f t="shared" si="0"/>
        <v>11.387449064501311</v>
      </c>
      <c r="D5" s="4"/>
    </row>
    <row r="6" spans="1:4" ht="15.6">
      <c r="A6" s="5" t="s">
        <v>52</v>
      </c>
      <c r="B6" s="6">
        <f>AVERAGE('Main Data'!AC3:AC374)</f>
        <v>271.7732240437158</v>
      </c>
      <c r="C6" s="6">
        <f t="shared" si="0"/>
        <v>7.506069548693314</v>
      </c>
      <c r="D6" s="4"/>
    </row>
    <row r="7" spans="1:4" ht="15.6">
      <c r="A7" s="5" t="s">
        <v>24</v>
      </c>
      <c r="B7" s="6">
        <f>AVERAGE('Main Data'!AD3:AD374)</f>
        <v>127.17049180327859</v>
      </c>
      <c r="C7" s="6">
        <f t="shared" si="0"/>
        <v>3.5123053765716041</v>
      </c>
      <c r="D7" s="4"/>
    </row>
    <row r="8" spans="1:4" ht="15.6">
      <c r="A8" s="5" t="s">
        <v>53</v>
      </c>
      <c r="B8" s="6">
        <f>AVERAGE('Main Data'!AG3:AG374)</f>
        <v>275.02295081967213</v>
      </c>
      <c r="C8" s="6">
        <f t="shared" si="0"/>
        <v>7.5958233324974742</v>
      </c>
      <c r="D8" s="4"/>
    </row>
    <row r="9" spans="1:4" ht="15.6">
      <c r="A9" s="5" t="s">
        <v>54</v>
      </c>
      <c r="B9" s="6">
        <f>AVERAGE('Main Data'!AJ3:AJ374)</f>
        <v>289.62158469945359</v>
      </c>
      <c r="C9" s="6">
        <f t="shared" si="0"/>
        <v>7.9990211147776158</v>
      </c>
      <c r="D9" s="4"/>
    </row>
    <row r="10" spans="1:4" ht="15.6">
      <c r="A10" s="5" t="s">
        <v>60</v>
      </c>
      <c r="B10" s="8">
        <f>SUM(B3:B9)</f>
        <v>3620.712841530054</v>
      </c>
      <c r="C10" s="8">
        <f>SUM(C3:C9)</f>
        <v>100.00000000000001</v>
      </c>
    </row>
    <row r="29" spans="1:3" ht="18">
      <c r="A29" s="132" t="s">
        <v>93</v>
      </c>
      <c r="B29" s="132"/>
      <c r="C29" s="132"/>
    </row>
    <row r="30" spans="1:3">
      <c r="A30" s="12" t="s">
        <v>56</v>
      </c>
      <c r="B30" s="12" t="s">
        <v>135</v>
      </c>
      <c r="C30" s="12" t="s">
        <v>58</v>
      </c>
    </row>
    <row r="31" spans="1:3">
      <c r="A31" s="12" t="s">
        <v>49</v>
      </c>
      <c r="B31" s="15">
        <f>AVERAGEIFS('Main Data'!R3:R374,'Main Data'!$B$3:$B$374,"2023",'Main Data'!$C$3:$C$374,"May")</f>
        <v>2310.9</v>
      </c>
      <c r="C31" s="8">
        <f>(B31/$B$38)*100</f>
        <v>49.756160578755292</v>
      </c>
    </row>
    <row r="32" spans="1:3">
      <c r="A32" s="12" t="s">
        <v>50</v>
      </c>
      <c r="B32" s="15">
        <f>AVERAGEIFS('Main Data'!$V$3:$V$374,'Main Data'!$B$3:$B$374,"2023",'Main Data'!$C$3:$C$374,"May")</f>
        <v>550.6</v>
      </c>
      <c r="C32" s="8">
        <f t="shared" ref="C32:C37" si="1">(B32/$B$38)*100</f>
        <v>11.855009742811314</v>
      </c>
    </row>
    <row r="33" spans="1:3">
      <c r="A33" s="12" t="s">
        <v>51</v>
      </c>
      <c r="B33" s="29">
        <f>AVERAGEIFS('Main Data'!$Z$3:$Z$374,'Main Data'!$B$3:$B$374,"2023",'Main Data'!$C$3:$C$374,"May")</f>
        <v>521.41666666666663</v>
      </c>
      <c r="C33" s="8">
        <f t="shared" si="1"/>
        <v>11.226661212127736</v>
      </c>
    </row>
    <row r="34" spans="1:3">
      <c r="A34" s="12" t="s">
        <v>52</v>
      </c>
      <c r="B34" s="29">
        <f>AVERAGEIFS('Main Data'!$AC$3:$AC$374,'Main Data'!$B$3:$B$374,"2023",'Main Data'!$C$3:$C$374,"May")</f>
        <v>370.4666666666667</v>
      </c>
      <c r="C34" s="8">
        <f t="shared" si="1"/>
        <v>7.9765454826010984</v>
      </c>
    </row>
    <row r="35" spans="1:3">
      <c r="A35" s="12" t="s">
        <v>24</v>
      </c>
      <c r="B35" s="29">
        <f>AVERAGEIFS('Main Data'!$AD$3:$AD$374,'Main Data'!$B$3:$B$374,"2023",'Main Data'!$C$3:$C$374,"May")</f>
        <v>164.96666666666667</v>
      </c>
      <c r="C35" s="8">
        <f t="shared" si="1"/>
        <v>3.55190962690236</v>
      </c>
    </row>
    <row r="36" spans="1:3">
      <c r="A36" s="12" t="s">
        <v>53</v>
      </c>
      <c r="B36" s="15">
        <f>AVERAGEIFS('Main Data'!$AG$3:$AG$374,'Main Data'!$B$3:$B$374,"2023",'Main Data'!$C$3:$C$374,"May")</f>
        <v>348.8</v>
      </c>
      <c r="C36" s="8">
        <f t="shared" si="1"/>
        <v>7.5100388635898767</v>
      </c>
    </row>
    <row r="37" spans="1:3">
      <c r="A37" s="12" t="s">
        <v>54</v>
      </c>
      <c r="B37" s="15">
        <f>AVERAGEIFS('Main Data'!$AJ$3:$AJ$374,'Main Data'!$B$3:$B$374,"2023",'Main Data'!$C$3:$C$374,"May")</f>
        <v>377.29999999999995</v>
      </c>
      <c r="C37" s="8">
        <f t="shared" si="1"/>
        <v>8.1236744932123273</v>
      </c>
    </row>
    <row r="38" spans="1:3">
      <c r="A38" s="12" t="s">
        <v>60</v>
      </c>
      <c r="B38" s="8">
        <f>SUM(B31:B37)</f>
        <v>4644.45</v>
      </c>
      <c r="C38" s="12">
        <f>SUM(C31:C37)</f>
        <v>100</v>
      </c>
    </row>
    <row r="55" spans="1:3">
      <c r="A55" s="133" t="s">
        <v>97</v>
      </c>
      <c r="B55" s="133"/>
    </row>
    <row r="56" spans="1:3">
      <c r="A56" s="12" t="s">
        <v>56</v>
      </c>
      <c r="B56" s="12" t="s">
        <v>57</v>
      </c>
      <c r="C56" s="12" t="s">
        <v>58</v>
      </c>
    </row>
    <row r="57" spans="1:3">
      <c r="A57" s="12" t="s">
        <v>49</v>
      </c>
      <c r="B57" s="12">
        <v>2290.7000000000007</v>
      </c>
      <c r="C57" s="30">
        <f>(B57/$B$64)</f>
        <v>0.49389290757969412</v>
      </c>
    </row>
    <row r="58" spans="1:3">
      <c r="A58" s="12" t="s">
        <v>50</v>
      </c>
      <c r="B58" s="12">
        <v>569.90000000000009</v>
      </c>
      <c r="C58" s="30">
        <f t="shared" ref="C58:C63" si="2">(B58/$B$64)</f>
        <v>0.12287491510440809</v>
      </c>
    </row>
    <row r="59" spans="1:3">
      <c r="A59" s="12" t="s">
        <v>51</v>
      </c>
      <c r="B59" s="12">
        <v>501.55</v>
      </c>
      <c r="C59" s="30">
        <f t="shared" si="2"/>
        <v>0.10813811839027175</v>
      </c>
    </row>
    <row r="60" spans="1:3">
      <c r="A60" s="12" t="s">
        <v>52</v>
      </c>
      <c r="B60" s="12">
        <v>372.70000000000005</v>
      </c>
      <c r="C60" s="30">
        <f t="shared" si="2"/>
        <v>8.0357046603637294E-2</v>
      </c>
    </row>
    <row r="61" spans="1:3">
      <c r="A61" s="12" t="s">
        <v>24</v>
      </c>
      <c r="B61" s="12">
        <v>169.7</v>
      </c>
      <c r="C61" s="30">
        <f t="shared" si="2"/>
        <v>3.6588652558726176E-2</v>
      </c>
    </row>
    <row r="62" spans="1:3">
      <c r="A62" s="12" t="s">
        <v>53</v>
      </c>
      <c r="B62" s="12">
        <v>354.1</v>
      </c>
      <c r="C62" s="30">
        <f t="shared" si="2"/>
        <v>7.6346740548290756E-2</v>
      </c>
    </row>
    <row r="63" spans="1:3">
      <c r="A63" s="12" t="s">
        <v>54</v>
      </c>
      <c r="B63" s="12">
        <v>379.4</v>
      </c>
      <c r="C63" s="30">
        <f t="shared" si="2"/>
        <v>8.1801619214971782E-2</v>
      </c>
    </row>
    <row r="64" spans="1:3">
      <c r="A64" s="12" t="s">
        <v>60</v>
      </c>
      <c r="B64" s="12">
        <f>SUM(B57:B63)</f>
        <v>4638.0500000000011</v>
      </c>
      <c r="C64" s="31">
        <f>SUM(C57:C63)</f>
        <v>1</v>
      </c>
    </row>
    <row r="66" spans="1:3">
      <c r="A66" s="133" t="s">
        <v>98</v>
      </c>
      <c r="B66" s="133"/>
    </row>
    <row r="67" spans="1:3">
      <c r="A67" s="12" t="s">
        <v>56</v>
      </c>
      <c r="B67" s="12" t="s">
        <v>57</v>
      </c>
      <c r="C67" s="12" t="s">
        <v>58</v>
      </c>
    </row>
    <row r="68" spans="1:3">
      <c r="A68" s="12" t="s">
        <v>49</v>
      </c>
      <c r="B68" s="12">
        <v>2306.9</v>
      </c>
      <c r="C68" s="30">
        <f t="shared" ref="C68:C74" si="3">(B68/$B$75)</f>
        <v>0.49563853557923682</v>
      </c>
    </row>
    <row r="69" spans="1:3">
      <c r="A69" s="12" t="s">
        <v>50</v>
      </c>
      <c r="B69" s="12">
        <v>553.20000000000005</v>
      </c>
      <c r="C69" s="30">
        <f t="shared" si="3"/>
        <v>0.11885527672739772</v>
      </c>
    </row>
    <row r="70" spans="1:3">
      <c r="A70" s="12" t="s">
        <v>51</v>
      </c>
      <c r="B70" s="12">
        <v>533.59999999999991</v>
      </c>
      <c r="C70" s="30">
        <f t="shared" si="3"/>
        <v>0.11464420763148846</v>
      </c>
    </row>
    <row r="71" spans="1:3">
      <c r="A71" s="12" t="s">
        <v>52</v>
      </c>
      <c r="B71" s="12">
        <v>370.9</v>
      </c>
      <c r="C71" s="30">
        <f t="shared" si="3"/>
        <v>7.9688037126160183E-2</v>
      </c>
    </row>
    <row r="72" spans="1:3">
      <c r="A72" s="12" t="s">
        <v>24</v>
      </c>
      <c r="B72" s="12">
        <v>164.8</v>
      </c>
      <c r="C72" s="30">
        <f t="shared" si="3"/>
        <v>3.5407356479889997E-2</v>
      </c>
    </row>
    <row r="73" spans="1:3">
      <c r="A73" s="12" t="s">
        <v>53</v>
      </c>
      <c r="B73" s="12">
        <v>348.29999999999995</v>
      </c>
      <c r="C73" s="30">
        <f t="shared" si="3"/>
        <v>7.4832416638019914E-2</v>
      </c>
    </row>
    <row r="74" spans="1:3">
      <c r="A74" s="12" t="s">
        <v>54</v>
      </c>
      <c r="B74" s="12">
        <v>376.7</v>
      </c>
      <c r="C74" s="30">
        <f t="shared" si="3"/>
        <v>8.0934169817806795E-2</v>
      </c>
    </row>
    <row r="75" spans="1:3">
      <c r="A75" s="12" t="s">
        <v>60</v>
      </c>
      <c r="B75" s="12">
        <f>SUM(B68:B74)</f>
        <v>4654.4000000000005</v>
      </c>
      <c r="C75" s="31">
        <f>SUM(C68:C74)</f>
        <v>0.99999999999999978</v>
      </c>
    </row>
    <row r="77" spans="1:3">
      <c r="A77" s="133" t="s">
        <v>99</v>
      </c>
      <c r="B77" s="133"/>
    </row>
    <row r="78" spans="1:3">
      <c r="A78" s="12" t="s">
        <v>56</v>
      </c>
      <c r="B78" s="12" t="s">
        <v>57</v>
      </c>
      <c r="C78" s="12" t="s">
        <v>58</v>
      </c>
    </row>
    <row r="79" spans="1:3">
      <c r="A79" s="12" t="s">
        <v>49</v>
      </c>
      <c r="B79" s="12">
        <v>2335.1</v>
      </c>
      <c r="C79" s="30">
        <f>(B79/$B$86)</f>
        <v>0.50315671529229233</v>
      </c>
    </row>
    <row r="80" spans="1:3">
      <c r="A80" s="12" t="s">
        <v>50</v>
      </c>
      <c r="B80" s="12">
        <v>528.70000000000005</v>
      </c>
      <c r="C80" s="30">
        <f t="shared" ref="C80:C85" si="4">(B80/$B$86)</f>
        <v>0.11392186860307267</v>
      </c>
    </row>
    <row r="81" spans="1:3">
      <c r="A81" s="12" t="s">
        <v>51</v>
      </c>
      <c r="B81" s="12">
        <v>529.1</v>
      </c>
      <c r="C81" s="30">
        <f t="shared" si="4"/>
        <v>0.11400805878170181</v>
      </c>
    </row>
    <row r="82" spans="1:3">
      <c r="A82" s="12" t="s">
        <v>52</v>
      </c>
      <c r="B82" s="12">
        <v>367.79999999999995</v>
      </c>
      <c r="C82" s="30">
        <f t="shared" si="4"/>
        <v>7.9251869249499007E-2</v>
      </c>
    </row>
    <row r="83" spans="1:3">
      <c r="A83" s="12" t="s">
        <v>24</v>
      </c>
      <c r="B83" s="12">
        <v>160.4</v>
      </c>
      <c r="C83" s="30">
        <f t="shared" si="4"/>
        <v>3.4562261630287229E-2</v>
      </c>
    </row>
    <row r="84" spans="1:3">
      <c r="A84" s="12" t="s">
        <v>53</v>
      </c>
      <c r="B84" s="12">
        <v>344</v>
      </c>
      <c r="C84" s="30">
        <f t="shared" si="4"/>
        <v>7.4123553621064875E-2</v>
      </c>
    </row>
    <row r="85" spans="1:3">
      <c r="A85" s="12" t="s">
        <v>54</v>
      </c>
      <c r="B85" s="12">
        <v>375.79999999999995</v>
      </c>
      <c r="C85" s="30">
        <f t="shared" si="4"/>
        <v>8.0975672822081901E-2</v>
      </c>
    </row>
    <row r="86" spans="1:3">
      <c r="A86" s="12" t="s">
        <v>60</v>
      </c>
      <c r="B86" s="12">
        <f>SUM(B79:B85)</f>
        <v>4640.9000000000005</v>
      </c>
      <c r="C86" s="31">
        <f>SUM(C79:C85)</f>
        <v>0.99999999999999978</v>
      </c>
    </row>
  </sheetData>
  <autoFilter ref="A67:C74" xr:uid="{00000000-0009-0000-0000-00000B000000}"/>
  <mergeCells count="5">
    <mergeCell ref="A1:D1"/>
    <mergeCell ref="A29:C29"/>
    <mergeCell ref="A55:B55"/>
    <mergeCell ref="A66:B66"/>
    <mergeCell ref="A77:B77"/>
  </mergeCell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7"/>
  <sheetViews>
    <sheetView topLeftCell="A7" workbookViewId="0">
      <selection activeCell="B26" sqref="B26:H26"/>
    </sheetView>
  </sheetViews>
  <sheetFormatPr defaultRowHeight="14.4"/>
  <cols>
    <col min="1" max="1" width="13.109375" customWidth="1"/>
    <col min="2" max="2" width="30.5546875" customWidth="1"/>
    <col min="3" max="3" width="32.44140625" customWidth="1"/>
    <col min="4" max="4" width="32.109375" customWidth="1"/>
    <col min="5" max="5" width="38.6640625" customWidth="1"/>
    <col min="6" max="6" width="38.33203125" customWidth="1"/>
    <col min="7" max="7" width="24.88671875" customWidth="1"/>
    <col min="8" max="8" width="22.33203125" customWidth="1"/>
  </cols>
  <sheetData>
    <row r="1" spans="1:8">
      <c r="A1" s="11" t="s">
        <v>1</v>
      </c>
      <c r="B1" t="s">
        <v>84</v>
      </c>
    </row>
    <row r="2" spans="1:8">
      <c r="A2" s="11" t="s">
        <v>0</v>
      </c>
      <c r="B2" t="s">
        <v>84</v>
      </c>
    </row>
    <row r="4" spans="1:8">
      <c r="A4" s="11" t="s">
        <v>67</v>
      </c>
      <c r="B4" t="s">
        <v>85</v>
      </c>
      <c r="C4" t="s">
        <v>86</v>
      </c>
      <c r="D4" t="s">
        <v>87</v>
      </c>
      <c r="E4" t="s">
        <v>88</v>
      </c>
      <c r="F4" t="s">
        <v>89</v>
      </c>
      <c r="G4" t="s">
        <v>90</v>
      </c>
      <c r="H4" t="s">
        <v>91</v>
      </c>
    </row>
    <row r="5" spans="1:8">
      <c r="A5" s="7" t="s">
        <v>31</v>
      </c>
      <c r="B5">
        <v>1805.7939393939389</v>
      </c>
      <c r="C5">
        <v>417.53030303030306</v>
      </c>
      <c r="D5">
        <v>409.99242424242425</v>
      </c>
      <c r="E5">
        <v>270.55757575757571</v>
      </c>
      <c r="F5">
        <v>126.20000000000002</v>
      </c>
      <c r="G5">
        <v>273.07272727272726</v>
      </c>
      <c r="H5">
        <v>287.31212121212121</v>
      </c>
    </row>
    <row r="6" spans="1:8">
      <c r="A6" s="7" t="s">
        <v>35</v>
      </c>
      <c r="B6">
        <v>1795.6454545454544</v>
      </c>
      <c r="C6">
        <v>419.53333333333325</v>
      </c>
      <c r="D6">
        <v>412.2045454545455</v>
      </c>
      <c r="E6">
        <v>272.24545454545455</v>
      </c>
      <c r="F6">
        <v>126.77575757575755</v>
      </c>
      <c r="G6">
        <v>273.97575757575748</v>
      </c>
      <c r="H6">
        <v>288.69090909090914</v>
      </c>
    </row>
    <row r="7" spans="1:8">
      <c r="A7" s="7" t="s">
        <v>36</v>
      </c>
      <c r="B7">
        <v>1805.8343750000001</v>
      </c>
      <c r="C7">
        <v>423.32187500000003</v>
      </c>
      <c r="D7">
        <v>415.89531249999993</v>
      </c>
      <c r="E7">
        <v>274.62812499999995</v>
      </c>
      <c r="F7">
        <v>127.75937499999999</v>
      </c>
      <c r="G7">
        <v>276.43124999999998</v>
      </c>
      <c r="H7">
        <v>291.68750000000006</v>
      </c>
    </row>
    <row r="8" spans="1:8">
      <c r="A8" s="7" t="s">
        <v>37</v>
      </c>
      <c r="B8">
        <v>1802.5925925925924</v>
      </c>
      <c r="C8">
        <v>419.69259259259269</v>
      </c>
      <c r="D8">
        <v>410.60185185185185</v>
      </c>
      <c r="E8">
        <v>271.13703703703698</v>
      </c>
      <c r="F8">
        <v>127.89999999999999</v>
      </c>
      <c r="G8">
        <v>271.72222222222223</v>
      </c>
      <c r="H8">
        <v>286.92592592592587</v>
      </c>
    </row>
    <row r="9" spans="1:8">
      <c r="A9" s="7" t="s">
        <v>38</v>
      </c>
      <c r="B9">
        <v>1818.0866666666664</v>
      </c>
      <c r="C9">
        <v>423.60666666666674</v>
      </c>
      <c r="D9">
        <v>414.29666666666668</v>
      </c>
      <c r="E9">
        <v>273.29333333333324</v>
      </c>
      <c r="F9">
        <v>128.22999999999999</v>
      </c>
      <c r="G9">
        <v>274.99666666666667</v>
      </c>
      <c r="H9">
        <v>290.10666666666668</v>
      </c>
    </row>
    <row r="10" spans="1:8">
      <c r="A10" s="7" t="s">
        <v>39</v>
      </c>
      <c r="B10">
        <v>1806.3400000000001</v>
      </c>
      <c r="C10">
        <v>414.81666666666661</v>
      </c>
      <c r="D10">
        <v>406.9733333333333</v>
      </c>
      <c r="E10">
        <v>267.49666666666673</v>
      </c>
      <c r="F10">
        <v>125.66666666666666</v>
      </c>
      <c r="G10">
        <v>271.99666666666673</v>
      </c>
      <c r="H10">
        <v>286.43333333333328</v>
      </c>
    </row>
    <row r="11" spans="1:8">
      <c r="A11" s="7" t="s">
        <v>40</v>
      </c>
      <c r="B11">
        <v>1826.1100000000004</v>
      </c>
      <c r="C11">
        <v>416.53666666666652</v>
      </c>
      <c r="D11">
        <v>408.82333333333321</v>
      </c>
      <c r="E11">
        <v>268.51000000000005</v>
      </c>
      <c r="F11">
        <v>126.28</v>
      </c>
      <c r="G11">
        <v>273.96666666666664</v>
      </c>
      <c r="H11">
        <v>287.71333333333331</v>
      </c>
    </row>
    <row r="12" spans="1:8">
      <c r="A12" s="7" t="s">
        <v>41</v>
      </c>
      <c r="B12">
        <v>1835.563333333333</v>
      </c>
      <c r="C12">
        <v>418.54333333333335</v>
      </c>
      <c r="D12">
        <v>410.76999999999992</v>
      </c>
      <c r="E12">
        <v>270.37999999999994</v>
      </c>
      <c r="F12">
        <v>126.83</v>
      </c>
      <c r="G12">
        <v>275.30333333333334</v>
      </c>
      <c r="H12">
        <v>289.17333333333335</v>
      </c>
    </row>
    <row r="13" spans="1:8">
      <c r="A13" s="7" t="s">
        <v>42</v>
      </c>
      <c r="B13">
        <v>1835.0900000000001</v>
      </c>
      <c r="C13">
        <v>420.34000000000009</v>
      </c>
      <c r="D13">
        <v>412.24</v>
      </c>
      <c r="E13">
        <v>271.89999999999998</v>
      </c>
      <c r="F13">
        <v>127.47999999999999</v>
      </c>
      <c r="G13">
        <v>276.14333333333332</v>
      </c>
      <c r="H13">
        <v>290.6466666666667</v>
      </c>
    </row>
    <row r="14" spans="1:8">
      <c r="A14" s="7" t="s">
        <v>43</v>
      </c>
      <c r="B14">
        <v>1851.6833333333334</v>
      </c>
      <c r="C14">
        <v>422.13333333333327</v>
      </c>
      <c r="D14">
        <v>414.46666666666681</v>
      </c>
      <c r="E14">
        <v>273.17333333333329</v>
      </c>
      <c r="F14">
        <v>127.86666666666665</v>
      </c>
      <c r="G14">
        <v>277.08</v>
      </c>
      <c r="H14">
        <v>291.84333333333331</v>
      </c>
    </row>
    <row r="15" spans="1:8">
      <c r="A15" s="7" t="s">
        <v>45</v>
      </c>
      <c r="B15">
        <v>1878.5275862068963</v>
      </c>
      <c r="C15">
        <v>427.12758620689652</v>
      </c>
      <c r="D15">
        <v>418.33275862068962</v>
      </c>
      <c r="E15">
        <v>276.18620689655177</v>
      </c>
      <c r="F15">
        <v>128.35172413793103</v>
      </c>
      <c r="G15">
        <v>280.21379310344827</v>
      </c>
      <c r="H15">
        <v>295.36896551724141</v>
      </c>
    </row>
    <row r="16" spans="1:8">
      <c r="A16" s="7" t="s">
        <v>46</v>
      </c>
      <c r="B16">
        <v>1859.1699999999998</v>
      </c>
      <c r="C16">
        <v>425.97666666666669</v>
      </c>
      <c r="D16">
        <v>417.20333333333343</v>
      </c>
      <c r="E16">
        <v>275.25333333333327</v>
      </c>
      <c r="F16">
        <v>128.02666666666667</v>
      </c>
      <c r="G16">
        <v>279.01333333333332</v>
      </c>
      <c r="H16">
        <v>294.00333333333333</v>
      </c>
    </row>
    <row r="17" spans="1:8">
      <c r="A17" s="7" t="s">
        <v>47</v>
      </c>
      <c r="B17">
        <v>1488.2999999999997</v>
      </c>
      <c r="C17">
        <v>346.9</v>
      </c>
      <c r="D17">
        <v>338.9</v>
      </c>
      <c r="E17">
        <v>220.2</v>
      </c>
      <c r="F17">
        <v>111.4</v>
      </c>
      <c r="G17">
        <v>222.6</v>
      </c>
      <c r="H17">
        <v>226.5</v>
      </c>
    </row>
    <row r="18" spans="1:8">
      <c r="A18" s="7" t="s">
        <v>44</v>
      </c>
      <c r="B18">
        <v>1536.8</v>
      </c>
      <c r="C18">
        <v>342.1</v>
      </c>
      <c r="D18">
        <v>363.15</v>
      </c>
      <c r="E18">
        <v>217.9</v>
      </c>
      <c r="F18">
        <v>109.6</v>
      </c>
      <c r="G18">
        <v>219.7</v>
      </c>
      <c r="H18">
        <v>222.6</v>
      </c>
    </row>
    <row r="19" spans="1:8">
      <c r="A19" s="7" t="s">
        <v>68</v>
      </c>
      <c r="B19">
        <v>1824.5024590163935</v>
      </c>
      <c r="C19">
        <v>420.31530054644793</v>
      </c>
      <c r="D19">
        <v>412.30683060109254</v>
      </c>
      <c r="E19">
        <v>271.77322404371603</v>
      </c>
      <c r="F19">
        <v>127.17049180327878</v>
      </c>
      <c r="G19">
        <v>275.02295081967191</v>
      </c>
      <c r="H19">
        <v>289.62158469945365</v>
      </c>
    </row>
    <row r="22" spans="1:8">
      <c r="A22" s="11" t="s">
        <v>1</v>
      </c>
      <c r="B22" s="9">
        <v>2023</v>
      </c>
    </row>
    <row r="23" spans="1:8">
      <c r="A23" s="11" t="s">
        <v>0</v>
      </c>
      <c r="B23" t="s">
        <v>33</v>
      </c>
    </row>
    <row r="25" spans="1:8">
      <c r="A25" s="11" t="s">
        <v>67</v>
      </c>
      <c r="B25" t="s">
        <v>85</v>
      </c>
      <c r="C25" t="s">
        <v>86</v>
      </c>
      <c r="D25" t="s">
        <v>87</v>
      </c>
      <c r="E25" t="s">
        <v>88</v>
      </c>
      <c r="F25" t="s">
        <v>89</v>
      </c>
      <c r="G25" t="s">
        <v>90</v>
      </c>
      <c r="H25" t="s">
        <v>91</v>
      </c>
    </row>
    <row r="26" spans="1:8">
      <c r="A26" s="7" t="s">
        <v>38</v>
      </c>
      <c r="B26">
        <v>2335.1</v>
      </c>
      <c r="C26">
        <v>528.70000000000005</v>
      </c>
      <c r="D26">
        <v>529.1</v>
      </c>
      <c r="E26">
        <v>367.79999999999995</v>
      </c>
      <c r="F26">
        <v>160.4</v>
      </c>
      <c r="G26">
        <v>344</v>
      </c>
      <c r="H26">
        <v>375.79999999999995</v>
      </c>
    </row>
    <row r="27" spans="1:8">
      <c r="A27" s="7" t="s">
        <v>68</v>
      </c>
      <c r="B27">
        <v>2335.1</v>
      </c>
      <c r="C27">
        <v>528.70000000000005</v>
      </c>
      <c r="D27">
        <v>529.1</v>
      </c>
      <c r="E27">
        <v>367.79999999999995</v>
      </c>
      <c r="F27">
        <v>160.4</v>
      </c>
      <c r="G27">
        <v>344</v>
      </c>
      <c r="H27">
        <v>375.79999999999995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40"/>
  <sheetViews>
    <sheetView workbookViewId="0">
      <selection activeCell="A30" sqref="A30"/>
    </sheetView>
  </sheetViews>
  <sheetFormatPr defaultRowHeight="14.4"/>
  <cols>
    <col min="1" max="1" width="89" bestFit="1" customWidth="1"/>
    <col min="2" max="2" width="13.5546875" bestFit="1" customWidth="1"/>
    <col min="3" max="3" width="15.6640625" bestFit="1" customWidth="1"/>
  </cols>
  <sheetData>
    <row r="1" spans="1:3" ht="18">
      <c r="A1" s="17" t="s">
        <v>0</v>
      </c>
    </row>
    <row r="2" spans="1:3" ht="18.600000000000001" thickBot="1">
      <c r="A2" s="18" t="s">
        <v>94</v>
      </c>
    </row>
    <row r="4" spans="1:3">
      <c r="A4" s="104" t="s">
        <v>1</v>
      </c>
      <c r="B4" s="20" t="s">
        <v>95</v>
      </c>
      <c r="C4" s="20" t="s">
        <v>96</v>
      </c>
    </row>
    <row r="5" spans="1:3">
      <c r="A5" s="21">
        <v>2017</v>
      </c>
      <c r="B5" s="22">
        <f>AVERAGEIF('Q2 Data'!$B$2:$B$77,'Q2'!A5,'Q2 Data'!$D$2:$D$77)</f>
        <v>133.5</v>
      </c>
      <c r="C5" s="21"/>
    </row>
    <row r="6" spans="1:3">
      <c r="A6" s="21">
        <v>2018</v>
      </c>
      <c r="B6" s="22">
        <f>AVERAGEIF('Q2 Data'!$B$2:$B$77,'Q2'!A6,'Q2 Data'!$D$2:$D$77)</f>
        <v>138.77500000000001</v>
      </c>
      <c r="C6" s="22">
        <f>((B6-B5)/B5)*100</f>
        <v>3.9513108614232255</v>
      </c>
    </row>
    <row r="7" spans="1:3">
      <c r="A7" s="21">
        <v>2019</v>
      </c>
      <c r="B7" s="22">
        <f>AVERAGEIF('Q2 Data'!$B$2:$B$77,'Q2'!A7,'Q2 Data'!$D$2:$D$77)</f>
        <v>144.18181818181819</v>
      </c>
      <c r="C7" s="22">
        <f t="shared" ref="C7:C11" si="0">((B7-B6)/B6)*100</f>
        <v>3.8961038961038952</v>
      </c>
    </row>
    <row r="8" spans="1:3">
      <c r="A8" s="21">
        <v>2020</v>
      </c>
      <c r="B8" s="22">
        <f>AVERAGEIF('Q2 Data'!$B$2:$B$77,'Q2'!A8,'Q2 Data'!$D$2:$D$77)</f>
        <v>153.38000000000002</v>
      </c>
      <c r="C8" s="22">
        <f t="shared" si="0"/>
        <v>6.3795712484237193</v>
      </c>
    </row>
    <row r="9" spans="1:3">
      <c r="A9" s="21">
        <v>2021</v>
      </c>
      <c r="B9" s="22">
        <f>AVERAGEIF('Q2 Data'!$B$2:$B$77,'Q2'!A9,'Q2 Data'!$D$2:$D$77)</f>
        <v>161.45833333333334</v>
      </c>
      <c r="C9" s="22">
        <f t="shared" si="0"/>
        <v>5.2668752988220868</v>
      </c>
    </row>
    <row r="10" spans="1:3">
      <c r="A10" s="21">
        <v>2022</v>
      </c>
      <c r="B10" s="22">
        <f>AVERAGEIF('Q2 Data'!$B$2:$B$77,'Q2'!A10,'Q2 Data'!$D$2:$D$77)</f>
        <v>172.14999999999998</v>
      </c>
      <c r="C10" s="22">
        <f t="shared" si="0"/>
        <v>6.6219354838709474</v>
      </c>
    </row>
    <row r="11" spans="1:3">
      <c r="A11" s="21">
        <v>2023</v>
      </c>
      <c r="B11" s="22">
        <f>AVERAGEIF('Q2 Data'!$B$2:$B$77,'Q2'!A11,'Q2 Data'!$D$2:$D$77)</f>
        <v>177.62</v>
      </c>
      <c r="C11" s="22">
        <f t="shared" si="0"/>
        <v>3.1774615161196791</v>
      </c>
    </row>
    <row r="15" spans="1:3" ht="18">
      <c r="A15" s="127" t="s">
        <v>156</v>
      </c>
    </row>
    <row r="16" spans="1:3">
      <c r="A16" s="126" t="s">
        <v>1</v>
      </c>
      <c r="B16" s="20" t="s">
        <v>95</v>
      </c>
      <c r="C16" s="20" t="s">
        <v>96</v>
      </c>
    </row>
    <row r="17" spans="1:3">
      <c r="A17" s="21">
        <v>2017</v>
      </c>
      <c r="B17" s="22">
        <f>AVERAGEIF('Q2 Data'!$G$2:$G$77,'Q2'!A17,'Q2 Data'!$I$2:$I$77)</f>
        <v>135.6333333333333</v>
      </c>
      <c r="C17" s="21"/>
    </row>
    <row r="18" spans="1:3">
      <c r="A18" s="21">
        <v>2018</v>
      </c>
      <c r="B18" s="22">
        <f>AVERAGEIF('Q2 Data'!$G$2:$G$77,'Q2'!A18,'Q2 Data'!$I$2:$I$77)</f>
        <v>140.73333333333335</v>
      </c>
      <c r="C18" s="22">
        <f>((B18-B17)/B17)*100</f>
        <v>3.7601376259523609</v>
      </c>
    </row>
    <row r="19" spans="1:3">
      <c r="A19" s="21">
        <v>2019</v>
      </c>
      <c r="B19" s="22">
        <f>AVERAGEIF('Q2 Data'!$G$2:$G$77,'Q2'!A19,'Q2 Data'!$I$2:$I$77)</f>
        <v>145.18181818181819</v>
      </c>
      <c r="C19" s="22">
        <f t="shared" ref="C19:C23" si="1">((B19-B18)/B18)*100</f>
        <v>3.1609319150768624</v>
      </c>
    </row>
    <row r="20" spans="1:3">
      <c r="A20" s="21">
        <v>2020</v>
      </c>
      <c r="B20" s="22">
        <f>AVERAGEIF('Q2 Data'!$G$2:$G$77,'Q2'!A20,'Q2 Data'!$I$2:$I$77)</f>
        <v>154.56</v>
      </c>
      <c r="C20" s="22">
        <f t="shared" si="1"/>
        <v>6.4596117720726332</v>
      </c>
    </row>
    <row r="21" spans="1:3">
      <c r="A21" s="21">
        <v>2021</v>
      </c>
      <c r="B21" s="22">
        <f>AVERAGEIF('Q2 Data'!$G$2:$G$77,'Q2'!A21,'Q2 Data'!$I$2:$I$77)</f>
        <v>162.03333333333333</v>
      </c>
      <c r="C21" s="22">
        <f t="shared" si="1"/>
        <v>4.8352311939268438</v>
      </c>
    </row>
    <row r="22" spans="1:3">
      <c r="A22" s="21">
        <v>2022</v>
      </c>
      <c r="B22" s="22">
        <f>AVERAGEIF('Q2 Data'!$G$2:$G$77,'Q2'!A22,'Q2 Data'!$I$2:$I$77)</f>
        <v>173.125</v>
      </c>
      <c r="C22" s="22">
        <f t="shared" si="1"/>
        <v>6.8452993211273423</v>
      </c>
    </row>
    <row r="23" spans="1:3">
      <c r="A23" s="21">
        <v>2023</v>
      </c>
      <c r="B23" s="22">
        <f>AVERAGEIF('Q2 Data'!$G$2:$G$77,'Q2'!A23,'Q2 Data'!$I$2:$I$77)</f>
        <v>178.47999999999996</v>
      </c>
      <c r="C23" s="22">
        <f t="shared" si="1"/>
        <v>3.0931407942238045</v>
      </c>
    </row>
    <row r="26" spans="1:3">
      <c r="C26" s="32"/>
    </row>
    <row r="30" spans="1:3" ht="18">
      <c r="A30" s="127" t="s">
        <v>33</v>
      </c>
    </row>
    <row r="31" spans="1:3">
      <c r="A31" s="126" t="s">
        <v>1</v>
      </c>
      <c r="B31" s="20" t="s">
        <v>95</v>
      </c>
      <c r="C31" s="20" t="s">
        <v>96</v>
      </c>
    </row>
    <row r="32" spans="1:3">
      <c r="A32" s="21">
        <v>2017</v>
      </c>
      <c r="B32" s="22">
        <f>AVERAGEIF('Q2 Data'!$L$2:$L$77,'Q2'!A32,'Q2 Data'!$N$2:$N$77)</f>
        <v>131.02500000000001</v>
      </c>
      <c r="C32" s="21"/>
    </row>
    <row r="33" spans="1:3">
      <c r="A33" s="21">
        <v>2018</v>
      </c>
      <c r="B33" s="22">
        <f>AVERAGEIF('Q2 Data'!$L$2:$L$77,'Q2'!A33,'Q2 Data'!$N$2:$N$77)</f>
        <v>136.5</v>
      </c>
      <c r="C33" s="22">
        <f>((B33-B32)/B32)*100</f>
        <v>4.1785918717801902</v>
      </c>
    </row>
    <row r="34" spans="1:3">
      <c r="A34" s="21">
        <v>2019</v>
      </c>
      <c r="B34" s="22">
        <f>AVERAGEIF('Q2 Data'!$L$2:$L$77,'Q2'!A34,'Q2 Data'!$N$2:$N$77)</f>
        <v>143.01818181818183</v>
      </c>
      <c r="C34" s="22">
        <f t="shared" ref="C34:C38" si="2">((B34-B33)/B33)*100</f>
        <v>4.7752247752247836</v>
      </c>
    </row>
    <row r="35" spans="1:3">
      <c r="A35" s="21">
        <v>2020</v>
      </c>
      <c r="B35" s="22">
        <f>AVERAGEIF('Q2 Data'!$L$2:$L$77,'Q2'!A35,'Q2 Data'!$N$2:$N$77)</f>
        <v>152.05000000000001</v>
      </c>
      <c r="C35" s="22">
        <f t="shared" si="2"/>
        <v>6.3151538265954734</v>
      </c>
    </row>
    <row r="36" spans="1:3">
      <c r="A36" s="21">
        <v>2021</v>
      </c>
      <c r="B36" s="22">
        <f>AVERAGEIF('Q2 Data'!$L$2:$L$77,'Q2'!A36,'Q2 Data'!$N$2:$N$77)</f>
        <v>160.7583333333333</v>
      </c>
      <c r="C36" s="22">
        <f t="shared" si="2"/>
        <v>5.7272826920968658</v>
      </c>
    </row>
    <row r="37" spans="1:3">
      <c r="A37" s="21">
        <v>2022</v>
      </c>
      <c r="B37" s="22">
        <f>AVERAGEIF('Q2 Data'!$L$2:$L$77,'Q2'!A37,'Q2 Data'!$N$2:$N$77)</f>
        <v>170.94999999999996</v>
      </c>
      <c r="C37" s="22">
        <f t="shared" si="2"/>
        <v>6.3397439220361811</v>
      </c>
    </row>
    <row r="38" spans="1:3">
      <c r="A38" s="21">
        <v>2023</v>
      </c>
      <c r="B38" s="22">
        <f>AVERAGEIF('Q2 Data'!$L$2:$L$77,'Q2'!A38,'Q2 Data'!$N$2:$N$77)</f>
        <v>176.61999999999998</v>
      </c>
      <c r="C38" s="22">
        <f t="shared" si="2"/>
        <v>3.3167592863410458</v>
      </c>
    </row>
    <row r="40" spans="1:3">
      <c r="C40" s="118">
        <f>AVERAGE(C33:C38)</f>
        <v>5.1087927290124231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77"/>
  <sheetViews>
    <sheetView topLeftCell="A55" workbookViewId="0">
      <selection activeCell="K1" sqref="K1:N1048576"/>
    </sheetView>
  </sheetViews>
  <sheetFormatPr defaultRowHeight="14.4"/>
  <cols>
    <col min="1" max="1" width="11.88671875" bestFit="1" customWidth="1"/>
    <col min="2" max="2" width="7.109375" bestFit="1" customWidth="1"/>
    <col min="3" max="3" width="10.88671875" bestFit="1" customWidth="1"/>
    <col min="4" max="4" width="15.88671875" bestFit="1" customWidth="1"/>
    <col min="6" max="6" width="6.5546875" bestFit="1" customWidth="1"/>
    <col min="7" max="7" width="5" bestFit="1" customWidth="1"/>
    <col min="8" max="8" width="10.88671875" bestFit="1" customWidth="1"/>
    <col min="9" max="9" width="13.5546875" bestFit="1" customWidth="1"/>
    <col min="11" max="11" width="6.5546875" bestFit="1" customWidth="1"/>
    <col min="12" max="12" width="5" bestFit="1" customWidth="1"/>
    <col min="13" max="13" width="10.88671875" bestFit="1" customWidth="1"/>
    <col min="14" max="14" width="13.5546875" bestFit="1" customWidth="1"/>
  </cols>
  <sheetData>
    <row r="1" spans="1:14">
      <c r="A1" s="12" t="s">
        <v>0</v>
      </c>
      <c r="B1" s="12" t="s">
        <v>1</v>
      </c>
      <c r="C1" s="12" t="s">
        <v>2</v>
      </c>
      <c r="D1" s="12" t="s">
        <v>29</v>
      </c>
      <c r="F1" s="21" t="s">
        <v>0</v>
      </c>
      <c r="G1" s="21" t="s">
        <v>1</v>
      </c>
      <c r="H1" s="21" t="s">
        <v>2</v>
      </c>
      <c r="I1" s="21" t="s">
        <v>29</v>
      </c>
      <c r="K1" s="21" t="s">
        <v>0</v>
      </c>
      <c r="L1" s="21" t="s">
        <v>1</v>
      </c>
      <c r="M1" s="21" t="s">
        <v>2</v>
      </c>
      <c r="N1" s="21" t="s">
        <v>29</v>
      </c>
    </row>
    <row r="2" spans="1:14">
      <c r="A2" s="12" t="s">
        <v>34</v>
      </c>
      <c r="B2" s="12">
        <v>2017</v>
      </c>
      <c r="C2" s="12" t="s">
        <v>31</v>
      </c>
      <c r="D2" s="12">
        <v>130.30000000000001</v>
      </c>
      <c r="F2" s="21" t="s">
        <v>30</v>
      </c>
      <c r="G2" s="26">
        <v>2017</v>
      </c>
      <c r="H2" s="21" t="s">
        <v>31</v>
      </c>
      <c r="I2" s="21">
        <v>132.4</v>
      </c>
      <c r="K2" s="21" t="s">
        <v>33</v>
      </c>
      <c r="L2" s="26">
        <v>2017</v>
      </c>
      <c r="M2" s="21" t="s">
        <v>31</v>
      </c>
      <c r="N2" s="21">
        <v>127.8</v>
      </c>
    </row>
    <row r="3" spans="1:14">
      <c r="A3" s="12" t="s">
        <v>34</v>
      </c>
      <c r="B3" s="12">
        <v>2017</v>
      </c>
      <c r="C3" s="12" t="s">
        <v>35</v>
      </c>
      <c r="D3" s="12">
        <v>130.6</v>
      </c>
      <c r="F3" s="21" t="s">
        <v>30</v>
      </c>
      <c r="G3" s="26">
        <v>2017</v>
      </c>
      <c r="H3" s="21" t="s">
        <v>35</v>
      </c>
      <c r="I3" s="21">
        <v>132.6</v>
      </c>
      <c r="K3" s="21" t="s">
        <v>33</v>
      </c>
      <c r="L3" s="26">
        <v>2017</v>
      </c>
      <c r="M3" s="21" t="s">
        <v>35</v>
      </c>
      <c r="N3" s="21">
        <v>128.19999999999999</v>
      </c>
    </row>
    <row r="4" spans="1:14">
      <c r="A4" s="12" t="s">
        <v>34</v>
      </c>
      <c r="B4" s="12">
        <v>2017</v>
      </c>
      <c r="C4" s="12" t="s">
        <v>36</v>
      </c>
      <c r="D4" s="12">
        <v>130.9</v>
      </c>
      <c r="F4" s="21" t="s">
        <v>30</v>
      </c>
      <c r="G4" s="26">
        <v>2017</v>
      </c>
      <c r="H4" s="21" t="s">
        <v>36</v>
      </c>
      <c r="I4" s="21">
        <v>132.80000000000001</v>
      </c>
      <c r="K4" s="21" t="s">
        <v>33</v>
      </c>
      <c r="L4" s="26">
        <v>2017</v>
      </c>
      <c r="M4" s="21" t="s">
        <v>36</v>
      </c>
      <c r="N4" s="21">
        <v>128.69999999999999</v>
      </c>
    </row>
    <row r="5" spans="1:14">
      <c r="A5" s="12" t="s">
        <v>34</v>
      </c>
      <c r="B5" s="12">
        <v>2017</v>
      </c>
      <c r="C5" s="12" t="s">
        <v>37</v>
      </c>
      <c r="D5" s="12">
        <v>131.1</v>
      </c>
      <c r="F5" s="21" t="s">
        <v>30</v>
      </c>
      <c r="G5" s="26">
        <v>2017</v>
      </c>
      <c r="H5" s="21" t="s">
        <v>37</v>
      </c>
      <c r="I5" s="21">
        <v>132.9</v>
      </c>
      <c r="K5" s="21" t="s">
        <v>33</v>
      </c>
      <c r="L5" s="26">
        <v>2017</v>
      </c>
      <c r="M5" s="21" t="s">
        <v>37</v>
      </c>
      <c r="N5" s="21">
        <v>129.1</v>
      </c>
    </row>
    <row r="6" spans="1:14">
      <c r="A6" s="12" t="s">
        <v>34</v>
      </c>
      <c r="B6" s="12">
        <v>2017</v>
      </c>
      <c r="C6" s="12" t="s">
        <v>38</v>
      </c>
      <c r="D6" s="12">
        <v>131.4</v>
      </c>
      <c r="F6" s="21" t="s">
        <v>30</v>
      </c>
      <c r="G6" s="26">
        <v>2017</v>
      </c>
      <c r="H6" s="21" t="s">
        <v>38</v>
      </c>
      <c r="I6" s="21">
        <v>133.30000000000001</v>
      </c>
      <c r="K6" s="21" t="s">
        <v>33</v>
      </c>
      <c r="L6" s="26">
        <v>2017</v>
      </c>
      <c r="M6" s="21" t="s">
        <v>38</v>
      </c>
      <c r="N6" s="21">
        <v>129.30000000000001</v>
      </c>
    </row>
    <row r="7" spans="1:14">
      <c r="A7" s="12" t="s">
        <v>34</v>
      </c>
      <c r="B7" s="12">
        <v>2017</v>
      </c>
      <c r="C7" s="12" t="s">
        <v>39</v>
      </c>
      <c r="D7" s="12">
        <v>132</v>
      </c>
      <c r="F7" s="21" t="s">
        <v>30</v>
      </c>
      <c r="G7" s="26">
        <v>2017</v>
      </c>
      <c r="H7" s="21" t="s">
        <v>39</v>
      </c>
      <c r="I7" s="21">
        <v>133.9</v>
      </c>
      <c r="K7" s="21" t="s">
        <v>33</v>
      </c>
      <c r="L7" s="26">
        <v>2017</v>
      </c>
      <c r="M7" s="21" t="s">
        <v>39</v>
      </c>
      <c r="N7" s="21">
        <v>129.9</v>
      </c>
    </row>
    <row r="8" spans="1:14">
      <c r="A8" s="12" t="s">
        <v>34</v>
      </c>
      <c r="B8" s="12">
        <v>2017</v>
      </c>
      <c r="C8" s="12" t="s">
        <v>40</v>
      </c>
      <c r="D8" s="12">
        <v>134.19999999999999</v>
      </c>
      <c r="F8" s="21" t="s">
        <v>30</v>
      </c>
      <c r="G8" s="26">
        <v>2017</v>
      </c>
      <c r="H8" s="21" t="s">
        <v>40</v>
      </c>
      <c r="I8" s="21">
        <v>136.19999999999999</v>
      </c>
      <c r="K8" s="21" t="s">
        <v>33</v>
      </c>
      <c r="L8" s="26">
        <v>2017</v>
      </c>
      <c r="M8" s="21" t="s">
        <v>40</v>
      </c>
      <c r="N8" s="21">
        <v>131.80000000000001</v>
      </c>
    </row>
    <row r="9" spans="1:14">
      <c r="A9" s="12" t="s">
        <v>34</v>
      </c>
      <c r="B9" s="12">
        <v>2017</v>
      </c>
      <c r="C9" s="12" t="s">
        <v>41</v>
      </c>
      <c r="D9" s="12">
        <v>135.4</v>
      </c>
      <c r="F9" s="21" t="s">
        <v>30</v>
      </c>
      <c r="G9" s="26">
        <v>2017</v>
      </c>
      <c r="H9" s="21" t="s">
        <v>41</v>
      </c>
      <c r="I9" s="21">
        <v>137.80000000000001</v>
      </c>
      <c r="K9" s="21" t="s">
        <v>33</v>
      </c>
      <c r="L9" s="26">
        <v>2017</v>
      </c>
      <c r="M9" s="21" t="s">
        <v>41</v>
      </c>
      <c r="N9" s="21">
        <v>132.69999999999999</v>
      </c>
    </row>
    <row r="10" spans="1:14">
      <c r="A10" s="12" t="s">
        <v>34</v>
      </c>
      <c r="B10" s="12">
        <v>2017</v>
      </c>
      <c r="C10" s="12" t="s">
        <v>42</v>
      </c>
      <c r="D10" s="12">
        <v>135.19999999999999</v>
      </c>
      <c r="F10" s="21" t="s">
        <v>30</v>
      </c>
      <c r="G10" s="26">
        <v>2017</v>
      </c>
      <c r="H10" s="21" t="s">
        <v>42</v>
      </c>
      <c r="I10" s="21">
        <v>137.6</v>
      </c>
      <c r="K10" s="21" t="s">
        <v>33</v>
      </c>
      <c r="L10" s="26">
        <v>2017</v>
      </c>
      <c r="M10" s="21" t="s">
        <v>42</v>
      </c>
      <c r="N10" s="21">
        <v>132.4</v>
      </c>
    </row>
    <row r="11" spans="1:14">
      <c r="A11" s="12" t="s">
        <v>34</v>
      </c>
      <c r="B11" s="12">
        <v>2017</v>
      </c>
      <c r="C11" s="12" t="s">
        <v>43</v>
      </c>
      <c r="D11" s="12">
        <v>136.1</v>
      </c>
      <c r="F11" s="21" t="s">
        <v>30</v>
      </c>
      <c r="G11" s="26">
        <v>2017</v>
      </c>
      <c r="H11" s="21" t="s">
        <v>43</v>
      </c>
      <c r="I11" s="21">
        <v>138.30000000000001</v>
      </c>
      <c r="K11" s="21" t="s">
        <v>33</v>
      </c>
      <c r="L11" s="26">
        <v>2017</v>
      </c>
      <c r="M11" s="21" t="s">
        <v>43</v>
      </c>
      <c r="N11" s="21">
        <v>133.5</v>
      </c>
    </row>
    <row r="12" spans="1:14">
      <c r="A12" s="12" t="s">
        <v>34</v>
      </c>
      <c r="B12" s="12">
        <v>2017</v>
      </c>
      <c r="C12" s="12" t="s">
        <v>45</v>
      </c>
      <c r="D12" s="12">
        <v>137.6</v>
      </c>
      <c r="F12" s="21" t="s">
        <v>30</v>
      </c>
      <c r="G12" s="26">
        <v>2017</v>
      </c>
      <c r="H12" s="21" t="s">
        <v>45</v>
      </c>
      <c r="I12" s="21">
        <v>140</v>
      </c>
      <c r="K12" s="21" t="s">
        <v>33</v>
      </c>
      <c r="L12" s="26">
        <v>2017</v>
      </c>
      <c r="M12" s="21" t="s">
        <v>45</v>
      </c>
      <c r="N12" s="21">
        <v>134.80000000000001</v>
      </c>
    </row>
    <row r="13" spans="1:14">
      <c r="A13" s="12" t="s">
        <v>34</v>
      </c>
      <c r="B13" s="12">
        <v>2017</v>
      </c>
      <c r="C13" s="12" t="s">
        <v>46</v>
      </c>
      <c r="D13" s="12">
        <v>137.19999999999999</v>
      </c>
      <c r="F13" s="21" t="s">
        <v>30</v>
      </c>
      <c r="G13" s="26">
        <v>2017</v>
      </c>
      <c r="H13" s="21" t="s">
        <v>46</v>
      </c>
      <c r="I13" s="21">
        <v>139.80000000000001</v>
      </c>
      <c r="K13" s="21" t="s">
        <v>33</v>
      </c>
      <c r="L13" s="26">
        <v>2017</v>
      </c>
      <c r="M13" s="21" t="s">
        <v>46</v>
      </c>
      <c r="N13" s="21">
        <v>134.1</v>
      </c>
    </row>
    <row r="14" spans="1:14">
      <c r="A14" s="12" t="s">
        <v>34</v>
      </c>
      <c r="B14" s="12">
        <v>2018</v>
      </c>
      <c r="C14" s="12" t="s">
        <v>31</v>
      </c>
      <c r="D14" s="12">
        <v>136.9</v>
      </c>
      <c r="F14" s="21" t="s">
        <v>30</v>
      </c>
      <c r="G14" s="26">
        <v>2018</v>
      </c>
      <c r="H14" s="21" t="s">
        <v>31</v>
      </c>
      <c r="I14" s="21">
        <v>139.30000000000001</v>
      </c>
      <c r="K14" s="21" t="s">
        <v>33</v>
      </c>
      <c r="L14" s="26">
        <v>2018</v>
      </c>
      <c r="M14" s="21" t="s">
        <v>31</v>
      </c>
      <c r="N14" s="21">
        <v>134.1</v>
      </c>
    </row>
    <row r="15" spans="1:14">
      <c r="A15" s="12" t="s">
        <v>34</v>
      </c>
      <c r="B15" s="12">
        <v>2018</v>
      </c>
      <c r="C15" s="12" t="s">
        <v>35</v>
      </c>
      <c r="D15" s="12">
        <v>136.4</v>
      </c>
      <c r="F15" s="21" t="s">
        <v>30</v>
      </c>
      <c r="G15" s="26">
        <v>2018</v>
      </c>
      <c r="H15" s="21" t="s">
        <v>35</v>
      </c>
      <c r="I15" s="21">
        <v>138.5</v>
      </c>
      <c r="K15" s="21" t="s">
        <v>33</v>
      </c>
      <c r="L15" s="26">
        <v>2018</v>
      </c>
      <c r="M15" s="21" t="s">
        <v>35</v>
      </c>
      <c r="N15" s="21">
        <v>134</v>
      </c>
    </row>
    <row r="16" spans="1:14">
      <c r="A16" s="12" t="s">
        <v>34</v>
      </c>
      <c r="B16" s="12">
        <v>2018</v>
      </c>
      <c r="C16" s="12" t="s">
        <v>36</v>
      </c>
      <c r="D16" s="12">
        <v>136.5</v>
      </c>
      <c r="F16" s="21" t="s">
        <v>30</v>
      </c>
      <c r="G16" s="26">
        <v>2018</v>
      </c>
      <c r="H16" s="21" t="s">
        <v>36</v>
      </c>
      <c r="I16" s="21">
        <v>138.69999999999999</v>
      </c>
      <c r="K16" s="21" t="s">
        <v>33</v>
      </c>
      <c r="L16" s="26">
        <v>2018</v>
      </c>
      <c r="M16" s="21" t="s">
        <v>36</v>
      </c>
      <c r="N16" s="21">
        <v>134</v>
      </c>
    </row>
    <row r="17" spans="1:14">
      <c r="A17" s="12" t="s">
        <v>34</v>
      </c>
      <c r="B17" s="12">
        <v>2018</v>
      </c>
      <c r="C17" s="12" t="s">
        <v>37</v>
      </c>
      <c r="D17" s="12">
        <v>137.1</v>
      </c>
      <c r="F17" s="21" t="s">
        <v>30</v>
      </c>
      <c r="G17" s="26">
        <v>2018</v>
      </c>
      <c r="H17" s="21" t="s">
        <v>37</v>
      </c>
      <c r="I17" s="21">
        <v>139.1</v>
      </c>
      <c r="K17" s="21" t="s">
        <v>33</v>
      </c>
      <c r="L17" s="26">
        <v>2018</v>
      </c>
      <c r="M17" s="21" t="s">
        <v>37</v>
      </c>
      <c r="N17" s="21">
        <v>134.80000000000001</v>
      </c>
    </row>
    <row r="18" spans="1:14">
      <c r="A18" s="12" t="s">
        <v>34</v>
      </c>
      <c r="B18" s="12">
        <v>2018</v>
      </c>
      <c r="C18" s="12" t="s">
        <v>38</v>
      </c>
      <c r="D18" s="12">
        <v>137.80000000000001</v>
      </c>
      <c r="F18" s="21" t="s">
        <v>30</v>
      </c>
      <c r="G18" s="26">
        <v>2018</v>
      </c>
      <c r="H18" s="21" t="s">
        <v>38</v>
      </c>
      <c r="I18" s="21">
        <v>139.80000000000001</v>
      </c>
      <c r="K18" s="21" t="s">
        <v>33</v>
      </c>
      <c r="L18" s="26">
        <v>2018</v>
      </c>
      <c r="M18" s="21" t="s">
        <v>38</v>
      </c>
      <c r="N18" s="21">
        <v>135.4</v>
      </c>
    </row>
    <row r="19" spans="1:14">
      <c r="A19" s="12" t="s">
        <v>34</v>
      </c>
      <c r="B19" s="12">
        <v>2018</v>
      </c>
      <c r="C19" s="12" t="s">
        <v>39</v>
      </c>
      <c r="D19" s="12">
        <v>138.5</v>
      </c>
      <c r="F19" s="21" t="s">
        <v>30</v>
      </c>
      <c r="G19" s="26">
        <v>2018</v>
      </c>
      <c r="H19" s="21" t="s">
        <v>39</v>
      </c>
      <c r="I19" s="21">
        <v>140.5</v>
      </c>
      <c r="K19" s="21" t="s">
        <v>33</v>
      </c>
      <c r="L19" s="26">
        <v>2018</v>
      </c>
      <c r="M19" s="21" t="s">
        <v>39</v>
      </c>
      <c r="N19" s="21">
        <v>136.19999999999999</v>
      </c>
    </row>
    <row r="20" spans="1:14">
      <c r="A20" s="12" t="s">
        <v>34</v>
      </c>
      <c r="B20" s="12">
        <v>2018</v>
      </c>
      <c r="C20" s="12" t="s">
        <v>40</v>
      </c>
      <c r="D20" s="12">
        <v>139.80000000000001</v>
      </c>
      <c r="F20" s="21" t="s">
        <v>30</v>
      </c>
      <c r="G20" s="26">
        <v>2018</v>
      </c>
      <c r="H20" s="21" t="s">
        <v>40</v>
      </c>
      <c r="I20" s="21">
        <v>141.80000000000001</v>
      </c>
      <c r="K20" s="21" t="s">
        <v>33</v>
      </c>
      <c r="L20" s="26">
        <v>2018</v>
      </c>
      <c r="M20" s="21" t="s">
        <v>40</v>
      </c>
      <c r="N20" s="21">
        <v>137.5</v>
      </c>
    </row>
    <row r="21" spans="1:14">
      <c r="A21" s="12" t="s">
        <v>34</v>
      </c>
      <c r="B21" s="12">
        <v>2018</v>
      </c>
      <c r="C21" s="12" t="s">
        <v>41</v>
      </c>
      <c r="D21" s="12">
        <v>140.4</v>
      </c>
      <c r="F21" s="21" t="s">
        <v>30</v>
      </c>
      <c r="G21" s="26">
        <v>2018</v>
      </c>
      <c r="H21" s="21" t="s">
        <v>41</v>
      </c>
      <c r="I21" s="21">
        <v>142.5</v>
      </c>
      <c r="K21" s="21" t="s">
        <v>33</v>
      </c>
      <c r="L21" s="26">
        <v>2018</v>
      </c>
      <c r="M21" s="21" t="s">
        <v>41</v>
      </c>
      <c r="N21" s="21">
        <v>138</v>
      </c>
    </row>
    <row r="22" spans="1:14">
      <c r="A22" s="12" t="s">
        <v>34</v>
      </c>
      <c r="B22" s="12">
        <v>2018</v>
      </c>
      <c r="C22" s="12" t="s">
        <v>42</v>
      </c>
      <c r="D22" s="12">
        <v>140.19999999999999</v>
      </c>
      <c r="F22" s="21" t="s">
        <v>30</v>
      </c>
      <c r="G22" s="26">
        <v>2018</v>
      </c>
      <c r="H22" s="21" t="s">
        <v>42</v>
      </c>
      <c r="I22" s="21">
        <v>142.1</v>
      </c>
      <c r="K22" s="21" t="s">
        <v>33</v>
      </c>
      <c r="L22" s="26">
        <v>2018</v>
      </c>
      <c r="M22" s="21" t="s">
        <v>42</v>
      </c>
      <c r="N22" s="21">
        <v>138.1</v>
      </c>
    </row>
    <row r="23" spans="1:14">
      <c r="A23" s="12" t="s">
        <v>34</v>
      </c>
      <c r="B23" s="12">
        <v>2018</v>
      </c>
      <c r="C23" s="12" t="s">
        <v>43</v>
      </c>
      <c r="D23" s="12">
        <v>140.80000000000001</v>
      </c>
      <c r="F23" s="21" t="s">
        <v>30</v>
      </c>
      <c r="G23" s="26">
        <v>2018</v>
      </c>
      <c r="H23" s="21" t="s">
        <v>43</v>
      </c>
      <c r="I23" s="21">
        <v>142.19999999999999</v>
      </c>
      <c r="K23" s="21" t="s">
        <v>33</v>
      </c>
      <c r="L23" s="26">
        <v>2018</v>
      </c>
      <c r="M23" s="21" t="s">
        <v>43</v>
      </c>
      <c r="N23" s="21">
        <v>138.9</v>
      </c>
    </row>
    <row r="24" spans="1:14">
      <c r="A24" s="12" t="s">
        <v>34</v>
      </c>
      <c r="B24" s="12">
        <v>2018</v>
      </c>
      <c r="C24" s="12" t="s">
        <v>45</v>
      </c>
      <c r="D24" s="12">
        <v>140.80000000000001</v>
      </c>
      <c r="F24" s="21" t="s">
        <v>30</v>
      </c>
      <c r="G24" s="26">
        <v>2018</v>
      </c>
      <c r="H24" s="21" t="s">
        <v>45</v>
      </c>
      <c r="I24" s="21">
        <v>142.4</v>
      </c>
      <c r="K24" s="21" t="s">
        <v>33</v>
      </c>
      <c r="L24" s="26">
        <v>2018</v>
      </c>
      <c r="M24" s="21" t="s">
        <v>45</v>
      </c>
      <c r="N24" s="21">
        <v>139</v>
      </c>
    </row>
    <row r="25" spans="1:14">
      <c r="A25" s="12" t="s">
        <v>34</v>
      </c>
      <c r="B25" s="12">
        <v>2018</v>
      </c>
      <c r="C25" s="12" t="s">
        <v>46</v>
      </c>
      <c r="D25" s="12">
        <v>140.1</v>
      </c>
      <c r="F25" s="21" t="s">
        <v>30</v>
      </c>
      <c r="G25" s="26">
        <v>2018</v>
      </c>
      <c r="H25" s="21" t="s">
        <v>46</v>
      </c>
      <c r="I25" s="21">
        <v>141.9</v>
      </c>
      <c r="K25" s="21" t="s">
        <v>33</v>
      </c>
      <c r="L25" s="26">
        <v>2018</v>
      </c>
      <c r="M25" s="21" t="s">
        <v>46</v>
      </c>
      <c r="N25" s="21">
        <v>138</v>
      </c>
    </row>
    <row r="26" spans="1:14">
      <c r="A26" s="12" t="s">
        <v>34</v>
      </c>
      <c r="B26" s="12">
        <v>2019</v>
      </c>
      <c r="C26" s="12" t="s">
        <v>31</v>
      </c>
      <c r="D26" s="12">
        <v>139.6</v>
      </c>
      <c r="F26" s="21" t="s">
        <v>30</v>
      </c>
      <c r="G26" s="26">
        <v>2019</v>
      </c>
      <c r="H26" s="21" t="s">
        <v>31</v>
      </c>
      <c r="I26" s="21">
        <v>141</v>
      </c>
      <c r="K26" s="21" t="s">
        <v>33</v>
      </c>
      <c r="L26" s="26">
        <v>2019</v>
      </c>
      <c r="M26" s="21" t="s">
        <v>31</v>
      </c>
      <c r="N26" s="21">
        <v>138</v>
      </c>
    </row>
    <row r="27" spans="1:14">
      <c r="A27" s="12" t="s">
        <v>34</v>
      </c>
      <c r="B27" s="12">
        <v>2019</v>
      </c>
      <c r="C27" s="12" t="s">
        <v>35</v>
      </c>
      <c r="D27" s="12">
        <v>139.9</v>
      </c>
      <c r="F27" s="21" t="s">
        <v>30</v>
      </c>
      <c r="G27" s="26">
        <v>2019</v>
      </c>
      <c r="H27" s="21" t="s">
        <v>35</v>
      </c>
      <c r="I27" s="21">
        <v>141</v>
      </c>
      <c r="K27" s="21" t="s">
        <v>33</v>
      </c>
      <c r="L27" s="26">
        <v>2019</v>
      </c>
      <c r="M27" s="21" t="s">
        <v>35</v>
      </c>
      <c r="N27" s="21">
        <v>138.6</v>
      </c>
    </row>
    <row r="28" spans="1:14">
      <c r="A28" s="12" t="s">
        <v>34</v>
      </c>
      <c r="B28" s="12">
        <v>2019</v>
      </c>
      <c r="C28" s="12" t="s">
        <v>36</v>
      </c>
      <c r="D28" s="12">
        <v>140.4</v>
      </c>
      <c r="F28" s="21" t="s">
        <v>30</v>
      </c>
      <c r="G28" s="26">
        <v>2019</v>
      </c>
      <c r="H28" s="21" t="s">
        <v>36</v>
      </c>
      <c r="I28" s="21">
        <v>141.19999999999999</v>
      </c>
      <c r="K28" s="21" t="s">
        <v>33</v>
      </c>
      <c r="L28" s="26">
        <v>2019</v>
      </c>
      <c r="M28" s="21" t="s">
        <v>36</v>
      </c>
      <c r="N28" s="21">
        <v>139.5</v>
      </c>
    </row>
    <row r="29" spans="1:14">
      <c r="A29" s="12" t="s">
        <v>34</v>
      </c>
      <c r="B29" s="12">
        <v>2019</v>
      </c>
      <c r="C29" s="12" t="s">
        <v>38</v>
      </c>
      <c r="D29" s="12">
        <v>142</v>
      </c>
      <c r="F29" s="21" t="s">
        <v>30</v>
      </c>
      <c r="G29" s="26">
        <v>2019</v>
      </c>
      <c r="H29" s="21" t="s">
        <v>38</v>
      </c>
      <c r="I29" s="21">
        <v>142.4</v>
      </c>
      <c r="K29" s="21" t="s">
        <v>33</v>
      </c>
      <c r="L29" s="26">
        <v>2019</v>
      </c>
      <c r="M29" s="21" t="s">
        <v>38</v>
      </c>
      <c r="N29" s="21">
        <v>141.5</v>
      </c>
    </row>
    <row r="30" spans="1:14">
      <c r="A30" s="12" t="s">
        <v>34</v>
      </c>
      <c r="B30" s="12">
        <v>2019</v>
      </c>
      <c r="C30" s="12" t="s">
        <v>39</v>
      </c>
      <c r="D30" s="12">
        <v>142.9</v>
      </c>
      <c r="F30" s="21" t="s">
        <v>30</v>
      </c>
      <c r="G30" s="26">
        <v>2019</v>
      </c>
      <c r="H30" s="21" t="s">
        <v>39</v>
      </c>
      <c r="I30" s="21">
        <v>143.6</v>
      </c>
      <c r="K30" s="21" t="s">
        <v>33</v>
      </c>
      <c r="L30" s="26">
        <v>2019</v>
      </c>
      <c r="M30" s="21" t="s">
        <v>39</v>
      </c>
      <c r="N30" s="21">
        <v>142.1</v>
      </c>
    </row>
    <row r="31" spans="1:14">
      <c r="A31" s="12" t="s">
        <v>34</v>
      </c>
      <c r="B31" s="12">
        <v>2019</v>
      </c>
      <c r="C31" s="12" t="s">
        <v>40</v>
      </c>
      <c r="D31" s="12">
        <v>144.19999999999999</v>
      </c>
      <c r="F31" s="21" t="s">
        <v>30</v>
      </c>
      <c r="G31" s="26">
        <v>2019</v>
      </c>
      <c r="H31" s="21" t="s">
        <v>40</v>
      </c>
      <c r="I31" s="21">
        <v>144.9</v>
      </c>
      <c r="K31" s="21" t="s">
        <v>33</v>
      </c>
      <c r="L31" s="26">
        <v>2019</v>
      </c>
      <c r="M31" s="21" t="s">
        <v>40</v>
      </c>
      <c r="N31" s="21">
        <v>143.30000000000001</v>
      </c>
    </row>
    <row r="32" spans="1:14">
      <c r="A32" s="12" t="s">
        <v>34</v>
      </c>
      <c r="B32" s="12">
        <v>2019</v>
      </c>
      <c r="C32" s="12" t="s">
        <v>41</v>
      </c>
      <c r="D32" s="12">
        <v>145</v>
      </c>
      <c r="F32" s="21" t="s">
        <v>30</v>
      </c>
      <c r="G32" s="26">
        <v>2019</v>
      </c>
      <c r="H32" s="21" t="s">
        <v>41</v>
      </c>
      <c r="I32" s="21">
        <v>145.69999999999999</v>
      </c>
      <c r="K32" s="21" t="s">
        <v>33</v>
      </c>
      <c r="L32" s="26">
        <v>2019</v>
      </c>
      <c r="M32" s="21" t="s">
        <v>41</v>
      </c>
      <c r="N32" s="21">
        <v>144.19999999999999</v>
      </c>
    </row>
    <row r="33" spans="1:14">
      <c r="A33" s="12" t="s">
        <v>34</v>
      </c>
      <c r="B33" s="12">
        <v>2019</v>
      </c>
      <c r="C33" s="12" t="s">
        <v>42</v>
      </c>
      <c r="D33" s="12">
        <v>145.80000000000001</v>
      </c>
      <c r="F33" s="21" t="s">
        <v>30</v>
      </c>
      <c r="G33" s="26">
        <v>2019</v>
      </c>
      <c r="H33" s="21" t="s">
        <v>42</v>
      </c>
      <c r="I33" s="21">
        <v>146.69999999999999</v>
      </c>
      <c r="K33" s="21" t="s">
        <v>33</v>
      </c>
      <c r="L33" s="26">
        <v>2019</v>
      </c>
      <c r="M33" s="21" t="s">
        <v>42</v>
      </c>
      <c r="N33" s="21">
        <v>144.69999999999999</v>
      </c>
    </row>
    <row r="34" spans="1:14">
      <c r="A34" s="12" t="s">
        <v>34</v>
      </c>
      <c r="B34" s="12">
        <v>2019</v>
      </c>
      <c r="C34" s="12" t="s">
        <v>43</v>
      </c>
      <c r="D34" s="12">
        <v>147.19999999999999</v>
      </c>
      <c r="F34" s="21" t="s">
        <v>30</v>
      </c>
      <c r="G34" s="26">
        <v>2019</v>
      </c>
      <c r="H34" s="21" t="s">
        <v>43</v>
      </c>
      <c r="I34" s="21">
        <v>148.30000000000001</v>
      </c>
      <c r="K34" s="21" t="s">
        <v>33</v>
      </c>
      <c r="L34" s="26">
        <v>2019</v>
      </c>
      <c r="M34" s="21" t="s">
        <v>43</v>
      </c>
      <c r="N34" s="21">
        <v>146</v>
      </c>
    </row>
    <row r="35" spans="1:14">
      <c r="A35" s="12" t="s">
        <v>34</v>
      </c>
      <c r="B35" s="12">
        <v>2019</v>
      </c>
      <c r="C35" s="12" t="s">
        <v>45</v>
      </c>
      <c r="D35" s="12">
        <v>148.6</v>
      </c>
      <c r="F35" s="21" t="s">
        <v>30</v>
      </c>
      <c r="G35" s="26">
        <v>2019</v>
      </c>
      <c r="H35" s="21" t="s">
        <v>45</v>
      </c>
      <c r="I35" s="21">
        <v>149.9</v>
      </c>
      <c r="K35" s="21" t="s">
        <v>33</v>
      </c>
      <c r="L35" s="26">
        <v>2019</v>
      </c>
      <c r="M35" s="21" t="s">
        <v>45</v>
      </c>
      <c r="N35" s="21">
        <v>147</v>
      </c>
    </row>
    <row r="36" spans="1:14">
      <c r="A36" s="12" t="s">
        <v>34</v>
      </c>
      <c r="B36" s="12">
        <v>2019</v>
      </c>
      <c r="C36" s="12" t="s">
        <v>46</v>
      </c>
      <c r="D36" s="12">
        <v>150.4</v>
      </c>
      <c r="F36" s="21" t="s">
        <v>30</v>
      </c>
      <c r="G36" s="26">
        <v>2019</v>
      </c>
      <c r="H36" s="21" t="s">
        <v>46</v>
      </c>
      <c r="I36" s="21">
        <v>152.30000000000001</v>
      </c>
      <c r="K36" s="21" t="s">
        <v>33</v>
      </c>
      <c r="L36" s="26">
        <v>2019</v>
      </c>
      <c r="M36" s="21" t="s">
        <v>46</v>
      </c>
      <c r="N36" s="21">
        <v>148.30000000000001</v>
      </c>
    </row>
    <row r="37" spans="1:14">
      <c r="A37" s="12" t="s">
        <v>34</v>
      </c>
      <c r="B37" s="12">
        <v>2020</v>
      </c>
      <c r="C37" s="12" t="s">
        <v>31</v>
      </c>
      <c r="D37" s="12">
        <v>150.19999999999999</v>
      </c>
      <c r="F37" s="21" t="s">
        <v>30</v>
      </c>
      <c r="G37" s="26">
        <v>2020</v>
      </c>
      <c r="H37" s="21" t="s">
        <v>31</v>
      </c>
      <c r="I37" s="21">
        <v>151.9</v>
      </c>
      <c r="K37" s="21" t="s">
        <v>33</v>
      </c>
      <c r="L37" s="26">
        <v>2020</v>
      </c>
      <c r="M37" s="21" t="s">
        <v>31</v>
      </c>
      <c r="N37" s="21">
        <v>148.19999999999999</v>
      </c>
    </row>
    <row r="38" spans="1:14">
      <c r="A38" s="12" t="s">
        <v>34</v>
      </c>
      <c r="B38" s="12">
        <v>2020</v>
      </c>
      <c r="C38" s="12" t="s">
        <v>35</v>
      </c>
      <c r="D38" s="12">
        <v>149.1</v>
      </c>
      <c r="F38" s="21" t="s">
        <v>30</v>
      </c>
      <c r="G38" s="26">
        <v>2020</v>
      </c>
      <c r="H38" s="21" t="s">
        <v>35</v>
      </c>
      <c r="I38" s="21">
        <v>150.4</v>
      </c>
      <c r="K38" s="21" t="s">
        <v>33</v>
      </c>
      <c r="L38" s="26">
        <v>2020</v>
      </c>
      <c r="M38" s="21" t="s">
        <v>35</v>
      </c>
      <c r="N38" s="21">
        <v>147.69999999999999</v>
      </c>
    </row>
    <row r="39" spans="1:14">
      <c r="A39" s="12" t="s">
        <v>34</v>
      </c>
      <c r="B39" s="12">
        <v>2020</v>
      </c>
      <c r="C39" s="12" t="s">
        <v>36</v>
      </c>
      <c r="D39" s="12">
        <v>148.6</v>
      </c>
      <c r="F39" s="21" t="s">
        <v>30</v>
      </c>
      <c r="G39" s="26">
        <v>2020</v>
      </c>
      <c r="H39" s="21" t="s">
        <v>36</v>
      </c>
      <c r="I39" s="21">
        <v>149.80000000000001</v>
      </c>
      <c r="K39" s="21" t="s">
        <v>33</v>
      </c>
      <c r="L39" s="26">
        <v>2020</v>
      </c>
      <c r="M39" s="21" t="s">
        <v>36</v>
      </c>
      <c r="N39" s="21">
        <v>147.30000000000001</v>
      </c>
    </row>
    <row r="40" spans="1:14">
      <c r="A40" s="12" t="s">
        <v>34</v>
      </c>
      <c r="B40" s="12">
        <v>2020</v>
      </c>
      <c r="C40" s="12" t="s">
        <v>37</v>
      </c>
      <c r="D40" s="103" t="s">
        <v>32</v>
      </c>
      <c r="F40" s="21" t="s">
        <v>30</v>
      </c>
      <c r="G40" s="26">
        <v>2020</v>
      </c>
      <c r="H40" s="21" t="s">
        <v>37</v>
      </c>
      <c r="I40" s="28" t="s">
        <v>32</v>
      </c>
      <c r="K40" s="21" t="s">
        <v>33</v>
      </c>
      <c r="L40" s="26">
        <v>2020</v>
      </c>
      <c r="M40" s="21" t="s">
        <v>37</v>
      </c>
      <c r="N40" s="28" t="s">
        <v>32</v>
      </c>
    </row>
    <row r="41" spans="1:14">
      <c r="A41" s="12" t="s">
        <v>34</v>
      </c>
      <c r="B41" s="12">
        <v>2020</v>
      </c>
      <c r="C41" s="12" t="s">
        <v>38</v>
      </c>
      <c r="D41" s="103" t="s">
        <v>32</v>
      </c>
      <c r="F41" s="21" t="s">
        <v>30</v>
      </c>
      <c r="G41" s="26">
        <v>2020</v>
      </c>
      <c r="H41" s="21" t="s">
        <v>38</v>
      </c>
      <c r="I41" s="28" t="s">
        <v>32</v>
      </c>
      <c r="K41" s="21" t="s">
        <v>33</v>
      </c>
      <c r="L41" s="26">
        <v>2020</v>
      </c>
      <c r="M41" s="21" t="s">
        <v>38</v>
      </c>
      <c r="N41" s="28" t="s">
        <v>32</v>
      </c>
    </row>
    <row r="42" spans="1:14">
      <c r="A42" s="12" t="s">
        <v>34</v>
      </c>
      <c r="B42" s="12">
        <v>2020</v>
      </c>
      <c r="C42" s="12" t="s">
        <v>39</v>
      </c>
      <c r="D42" s="12">
        <v>151.80000000000001</v>
      </c>
      <c r="F42" s="21" t="s">
        <v>30</v>
      </c>
      <c r="G42" s="26">
        <v>2020</v>
      </c>
      <c r="H42" s="21" t="s">
        <v>39</v>
      </c>
      <c r="I42" s="21">
        <v>152.69999999999999</v>
      </c>
      <c r="K42" s="21" t="s">
        <v>33</v>
      </c>
      <c r="L42" s="26">
        <v>2020</v>
      </c>
      <c r="M42" s="21" t="s">
        <v>39</v>
      </c>
      <c r="N42" s="21">
        <v>150.80000000000001</v>
      </c>
    </row>
    <row r="43" spans="1:14">
      <c r="A43" s="12" t="s">
        <v>34</v>
      </c>
      <c r="B43" s="12">
        <v>2020</v>
      </c>
      <c r="C43" s="12" t="s">
        <v>40</v>
      </c>
      <c r="D43" s="12">
        <v>151.80000000000001</v>
      </c>
      <c r="F43" s="21" t="s">
        <v>30</v>
      </c>
      <c r="G43" s="26">
        <v>2020</v>
      </c>
      <c r="H43" s="21" t="s">
        <v>40</v>
      </c>
      <c r="I43" s="21">
        <v>152.69999999999999</v>
      </c>
      <c r="K43" s="21" t="s">
        <v>33</v>
      </c>
      <c r="L43" s="26">
        <v>2020</v>
      </c>
      <c r="M43" s="21" t="s">
        <v>40</v>
      </c>
      <c r="N43" s="21">
        <v>150.80000000000001</v>
      </c>
    </row>
    <row r="44" spans="1:14">
      <c r="A44" s="12" t="s">
        <v>34</v>
      </c>
      <c r="B44" s="12">
        <v>2020</v>
      </c>
      <c r="C44" s="12" t="s">
        <v>41</v>
      </c>
      <c r="D44" s="12">
        <v>153.9</v>
      </c>
      <c r="F44" s="21" t="s">
        <v>30</v>
      </c>
      <c r="G44" s="26">
        <v>2020</v>
      </c>
      <c r="H44" s="21" t="s">
        <v>41</v>
      </c>
      <c r="I44" s="21">
        <v>154.69999999999999</v>
      </c>
      <c r="K44" s="21" t="s">
        <v>33</v>
      </c>
      <c r="L44" s="26">
        <v>2020</v>
      </c>
      <c r="M44" s="21" t="s">
        <v>41</v>
      </c>
      <c r="N44" s="21">
        <v>152.9</v>
      </c>
    </row>
    <row r="45" spans="1:14">
      <c r="A45" s="12" t="s">
        <v>34</v>
      </c>
      <c r="B45" s="12">
        <v>2020</v>
      </c>
      <c r="C45" s="12" t="s">
        <v>42</v>
      </c>
      <c r="D45" s="12">
        <v>154.69999999999999</v>
      </c>
      <c r="F45" s="21" t="s">
        <v>30</v>
      </c>
      <c r="G45" s="26">
        <v>2020</v>
      </c>
      <c r="H45" s="21" t="s">
        <v>42</v>
      </c>
      <c r="I45" s="21">
        <v>155.4</v>
      </c>
      <c r="K45" s="21" t="s">
        <v>33</v>
      </c>
      <c r="L45" s="26">
        <v>2020</v>
      </c>
      <c r="M45" s="21" t="s">
        <v>42</v>
      </c>
      <c r="N45" s="21">
        <v>154</v>
      </c>
    </row>
    <row r="46" spans="1:14">
      <c r="A46" s="12" t="s">
        <v>34</v>
      </c>
      <c r="B46" s="12">
        <v>2020</v>
      </c>
      <c r="C46" s="12" t="s">
        <v>43</v>
      </c>
      <c r="D46" s="12">
        <v>156.4</v>
      </c>
      <c r="F46" s="21" t="s">
        <v>30</v>
      </c>
      <c r="G46" s="26">
        <v>2020</v>
      </c>
      <c r="H46" s="21" t="s">
        <v>43</v>
      </c>
      <c r="I46" s="21">
        <v>157.5</v>
      </c>
      <c r="K46" s="21" t="s">
        <v>33</v>
      </c>
      <c r="L46" s="26">
        <v>2020</v>
      </c>
      <c r="M46" s="21" t="s">
        <v>43</v>
      </c>
      <c r="N46" s="21">
        <v>155.19999999999999</v>
      </c>
    </row>
    <row r="47" spans="1:14">
      <c r="A47" s="12" t="s">
        <v>34</v>
      </c>
      <c r="B47" s="12">
        <v>2020</v>
      </c>
      <c r="C47" s="12" t="s">
        <v>45</v>
      </c>
      <c r="D47" s="12">
        <v>158.4</v>
      </c>
      <c r="F47" s="21" t="s">
        <v>30</v>
      </c>
      <c r="G47" s="26">
        <v>2020</v>
      </c>
      <c r="H47" s="21" t="s">
        <v>45</v>
      </c>
      <c r="I47" s="21">
        <v>159.80000000000001</v>
      </c>
      <c r="K47" s="21" t="s">
        <v>33</v>
      </c>
      <c r="L47" s="26">
        <v>2020</v>
      </c>
      <c r="M47" s="21" t="s">
        <v>45</v>
      </c>
      <c r="N47" s="21">
        <v>156.69999999999999</v>
      </c>
    </row>
    <row r="48" spans="1:14">
      <c r="A48" s="12" t="s">
        <v>34</v>
      </c>
      <c r="B48" s="12">
        <v>2020</v>
      </c>
      <c r="C48" s="12" t="s">
        <v>46</v>
      </c>
      <c r="D48" s="12">
        <v>158.9</v>
      </c>
      <c r="F48" s="21" t="s">
        <v>30</v>
      </c>
      <c r="G48" s="26">
        <v>2020</v>
      </c>
      <c r="H48" s="21" t="s">
        <v>46</v>
      </c>
      <c r="I48" s="21">
        <v>160.69999999999999</v>
      </c>
      <c r="K48" s="21" t="s">
        <v>33</v>
      </c>
      <c r="L48" s="26">
        <v>2020</v>
      </c>
      <c r="M48" s="21" t="s">
        <v>46</v>
      </c>
      <c r="N48" s="21">
        <v>156.9</v>
      </c>
    </row>
    <row r="49" spans="1:14">
      <c r="A49" s="12" t="s">
        <v>34</v>
      </c>
      <c r="B49" s="12">
        <v>2021</v>
      </c>
      <c r="C49" s="12" t="s">
        <v>31</v>
      </c>
      <c r="D49" s="12">
        <v>157.30000000000001</v>
      </c>
      <c r="F49" s="21" t="s">
        <v>30</v>
      </c>
      <c r="G49" s="26">
        <v>2021</v>
      </c>
      <c r="H49" s="21" t="s">
        <v>31</v>
      </c>
      <c r="I49" s="21">
        <v>158.5</v>
      </c>
      <c r="K49" s="21" t="s">
        <v>33</v>
      </c>
      <c r="L49" s="26">
        <v>2021</v>
      </c>
      <c r="M49" s="21" t="s">
        <v>31</v>
      </c>
      <c r="N49" s="21">
        <v>156</v>
      </c>
    </row>
    <row r="50" spans="1:14">
      <c r="A50" s="12" t="s">
        <v>34</v>
      </c>
      <c r="B50" s="12">
        <v>2021</v>
      </c>
      <c r="C50" s="12" t="s">
        <v>35</v>
      </c>
      <c r="D50" s="12">
        <v>156.6</v>
      </c>
      <c r="F50" s="21" t="s">
        <v>30</v>
      </c>
      <c r="G50" s="26">
        <v>2021</v>
      </c>
      <c r="H50" s="21" t="s">
        <v>35</v>
      </c>
      <c r="I50" s="21">
        <v>156.69999999999999</v>
      </c>
      <c r="K50" s="21" t="s">
        <v>33</v>
      </c>
      <c r="L50" s="26">
        <v>2021</v>
      </c>
      <c r="M50" s="21" t="s">
        <v>35</v>
      </c>
      <c r="N50" s="21">
        <v>156.5</v>
      </c>
    </row>
    <row r="51" spans="1:14">
      <c r="A51" s="12" t="s">
        <v>34</v>
      </c>
      <c r="B51" s="12">
        <v>2021</v>
      </c>
      <c r="C51" s="12" t="s">
        <v>36</v>
      </c>
      <c r="D51" s="12">
        <v>156.80000000000001</v>
      </c>
      <c r="F51" s="21" t="s">
        <v>30</v>
      </c>
      <c r="G51" s="26">
        <v>2021</v>
      </c>
      <c r="H51" s="21" t="s">
        <v>36</v>
      </c>
      <c r="I51" s="21">
        <v>156.69999999999999</v>
      </c>
      <c r="K51" s="21" t="s">
        <v>33</v>
      </c>
      <c r="L51" s="26">
        <v>2021</v>
      </c>
      <c r="M51" s="21" t="s">
        <v>36</v>
      </c>
      <c r="N51" s="21">
        <v>156.9</v>
      </c>
    </row>
    <row r="52" spans="1:14">
      <c r="A52" s="12" t="s">
        <v>34</v>
      </c>
      <c r="B52" s="12">
        <v>2021</v>
      </c>
      <c r="C52" s="12" t="s">
        <v>37</v>
      </c>
      <c r="D52" s="12">
        <v>157.80000000000001</v>
      </c>
      <c r="F52" s="21" t="s">
        <v>30</v>
      </c>
      <c r="G52" s="26">
        <v>2021</v>
      </c>
      <c r="H52" s="21" t="s">
        <v>37</v>
      </c>
      <c r="I52" s="21">
        <v>157.6</v>
      </c>
      <c r="K52" s="21" t="s">
        <v>33</v>
      </c>
      <c r="L52" s="26">
        <v>2021</v>
      </c>
      <c r="M52" s="21" t="s">
        <v>37</v>
      </c>
      <c r="N52" s="21">
        <v>158</v>
      </c>
    </row>
    <row r="53" spans="1:14">
      <c r="A53" s="12" t="s">
        <v>34</v>
      </c>
      <c r="B53" s="12">
        <v>2021</v>
      </c>
      <c r="C53" s="12" t="s">
        <v>38</v>
      </c>
      <c r="D53" s="12">
        <v>160.4</v>
      </c>
      <c r="F53" s="21" t="s">
        <v>30</v>
      </c>
      <c r="G53" s="26">
        <v>2021</v>
      </c>
      <c r="H53" s="21" t="s">
        <v>38</v>
      </c>
      <c r="I53" s="21">
        <v>161.1</v>
      </c>
      <c r="K53" s="21" t="s">
        <v>33</v>
      </c>
      <c r="L53" s="26">
        <v>2021</v>
      </c>
      <c r="M53" s="21" t="s">
        <v>38</v>
      </c>
      <c r="N53" s="21">
        <v>159.5</v>
      </c>
    </row>
    <row r="54" spans="1:14">
      <c r="A54" s="12" t="s">
        <v>34</v>
      </c>
      <c r="B54" s="12">
        <v>2021</v>
      </c>
      <c r="C54" s="12" t="s">
        <v>39</v>
      </c>
      <c r="D54" s="12">
        <v>161.30000000000001</v>
      </c>
      <c r="F54" s="21" t="s">
        <v>30</v>
      </c>
      <c r="G54" s="26">
        <v>2021</v>
      </c>
      <c r="H54" s="21" t="s">
        <v>39</v>
      </c>
      <c r="I54" s="21">
        <v>162.1</v>
      </c>
      <c r="K54" s="21" t="s">
        <v>33</v>
      </c>
      <c r="L54" s="26">
        <v>2021</v>
      </c>
      <c r="M54" s="21" t="s">
        <v>39</v>
      </c>
      <c r="N54" s="21">
        <v>160.4</v>
      </c>
    </row>
    <row r="55" spans="1:14">
      <c r="A55" s="12" t="s">
        <v>34</v>
      </c>
      <c r="B55" s="12">
        <v>2021</v>
      </c>
      <c r="C55" s="12" t="s">
        <v>40</v>
      </c>
      <c r="D55" s="12">
        <v>162.5</v>
      </c>
      <c r="F55" s="21" t="s">
        <v>30</v>
      </c>
      <c r="G55" s="26">
        <v>2021</v>
      </c>
      <c r="H55" s="21" t="s">
        <v>40</v>
      </c>
      <c r="I55" s="21">
        <v>163.19999999999999</v>
      </c>
      <c r="K55" s="21" t="s">
        <v>33</v>
      </c>
      <c r="L55" s="26">
        <v>2021</v>
      </c>
      <c r="M55" s="21" t="s">
        <v>40</v>
      </c>
      <c r="N55" s="21">
        <v>161.80000000000001</v>
      </c>
    </row>
    <row r="56" spans="1:14">
      <c r="A56" s="12" t="s">
        <v>34</v>
      </c>
      <c r="B56" s="12">
        <v>2021</v>
      </c>
      <c r="C56" s="12" t="s">
        <v>41</v>
      </c>
      <c r="D56" s="12">
        <v>163.19999999999999</v>
      </c>
      <c r="F56" s="21" t="s">
        <v>30</v>
      </c>
      <c r="G56" s="26">
        <v>2021</v>
      </c>
      <c r="H56" s="21" t="s">
        <v>41</v>
      </c>
      <c r="I56" s="21">
        <v>163.6</v>
      </c>
      <c r="K56" s="21" t="s">
        <v>33</v>
      </c>
      <c r="L56" s="26">
        <v>2021</v>
      </c>
      <c r="M56" s="21" t="s">
        <v>41</v>
      </c>
      <c r="N56" s="21">
        <v>162.30000000000001</v>
      </c>
    </row>
    <row r="57" spans="1:14">
      <c r="A57" s="12" t="s">
        <v>34</v>
      </c>
      <c r="B57" s="12">
        <v>2021</v>
      </c>
      <c r="C57" s="12" t="s">
        <v>42</v>
      </c>
      <c r="D57" s="12">
        <v>163.19999999999999</v>
      </c>
      <c r="F57" s="21" t="s">
        <v>30</v>
      </c>
      <c r="G57" s="26">
        <v>2021</v>
      </c>
      <c r="H57" s="21" t="s">
        <v>42</v>
      </c>
      <c r="I57" s="21">
        <v>164</v>
      </c>
      <c r="K57" s="21" t="s">
        <v>33</v>
      </c>
      <c r="L57" s="26">
        <v>2021</v>
      </c>
      <c r="M57" s="21" t="s">
        <v>42</v>
      </c>
      <c r="N57" s="21">
        <v>162.30000000000001</v>
      </c>
    </row>
    <row r="58" spans="1:14">
      <c r="A58" s="12" t="s">
        <v>34</v>
      </c>
      <c r="B58" s="12">
        <v>2021</v>
      </c>
      <c r="C58" s="12" t="s">
        <v>43</v>
      </c>
      <c r="D58" s="12">
        <v>165.5</v>
      </c>
      <c r="F58" s="21" t="s">
        <v>30</v>
      </c>
      <c r="G58" s="26">
        <v>2021</v>
      </c>
      <c r="H58" s="21" t="s">
        <v>43</v>
      </c>
      <c r="I58" s="21">
        <v>166.3</v>
      </c>
      <c r="K58" s="21" t="s">
        <v>33</v>
      </c>
      <c r="L58" s="26">
        <v>2021</v>
      </c>
      <c r="M58" s="21" t="s">
        <v>43</v>
      </c>
      <c r="N58" s="21">
        <v>164.6</v>
      </c>
    </row>
    <row r="59" spans="1:14">
      <c r="A59" s="12" t="s">
        <v>34</v>
      </c>
      <c r="B59" s="12">
        <v>2021</v>
      </c>
      <c r="C59" s="12" t="s">
        <v>45</v>
      </c>
      <c r="D59" s="12">
        <v>166.7</v>
      </c>
      <c r="F59" s="21" t="s">
        <v>30</v>
      </c>
      <c r="G59" s="26">
        <v>2021</v>
      </c>
      <c r="H59" s="21" t="s">
        <v>45</v>
      </c>
      <c r="I59" s="21">
        <v>167.6</v>
      </c>
      <c r="K59" s="21" t="s">
        <v>33</v>
      </c>
      <c r="L59" s="26">
        <v>2021</v>
      </c>
      <c r="M59" s="21" t="s">
        <v>45</v>
      </c>
      <c r="N59" s="21">
        <v>165.6</v>
      </c>
    </row>
    <row r="60" spans="1:14">
      <c r="A60" s="12" t="s">
        <v>34</v>
      </c>
      <c r="B60" s="12">
        <v>2021</v>
      </c>
      <c r="C60" s="12" t="s">
        <v>46</v>
      </c>
      <c r="D60" s="12">
        <v>166.2</v>
      </c>
      <c r="F60" s="21" t="s">
        <v>30</v>
      </c>
      <c r="G60" s="26">
        <v>2021</v>
      </c>
      <c r="H60" s="21" t="s">
        <v>46</v>
      </c>
      <c r="I60" s="21">
        <v>167</v>
      </c>
      <c r="K60" s="21" t="s">
        <v>33</v>
      </c>
      <c r="L60" s="26">
        <v>2021</v>
      </c>
      <c r="M60" s="21" t="s">
        <v>46</v>
      </c>
      <c r="N60" s="21">
        <v>165.2</v>
      </c>
    </row>
    <row r="61" spans="1:14">
      <c r="A61" s="12" t="s">
        <v>34</v>
      </c>
      <c r="B61" s="12">
        <v>2022</v>
      </c>
      <c r="C61" s="12" t="s">
        <v>31</v>
      </c>
      <c r="D61" s="12">
        <v>165.7</v>
      </c>
      <c r="F61" s="21" t="s">
        <v>30</v>
      </c>
      <c r="G61" s="26">
        <v>2022</v>
      </c>
      <c r="H61" s="21" t="s">
        <v>31</v>
      </c>
      <c r="I61" s="21">
        <v>166.4</v>
      </c>
      <c r="K61" s="21" t="s">
        <v>33</v>
      </c>
      <c r="L61" s="26">
        <v>2022</v>
      </c>
      <c r="M61" s="21" t="s">
        <v>31</v>
      </c>
      <c r="N61" s="21">
        <v>165</v>
      </c>
    </row>
    <row r="62" spans="1:14">
      <c r="A62" s="12" t="s">
        <v>34</v>
      </c>
      <c r="B62" s="12">
        <v>2022</v>
      </c>
      <c r="C62" s="12" t="s">
        <v>35</v>
      </c>
      <c r="D62" s="12">
        <v>166.1</v>
      </c>
      <c r="F62" s="21" t="s">
        <v>30</v>
      </c>
      <c r="G62" s="26">
        <v>2022</v>
      </c>
      <c r="H62" s="21" t="s">
        <v>35</v>
      </c>
      <c r="I62" s="21">
        <v>166.7</v>
      </c>
      <c r="K62" s="21" t="s">
        <v>33</v>
      </c>
      <c r="L62" s="26">
        <v>2022</v>
      </c>
      <c r="M62" s="21" t="s">
        <v>35</v>
      </c>
      <c r="N62" s="21">
        <v>165.5</v>
      </c>
    </row>
    <row r="63" spans="1:14">
      <c r="A63" s="12" t="s">
        <v>34</v>
      </c>
      <c r="B63" s="12">
        <v>2022</v>
      </c>
      <c r="C63" s="12" t="s">
        <v>36</v>
      </c>
      <c r="D63" s="12">
        <v>167.7</v>
      </c>
      <c r="F63" s="21" t="s">
        <v>30</v>
      </c>
      <c r="G63" s="26">
        <v>2022</v>
      </c>
      <c r="H63" s="21" t="s">
        <v>36</v>
      </c>
      <c r="I63" s="21">
        <v>168.7</v>
      </c>
      <c r="K63" s="21" t="s">
        <v>33</v>
      </c>
      <c r="L63" s="26">
        <v>2022</v>
      </c>
      <c r="M63" s="21" t="s">
        <v>36</v>
      </c>
      <c r="N63" s="21">
        <v>166.5</v>
      </c>
    </row>
    <row r="64" spans="1:14">
      <c r="A64" s="12" t="s">
        <v>34</v>
      </c>
      <c r="B64" s="12">
        <v>2022</v>
      </c>
      <c r="C64" s="12" t="s">
        <v>37</v>
      </c>
      <c r="D64" s="12">
        <v>170.1</v>
      </c>
      <c r="F64" s="21" t="s">
        <v>30</v>
      </c>
      <c r="G64" s="26">
        <v>2022</v>
      </c>
      <c r="H64" s="21" t="s">
        <v>37</v>
      </c>
      <c r="I64" s="21">
        <v>170.8</v>
      </c>
      <c r="K64" s="21" t="s">
        <v>33</v>
      </c>
      <c r="L64" s="26">
        <v>2022</v>
      </c>
      <c r="M64" s="21" t="s">
        <v>37</v>
      </c>
      <c r="N64" s="21">
        <v>169.2</v>
      </c>
    </row>
    <row r="65" spans="1:14">
      <c r="A65" s="12" t="s">
        <v>34</v>
      </c>
      <c r="B65" s="12">
        <v>2022</v>
      </c>
      <c r="C65" s="12" t="s">
        <v>38</v>
      </c>
      <c r="D65" s="12">
        <v>171.7</v>
      </c>
      <c r="F65" s="21" t="s">
        <v>30</v>
      </c>
      <c r="G65" s="26">
        <v>2022</v>
      </c>
      <c r="H65" s="21" t="s">
        <v>38</v>
      </c>
      <c r="I65" s="21">
        <v>172.5</v>
      </c>
      <c r="K65" s="21" t="s">
        <v>33</v>
      </c>
      <c r="L65" s="26">
        <v>2022</v>
      </c>
      <c r="M65" s="21" t="s">
        <v>38</v>
      </c>
      <c r="N65" s="21">
        <v>170.8</v>
      </c>
    </row>
    <row r="66" spans="1:14">
      <c r="A66" s="12" t="s">
        <v>34</v>
      </c>
      <c r="B66" s="12">
        <v>2022</v>
      </c>
      <c r="C66" s="12" t="s">
        <v>39</v>
      </c>
      <c r="D66" s="12">
        <v>172.6</v>
      </c>
      <c r="F66" s="21" t="s">
        <v>30</v>
      </c>
      <c r="G66" s="26">
        <v>2022</v>
      </c>
      <c r="H66" s="21" t="s">
        <v>39</v>
      </c>
      <c r="I66" s="21">
        <v>173.6</v>
      </c>
      <c r="K66" s="21" t="s">
        <v>33</v>
      </c>
      <c r="L66" s="26">
        <v>2022</v>
      </c>
      <c r="M66" s="21" t="s">
        <v>39</v>
      </c>
      <c r="N66" s="21">
        <v>171.4</v>
      </c>
    </row>
    <row r="67" spans="1:14">
      <c r="A67" s="12" t="s">
        <v>34</v>
      </c>
      <c r="B67" s="12">
        <v>2022</v>
      </c>
      <c r="C67" s="12" t="s">
        <v>40</v>
      </c>
      <c r="D67" s="12">
        <v>173.4</v>
      </c>
      <c r="F67" s="21" t="s">
        <v>30</v>
      </c>
      <c r="G67" s="26">
        <v>2022</v>
      </c>
      <c r="H67" s="21" t="s">
        <v>40</v>
      </c>
      <c r="I67" s="21">
        <v>174.3</v>
      </c>
      <c r="K67" s="21" t="s">
        <v>33</v>
      </c>
      <c r="L67" s="26">
        <v>2022</v>
      </c>
      <c r="M67" s="21" t="s">
        <v>40</v>
      </c>
      <c r="N67" s="21">
        <v>172.3</v>
      </c>
    </row>
    <row r="68" spans="1:14">
      <c r="A68" s="12" t="s">
        <v>34</v>
      </c>
      <c r="B68" s="12">
        <v>2022</v>
      </c>
      <c r="C68" s="12" t="s">
        <v>41</v>
      </c>
      <c r="D68" s="12">
        <v>174.3</v>
      </c>
      <c r="F68" s="21" t="s">
        <v>30</v>
      </c>
      <c r="G68" s="26">
        <v>2022</v>
      </c>
      <c r="H68" s="21" t="s">
        <v>41</v>
      </c>
      <c r="I68" s="21">
        <v>175.3</v>
      </c>
      <c r="K68" s="21" t="s">
        <v>33</v>
      </c>
      <c r="L68" s="26">
        <v>2022</v>
      </c>
      <c r="M68" s="21" t="s">
        <v>41</v>
      </c>
      <c r="N68" s="21">
        <v>173.1</v>
      </c>
    </row>
    <row r="69" spans="1:14">
      <c r="A69" s="12" t="s">
        <v>34</v>
      </c>
      <c r="B69" s="12">
        <v>2022</v>
      </c>
      <c r="C69" s="12" t="s">
        <v>42</v>
      </c>
      <c r="D69" s="12">
        <v>175.3</v>
      </c>
      <c r="F69" s="21" t="s">
        <v>30</v>
      </c>
      <c r="G69" s="26">
        <v>2022</v>
      </c>
      <c r="H69" s="21" t="s">
        <v>42</v>
      </c>
      <c r="I69" s="21">
        <v>176.4</v>
      </c>
      <c r="K69" s="21" t="s">
        <v>33</v>
      </c>
      <c r="L69" s="26">
        <v>2022</v>
      </c>
      <c r="M69" s="21" t="s">
        <v>42</v>
      </c>
      <c r="N69" s="21">
        <v>174.1</v>
      </c>
    </row>
    <row r="70" spans="1:14">
      <c r="A70" s="12" t="s">
        <v>34</v>
      </c>
      <c r="B70" s="12">
        <v>2022</v>
      </c>
      <c r="C70" s="12" t="s">
        <v>43</v>
      </c>
      <c r="D70" s="12">
        <v>176.7</v>
      </c>
      <c r="F70" s="21" t="s">
        <v>30</v>
      </c>
      <c r="G70" s="26">
        <v>2022</v>
      </c>
      <c r="H70" s="21" t="s">
        <v>43</v>
      </c>
      <c r="I70" s="21">
        <v>177.9</v>
      </c>
      <c r="K70" s="21" t="s">
        <v>33</v>
      </c>
      <c r="L70" s="26">
        <v>2022</v>
      </c>
      <c r="M70" s="21" t="s">
        <v>43</v>
      </c>
      <c r="N70" s="21">
        <v>175.3</v>
      </c>
    </row>
    <row r="71" spans="1:14">
      <c r="A71" s="12" t="s">
        <v>34</v>
      </c>
      <c r="B71" s="12">
        <v>2022</v>
      </c>
      <c r="C71" s="12" t="s">
        <v>45</v>
      </c>
      <c r="D71" s="12">
        <v>176.5</v>
      </c>
      <c r="F71" s="21" t="s">
        <v>30</v>
      </c>
      <c r="G71" s="26">
        <v>2022</v>
      </c>
      <c r="H71" s="21" t="s">
        <v>45</v>
      </c>
      <c r="I71" s="21">
        <v>177.8</v>
      </c>
      <c r="K71" s="21" t="s">
        <v>33</v>
      </c>
      <c r="L71" s="26">
        <v>2022</v>
      </c>
      <c r="M71" s="21" t="s">
        <v>45</v>
      </c>
      <c r="N71" s="21">
        <v>174.1</v>
      </c>
    </row>
    <row r="72" spans="1:14">
      <c r="A72" s="12" t="s">
        <v>34</v>
      </c>
      <c r="B72" s="12">
        <v>2022</v>
      </c>
      <c r="C72" s="12" t="s">
        <v>46</v>
      </c>
      <c r="D72" s="12">
        <v>175.7</v>
      </c>
      <c r="F72" s="21" t="s">
        <v>30</v>
      </c>
      <c r="G72" s="26">
        <v>2022</v>
      </c>
      <c r="H72" s="21" t="s">
        <v>46</v>
      </c>
      <c r="I72" s="21">
        <v>177.1</v>
      </c>
      <c r="K72" s="21" t="s">
        <v>33</v>
      </c>
      <c r="L72" s="26">
        <v>2022</v>
      </c>
      <c r="M72" s="21" t="s">
        <v>46</v>
      </c>
      <c r="N72" s="21">
        <v>174.1</v>
      </c>
    </row>
    <row r="73" spans="1:14">
      <c r="A73" s="12" t="s">
        <v>34</v>
      </c>
      <c r="B73" s="12">
        <v>2023</v>
      </c>
      <c r="C73" s="12" t="s">
        <v>31</v>
      </c>
      <c r="D73" s="12">
        <v>176.5</v>
      </c>
      <c r="F73" s="21" t="s">
        <v>30</v>
      </c>
      <c r="G73" s="26">
        <v>2023</v>
      </c>
      <c r="H73" s="21" t="s">
        <v>31</v>
      </c>
      <c r="I73" s="21">
        <v>177.8</v>
      </c>
      <c r="K73" s="21" t="s">
        <v>33</v>
      </c>
      <c r="L73" s="26">
        <v>2023</v>
      </c>
      <c r="M73" s="21" t="s">
        <v>31</v>
      </c>
      <c r="N73" s="21">
        <v>174.9</v>
      </c>
    </row>
    <row r="74" spans="1:14">
      <c r="A74" s="12" t="s">
        <v>34</v>
      </c>
      <c r="B74" s="12">
        <v>2023</v>
      </c>
      <c r="C74" s="12" t="s">
        <v>35</v>
      </c>
      <c r="D74" s="12">
        <v>177.2</v>
      </c>
      <c r="F74" s="21" t="s">
        <v>30</v>
      </c>
      <c r="G74" s="26">
        <v>2023</v>
      </c>
      <c r="H74" s="21" t="s">
        <v>35</v>
      </c>
      <c r="I74" s="21">
        <v>178</v>
      </c>
      <c r="K74" s="21" t="s">
        <v>33</v>
      </c>
      <c r="L74" s="26">
        <v>2023</v>
      </c>
      <c r="M74" s="21" t="s">
        <v>35</v>
      </c>
      <c r="N74" s="21">
        <v>176.3</v>
      </c>
    </row>
    <row r="75" spans="1:14">
      <c r="A75" s="12" t="s">
        <v>34</v>
      </c>
      <c r="B75" s="12">
        <v>2023</v>
      </c>
      <c r="C75" s="12" t="s">
        <v>36</v>
      </c>
      <c r="D75" s="12">
        <v>177.2</v>
      </c>
      <c r="F75" s="21" t="s">
        <v>30</v>
      </c>
      <c r="G75" s="26">
        <v>2023</v>
      </c>
      <c r="H75" s="21" t="s">
        <v>36</v>
      </c>
      <c r="I75" s="21">
        <v>178</v>
      </c>
      <c r="K75" s="21" t="s">
        <v>33</v>
      </c>
      <c r="L75" s="26">
        <v>2023</v>
      </c>
      <c r="M75" s="21" t="s">
        <v>36</v>
      </c>
      <c r="N75" s="21">
        <v>176.3</v>
      </c>
    </row>
    <row r="76" spans="1:14">
      <c r="A76" s="12" t="s">
        <v>34</v>
      </c>
      <c r="B76" s="12">
        <v>2023</v>
      </c>
      <c r="C76" s="12" t="s">
        <v>37</v>
      </c>
      <c r="D76" s="12">
        <v>178.1</v>
      </c>
      <c r="F76" s="21" t="s">
        <v>30</v>
      </c>
      <c r="G76" s="26">
        <v>2023</v>
      </c>
      <c r="H76" s="21" t="s">
        <v>37</v>
      </c>
      <c r="I76" s="21">
        <v>178.8</v>
      </c>
      <c r="K76" s="21" t="s">
        <v>33</v>
      </c>
      <c r="L76" s="26">
        <v>2023</v>
      </c>
      <c r="M76" s="21" t="s">
        <v>37</v>
      </c>
      <c r="N76" s="21">
        <v>177.4</v>
      </c>
    </row>
    <row r="77" spans="1:14">
      <c r="A77" s="12" t="s">
        <v>34</v>
      </c>
      <c r="B77" s="12">
        <v>2023</v>
      </c>
      <c r="C77" s="12" t="s">
        <v>38</v>
      </c>
      <c r="D77" s="12">
        <v>179.1</v>
      </c>
      <c r="F77" s="21" t="s">
        <v>30</v>
      </c>
      <c r="G77" s="26">
        <v>2023</v>
      </c>
      <c r="H77" s="21" t="s">
        <v>38</v>
      </c>
      <c r="I77" s="21">
        <v>179.8</v>
      </c>
      <c r="K77" s="21" t="s">
        <v>33</v>
      </c>
      <c r="L77" s="26">
        <v>2023</v>
      </c>
      <c r="M77" s="21" t="s">
        <v>38</v>
      </c>
      <c r="N77" s="21">
        <v>178.2</v>
      </c>
    </row>
  </sheetData>
  <autoFilter ref="A1:D77" xr:uid="{00000000-0009-0000-0000-00000A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5"/>
  <sheetViews>
    <sheetView topLeftCell="B40" workbookViewId="0">
      <selection activeCell="G60" sqref="G60"/>
    </sheetView>
  </sheetViews>
  <sheetFormatPr defaultRowHeight="14.4"/>
  <cols>
    <col min="1" max="1" width="40.109375" bestFit="1" customWidth="1"/>
    <col min="2" max="2" width="16.5546875" bestFit="1" customWidth="1"/>
    <col min="3" max="3" width="17.5546875" bestFit="1" customWidth="1"/>
    <col min="4" max="4" width="19.6640625" bestFit="1" customWidth="1"/>
    <col min="5" max="5" width="18.109375" bestFit="1" customWidth="1"/>
    <col min="6" max="6" width="19" bestFit="1" customWidth="1"/>
    <col min="7" max="7" width="11.33203125" bestFit="1" customWidth="1"/>
  </cols>
  <sheetData>
    <row r="1" spans="1:7">
      <c r="A1" t="s">
        <v>139</v>
      </c>
    </row>
    <row r="3" spans="1:7">
      <c r="A3" t="s">
        <v>140</v>
      </c>
    </row>
    <row r="5" spans="1:7">
      <c r="A5" t="s">
        <v>141</v>
      </c>
    </row>
    <row r="7" spans="1:7">
      <c r="A7" t="s">
        <v>142</v>
      </c>
    </row>
    <row r="8" spans="1:7">
      <c r="A8" s="125" t="s">
        <v>94</v>
      </c>
    </row>
    <row r="9" spans="1:7">
      <c r="A9" s="108" t="s">
        <v>56</v>
      </c>
      <c r="B9" s="12" t="s">
        <v>143</v>
      </c>
      <c r="C9" s="12" t="s">
        <v>144</v>
      </c>
      <c r="D9" s="12" t="s">
        <v>145</v>
      </c>
      <c r="E9" s="12" t="s">
        <v>146</v>
      </c>
      <c r="F9" s="12" t="s">
        <v>147</v>
      </c>
      <c r="G9" s="12" t="s">
        <v>148</v>
      </c>
    </row>
    <row r="10" spans="1:7">
      <c r="A10" s="12" t="s">
        <v>149</v>
      </c>
      <c r="B10" s="8">
        <v>5.6993896324093791</v>
      </c>
      <c r="C10" s="8">
        <v>8.7057268553959783</v>
      </c>
      <c r="D10" s="8">
        <f>C10-B10</f>
        <v>3.0063372229865992</v>
      </c>
      <c r="E10" s="8">
        <v>0.88446947483838689</v>
      </c>
      <c r="F10" s="8">
        <v>0.5393423691675715</v>
      </c>
      <c r="G10" s="8">
        <f>F10-E10</f>
        <v>-0.34512710567081539</v>
      </c>
    </row>
    <row r="11" spans="1:7">
      <c r="A11" s="12" t="s">
        <v>23</v>
      </c>
      <c r="B11" s="8">
        <v>7.205646582884901</v>
      </c>
      <c r="C11" s="8">
        <v>4.8751774273153501</v>
      </c>
      <c r="D11" s="8">
        <f t="shared" ref="D11:D13" si="0">C11-B11</f>
        <v>-2.3304691555695509</v>
      </c>
      <c r="E11" s="8">
        <v>0.3738301254321591</v>
      </c>
      <c r="F11" s="8">
        <v>0.35857622939654121</v>
      </c>
      <c r="G11" s="8">
        <f t="shared" ref="G11:G13" si="1">F11-E11</f>
        <v>-1.5253896035617887E-2</v>
      </c>
    </row>
    <row r="12" spans="1:7">
      <c r="A12" s="12" t="s">
        <v>24</v>
      </c>
      <c r="B12" s="8">
        <v>2.5188854978600848</v>
      </c>
      <c r="C12" s="8">
        <v>9.9562100645804854</v>
      </c>
      <c r="D12" s="8">
        <f t="shared" si="0"/>
        <v>7.4373245667204007</v>
      </c>
      <c r="E12" s="8">
        <v>0.46170002582663039</v>
      </c>
      <c r="F12" s="8">
        <v>0.89340689563912201</v>
      </c>
      <c r="G12" s="8">
        <f t="shared" si="1"/>
        <v>0.43170686981249162</v>
      </c>
    </row>
    <row r="13" spans="1:7">
      <c r="A13" s="12" t="s">
        <v>150</v>
      </c>
      <c r="B13" s="8">
        <v>4.3492265160183976</v>
      </c>
      <c r="C13" s="8">
        <v>2.3991885034039986</v>
      </c>
      <c r="D13" s="8">
        <f t="shared" si="0"/>
        <v>-1.950038012614399</v>
      </c>
      <c r="E13" s="8">
        <v>0.27640525899358254</v>
      </c>
      <c r="F13" s="8">
        <v>0.35915648454179111</v>
      </c>
      <c r="G13" s="8">
        <f t="shared" si="1"/>
        <v>8.2751225548208573E-2</v>
      </c>
    </row>
    <row r="14" spans="1:7">
      <c r="B14" s="32"/>
      <c r="C14" s="32"/>
      <c r="D14" s="32"/>
      <c r="E14" s="32"/>
      <c r="F14" s="32"/>
      <c r="G14" s="32"/>
    </row>
    <row r="15" spans="1:7">
      <c r="B15" s="32"/>
      <c r="C15" s="32"/>
      <c r="D15" s="32"/>
      <c r="E15" s="32"/>
      <c r="F15" s="32"/>
      <c r="G15" s="32"/>
    </row>
    <row r="16" spans="1:7">
      <c r="B16" s="32"/>
      <c r="C16" s="32"/>
      <c r="D16" s="32"/>
      <c r="E16" s="32"/>
      <c r="F16" s="32"/>
      <c r="G16" s="32"/>
    </row>
    <row r="17" spans="1:7">
      <c r="B17" s="32"/>
      <c r="C17" s="32"/>
      <c r="D17" s="32"/>
      <c r="E17" s="32"/>
      <c r="F17" s="32"/>
      <c r="G17" s="32"/>
    </row>
    <row r="18" spans="1:7">
      <c r="B18" s="32"/>
      <c r="C18" s="32"/>
      <c r="D18" s="32"/>
      <c r="E18" s="32"/>
      <c r="F18" s="32"/>
      <c r="G18" s="32"/>
    </row>
    <row r="19" spans="1:7">
      <c r="B19" s="32"/>
      <c r="C19" s="32"/>
      <c r="D19" s="32"/>
      <c r="E19" s="32"/>
      <c r="F19" s="32"/>
      <c r="G19" s="32"/>
    </row>
    <row r="20" spans="1:7">
      <c r="B20" s="32"/>
      <c r="C20" s="32"/>
      <c r="D20" s="32"/>
      <c r="E20" s="32"/>
      <c r="F20" s="32"/>
      <c r="G20" s="32"/>
    </row>
    <row r="21" spans="1:7">
      <c r="B21" s="32"/>
      <c r="C21" s="32"/>
      <c r="D21" s="32"/>
      <c r="E21" s="32"/>
      <c r="F21" s="32"/>
      <c r="G21" s="32"/>
    </row>
    <row r="22" spans="1:7">
      <c r="B22" s="32"/>
      <c r="C22" s="32"/>
      <c r="D22" s="32"/>
      <c r="E22" s="32"/>
      <c r="F22" s="32"/>
      <c r="G22" s="32"/>
    </row>
    <row r="23" spans="1:7">
      <c r="B23" s="32"/>
      <c r="C23" s="32"/>
      <c r="D23" s="32"/>
      <c r="E23" s="32"/>
      <c r="F23" s="32"/>
      <c r="G23" s="32"/>
    </row>
    <row r="24" spans="1:7">
      <c r="B24" s="32"/>
      <c r="C24" s="32"/>
      <c r="D24" s="32"/>
      <c r="E24" s="32"/>
      <c r="F24" s="32"/>
      <c r="G24" s="32"/>
    </row>
    <row r="25" spans="1:7">
      <c r="B25" s="32"/>
      <c r="C25" s="32"/>
      <c r="D25" s="32"/>
      <c r="E25" s="32"/>
      <c r="F25" s="32"/>
      <c r="G25" s="32"/>
    </row>
    <row r="26" spans="1:7">
      <c r="B26" s="32"/>
      <c r="C26" s="32"/>
      <c r="D26" s="32"/>
      <c r="E26" s="32"/>
      <c r="F26" s="32"/>
      <c r="G26" s="32"/>
    </row>
    <row r="29" spans="1:7">
      <c r="A29" s="125" t="s">
        <v>30</v>
      </c>
    </row>
    <row r="30" spans="1:7">
      <c r="A30" s="108" t="s">
        <v>56</v>
      </c>
      <c r="B30" s="12" t="s">
        <v>143</v>
      </c>
      <c r="C30" s="12" t="s">
        <v>144</v>
      </c>
      <c r="D30" s="12" t="s">
        <v>145</v>
      </c>
      <c r="E30" s="12" t="s">
        <v>146</v>
      </c>
      <c r="F30" s="12" t="s">
        <v>147</v>
      </c>
      <c r="G30" s="12" t="s">
        <v>148</v>
      </c>
    </row>
    <row r="31" spans="1:7">
      <c r="A31" s="12" t="s">
        <v>149</v>
      </c>
      <c r="B31" s="8">
        <v>4.1578611908624277</v>
      </c>
      <c r="C31" s="8">
        <v>8.3497724586542112</v>
      </c>
      <c r="D31" s="8">
        <f>C31-B31</f>
        <v>4.1919112677917836</v>
      </c>
      <c r="E31" s="8">
        <v>0.86864411480495929</v>
      </c>
      <c r="F31" s="8">
        <v>0.52230637777908573</v>
      </c>
      <c r="G31" s="8">
        <f>F31-E31</f>
        <v>-0.34633773702587356</v>
      </c>
    </row>
    <row r="32" spans="1:7">
      <c r="A32" s="12" t="s">
        <v>23</v>
      </c>
      <c r="B32" s="8">
        <v>8.2508308828938244</v>
      </c>
      <c r="C32" s="8">
        <v>4.1131614782823069</v>
      </c>
      <c r="D32" s="8">
        <f t="shared" ref="D32:D34" si="2">C32-B32</f>
        <v>-4.1376694046115174</v>
      </c>
      <c r="E32" s="8">
        <v>0.37503376022364648</v>
      </c>
      <c r="F32" s="8">
        <v>0.24476176262849975</v>
      </c>
      <c r="G32" s="8">
        <f t="shared" ref="G32:G34" si="3">F32-E32</f>
        <v>-0.13027199759514674</v>
      </c>
    </row>
    <row r="33" spans="1:7">
      <c r="A33" s="12" t="s">
        <v>24</v>
      </c>
      <c r="B33" s="8">
        <v>3.3878176251504382</v>
      </c>
      <c r="C33" s="8">
        <v>9.5815983143497547</v>
      </c>
      <c r="D33" s="8">
        <f t="shared" si="2"/>
        <v>6.1937806891993166</v>
      </c>
      <c r="E33" s="8">
        <v>0.4693920892915433</v>
      </c>
      <c r="F33" s="8">
        <v>0.75685713437328883</v>
      </c>
      <c r="G33" s="8">
        <f t="shared" si="3"/>
        <v>0.28746504508174553</v>
      </c>
    </row>
    <row r="34" spans="1:7">
      <c r="A34" s="12" t="s">
        <v>150</v>
      </c>
      <c r="B34" s="8">
        <v>2.093167562198468</v>
      </c>
      <c r="C34" s="8">
        <v>-8.1727508601548982E-3</v>
      </c>
      <c r="D34" s="8">
        <f t="shared" si="2"/>
        <v>-2.101340313058623</v>
      </c>
      <c r="E34" s="8">
        <v>5.3309659794616264E-2</v>
      </c>
      <c r="F34" s="8">
        <v>0.10986241699176987</v>
      </c>
      <c r="G34" s="8">
        <f t="shared" si="3"/>
        <v>5.6552757197153601E-2</v>
      </c>
    </row>
    <row r="35" spans="1:7">
      <c r="B35" s="32"/>
      <c r="C35" s="32"/>
      <c r="D35" s="32"/>
      <c r="E35" s="32"/>
      <c r="F35" s="32"/>
      <c r="G35" s="32"/>
    </row>
    <row r="36" spans="1:7">
      <c r="B36" s="32"/>
      <c r="C36" s="32"/>
      <c r="D36" s="32"/>
      <c r="E36" s="32"/>
      <c r="F36" s="32"/>
      <c r="G36" s="32"/>
    </row>
    <row r="37" spans="1:7">
      <c r="B37" s="32"/>
      <c r="C37" s="32"/>
      <c r="D37" s="32"/>
      <c r="E37" s="32"/>
      <c r="F37" s="32"/>
      <c r="G37" s="32"/>
    </row>
    <row r="38" spans="1:7">
      <c r="B38" s="32"/>
      <c r="C38" s="32"/>
      <c r="D38" s="32"/>
      <c r="E38" s="32"/>
      <c r="F38" s="32"/>
      <c r="G38" s="32"/>
    </row>
    <row r="39" spans="1:7">
      <c r="B39" s="32"/>
      <c r="C39" s="32"/>
      <c r="D39" s="32"/>
      <c r="E39" s="32"/>
      <c r="F39" s="32"/>
      <c r="G39" s="32"/>
    </row>
    <row r="40" spans="1:7">
      <c r="B40" s="32"/>
      <c r="C40" s="32"/>
      <c r="D40" s="32"/>
      <c r="E40" s="32"/>
      <c r="F40" s="32"/>
      <c r="G40" s="32"/>
    </row>
    <row r="41" spans="1:7">
      <c r="B41" s="32"/>
      <c r="C41" s="32"/>
      <c r="D41" s="32"/>
      <c r="E41" s="32"/>
      <c r="F41" s="32"/>
      <c r="G41" s="32"/>
    </row>
    <row r="42" spans="1:7">
      <c r="B42" s="32"/>
      <c r="C42" s="32"/>
      <c r="D42" s="32"/>
      <c r="E42" s="32"/>
      <c r="F42" s="32"/>
      <c r="G42" s="32"/>
    </row>
    <row r="43" spans="1:7">
      <c r="B43" s="32"/>
      <c r="C43" s="32"/>
      <c r="D43" s="32"/>
      <c r="E43" s="32"/>
      <c r="F43" s="32"/>
      <c r="G43" s="32"/>
    </row>
    <row r="44" spans="1:7">
      <c r="B44" s="32"/>
      <c r="C44" s="32"/>
      <c r="D44" s="32"/>
      <c r="E44" s="32"/>
      <c r="F44" s="32"/>
      <c r="G44" s="32"/>
    </row>
    <row r="45" spans="1:7">
      <c r="B45" s="32"/>
      <c r="C45" s="32"/>
      <c r="D45" s="32"/>
      <c r="E45" s="32"/>
      <c r="F45" s="32"/>
      <c r="G45" s="32"/>
    </row>
    <row r="46" spans="1:7">
      <c r="B46" s="32"/>
      <c r="C46" s="32"/>
      <c r="D46" s="32"/>
      <c r="E46" s="32"/>
      <c r="F46" s="32"/>
      <c r="G46" s="32"/>
    </row>
    <row r="47" spans="1:7">
      <c r="B47" s="32"/>
      <c r="C47" s="32"/>
      <c r="D47" s="32"/>
      <c r="E47" s="32"/>
      <c r="F47" s="32"/>
      <c r="G47" s="32"/>
    </row>
    <row r="50" spans="1:7">
      <c r="A50" s="125" t="s">
        <v>33</v>
      </c>
    </row>
    <row r="51" spans="1:7">
      <c r="A51" s="108" t="s">
        <v>56</v>
      </c>
      <c r="B51" s="12" t="s">
        <v>143</v>
      </c>
      <c r="C51" s="12" t="s">
        <v>144</v>
      </c>
      <c r="D51" s="12" t="s">
        <v>145</v>
      </c>
      <c r="E51" s="12" t="s">
        <v>146</v>
      </c>
      <c r="F51" s="12" t="s">
        <v>147</v>
      </c>
      <c r="G51" s="12" t="s">
        <v>148</v>
      </c>
    </row>
    <row r="52" spans="1:7">
      <c r="A52" s="12" t="s">
        <v>149</v>
      </c>
      <c r="B52" s="8">
        <v>8.4972233129422694</v>
      </c>
      <c r="C52" s="8">
        <v>9.3240917723498384</v>
      </c>
      <c r="D52" s="8">
        <f>C52-B52</f>
        <v>0.82686845940756903</v>
      </c>
      <c r="E52" s="8">
        <v>0.9171873359181425</v>
      </c>
      <c r="F52" s="8">
        <v>0.57144882563213417</v>
      </c>
      <c r="G52" s="8">
        <f>F52-E52</f>
        <v>-0.34573851028600833</v>
      </c>
    </row>
    <row r="53" spans="1:7">
      <c r="A53" s="12" t="s">
        <v>23</v>
      </c>
      <c r="B53" s="8">
        <v>5.5181575097291153</v>
      </c>
      <c r="C53" s="8">
        <v>6.2209102788145225</v>
      </c>
      <c r="D53" s="8">
        <f t="shared" ref="D53:D55" si="4">C53-B53</f>
        <v>0.70275276908540718</v>
      </c>
      <c r="E53" s="8">
        <v>0.3799945049478593</v>
      </c>
      <c r="F53" s="8">
        <v>0.56588158921152909</v>
      </c>
      <c r="G53" s="8">
        <f t="shared" ref="G53:G55" si="5">F53-E53</f>
        <v>0.18588708426366979</v>
      </c>
    </row>
    <row r="54" spans="1:7">
      <c r="A54" s="12" t="s">
        <v>24</v>
      </c>
      <c r="B54" s="8">
        <v>1.5167509651053039</v>
      </c>
      <c r="C54" s="8">
        <v>10.290632858157643</v>
      </c>
      <c r="D54" s="8">
        <f t="shared" si="4"/>
        <v>8.773881893052339</v>
      </c>
      <c r="E54" s="8">
        <v>0.45127334077173331</v>
      </c>
      <c r="F54" s="8">
        <v>1.029667712379696</v>
      </c>
      <c r="G54" s="8">
        <f t="shared" si="5"/>
        <v>0.5783943716079627</v>
      </c>
    </row>
    <row r="55" spans="1:7">
      <c r="A55" s="12" t="s">
        <v>150</v>
      </c>
      <c r="B55" s="8">
        <v>4.1949811524647309</v>
      </c>
      <c r="C55" s="8">
        <v>3.3571278524728867</v>
      </c>
      <c r="D55" s="8">
        <f t="shared" si="4"/>
        <v>-0.83785329999184421</v>
      </c>
      <c r="E55" s="8">
        <v>0.31721373747833376</v>
      </c>
      <c r="F55" s="8">
        <v>0.40374128705863582</v>
      </c>
      <c r="G55" s="8">
        <f t="shared" si="5"/>
        <v>8.6527549580302066E-2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02"/>
  <sheetViews>
    <sheetView topLeftCell="A24" workbookViewId="0">
      <selection activeCell="Q85" sqref="Q85"/>
    </sheetView>
  </sheetViews>
  <sheetFormatPr defaultRowHeight="14.4"/>
  <cols>
    <col min="1" max="1" width="33.33203125" bestFit="1" customWidth="1"/>
    <col min="2" max="3" width="16.88671875" bestFit="1" customWidth="1"/>
    <col min="4" max="4" width="18.44140625" bestFit="1" customWidth="1"/>
    <col min="5" max="5" width="24.109375" bestFit="1" customWidth="1"/>
    <col min="6" max="6" width="12.109375" bestFit="1" customWidth="1"/>
    <col min="7" max="7" width="6" bestFit="1" customWidth="1"/>
    <col min="8" max="8" width="15.5546875" bestFit="1" customWidth="1"/>
    <col min="9" max="9" width="11" bestFit="1" customWidth="1"/>
    <col min="10" max="10" width="6" bestFit="1" customWidth="1"/>
    <col min="11" max="11" width="9.88671875" bestFit="1" customWidth="1"/>
    <col min="12" max="12" width="17.33203125" bestFit="1" customWidth="1"/>
    <col min="13" max="13" width="21.109375" bestFit="1" customWidth="1"/>
    <col min="14" max="14" width="6" bestFit="1" customWidth="1"/>
    <col min="15" max="15" width="21.44140625" bestFit="1" customWidth="1"/>
    <col min="16" max="16" width="33.33203125" bestFit="1" customWidth="1"/>
    <col min="17" max="17" width="17.44140625" bestFit="1" customWidth="1"/>
    <col min="18" max="18" width="14.5546875" bestFit="1" customWidth="1"/>
    <col min="19" max="19" width="17.33203125" bestFit="1" customWidth="1"/>
    <col min="20" max="20" width="10.44140625" bestFit="1" customWidth="1"/>
  </cols>
  <sheetData>
    <row r="1" spans="1:20" ht="18">
      <c r="A1" s="35" t="s">
        <v>34</v>
      </c>
    </row>
    <row r="2" spans="1:20">
      <c r="A2" s="12" t="s">
        <v>0</v>
      </c>
      <c r="B2" s="12" t="s">
        <v>1</v>
      </c>
      <c r="C2" s="36" t="s">
        <v>100</v>
      </c>
      <c r="D2" s="12" t="s">
        <v>2</v>
      </c>
      <c r="E2" s="12" t="s">
        <v>3</v>
      </c>
      <c r="F2" s="12" t="s">
        <v>4</v>
      </c>
      <c r="G2" s="12" t="s">
        <v>5</v>
      </c>
      <c r="H2" s="12" t="s">
        <v>6</v>
      </c>
      <c r="I2" s="12" t="s">
        <v>7</v>
      </c>
      <c r="J2" s="12" t="s">
        <v>8</v>
      </c>
      <c r="K2" s="12" t="s">
        <v>9</v>
      </c>
      <c r="L2" s="12" t="s">
        <v>10</v>
      </c>
      <c r="M2" s="12" t="s">
        <v>11</v>
      </c>
      <c r="N2" s="12" t="s">
        <v>12</v>
      </c>
      <c r="O2" s="12" t="s">
        <v>13</v>
      </c>
      <c r="P2" s="12" t="s">
        <v>14</v>
      </c>
      <c r="Q2" s="12" t="s">
        <v>15</v>
      </c>
      <c r="R2" s="12" t="s">
        <v>101</v>
      </c>
      <c r="S2" s="12" t="s">
        <v>102</v>
      </c>
    </row>
    <row r="3" spans="1:20">
      <c r="A3" s="34" t="s">
        <v>34</v>
      </c>
      <c r="B3" s="12">
        <v>2022</v>
      </c>
      <c r="C3" s="37">
        <f t="shared" ref="C3:C14" si="0">DATE(B3,MONTH(1&amp;D3),1)</f>
        <v>44713</v>
      </c>
      <c r="D3" s="12" t="s">
        <v>39</v>
      </c>
      <c r="E3" s="12">
        <v>155</v>
      </c>
      <c r="F3" s="12">
        <v>219.4</v>
      </c>
      <c r="G3" s="12">
        <v>170.8</v>
      </c>
      <c r="H3" s="12">
        <v>165.8</v>
      </c>
      <c r="I3" s="12">
        <v>200.9</v>
      </c>
      <c r="J3" s="12">
        <v>169.7</v>
      </c>
      <c r="K3" s="12">
        <v>182.3</v>
      </c>
      <c r="L3" s="12">
        <v>164.3</v>
      </c>
      <c r="M3" s="12">
        <v>119.9</v>
      </c>
      <c r="N3" s="12">
        <v>187.1</v>
      </c>
      <c r="O3" s="12">
        <v>167.9</v>
      </c>
      <c r="P3" s="12">
        <v>183.9</v>
      </c>
      <c r="Q3" s="12">
        <v>174.9</v>
      </c>
      <c r="R3" s="8">
        <v>173.99230769230769</v>
      </c>
      <c r="S3" s="12"/>
    </row>
    <row r="4" spans="1:20">
      <c r="A4" s="34" t="s">
        <v>34</v>
      </c>
      <c r="B4" s="12">
        <v>2022</v>
      </c>
      <c r="C4" s="37">
        <f t="shared" si="0"/>
        <v>44743</v>
      </c>
      <c r="D4" s="12" t="s">
        <v>40</v>
      </c>
      <c r="E4" s="12">
        <v>156.5</v>
      </c>
      <c r="F4" s="12">
        <v>213</v>
      </c>
      <c r="G4" s="12">
        <v>175.2</v>
      </c>
      <c r="H4" s="12">
        <v>166.6</v>
      </c>
      <c r="I4" s="12">
        <v>195.8</v>
      </c>
      <c r="J4" s="12">
        <v>174.2</v>
      </c>
      <c r="K4" s="12">
        <v>182.1</v>
      </c>
      <c r="L4" s="12">
        <v>164.3</v>
      </c>
      <c r="M4" s="12">
        <v>120</v>
      </c>
      <c r="N4" s="12">
        <v>190</v>
      </c>
      <c r="O4" s="12">
        <v>168.4</v>
      </c>
      <c r="P4" s="12">
        <v>185.2</v>
      </c>
      <c r="Q4" s="12">
        <v>175</v>
      </c>
      <c r="R4" s="8">
        <v>174.33076923076925</v>
      </c>
      <c r="S4" s="8">
        <f>IF(R3=0,"",((R4-R3)/R3)*100)</f>
        <v>0.19452672531943327</v>
      </c>
      <c r="T4" s="32"/>
    </row>
    <row r="5" spans="1:20">
      <c r="A5" s="34" t="s">
        <v>34</v>
      </c>
      <c r="B5" s="12">
        <v>2022</v>
      </c>
      <c r="C5" s="37">
        <f t="shared" si="0"/>
        <v>44774</v>
      </c>
      <c r="D5" s="12" t="s">
        <v>41</v>
      </c>
      <c r="E5" s="12">
        <v>160.30000000000001</v>
      </c>
      <c r="F5" s="12">
        <v>206.5</v>
      </c>
      <c r="G5" s="12">
        <v>169.2</v>
      </c>
      <c r="H5" s="12">
        <v>168.1</v>
      </c>
      <c r="I5" s="12">
        <v>192.4</v>
      </c>
      <c r="J5" s="12">
        <v>172.9</v>
      </c>
      <c r="K5" s="12">
        <v>186.7</v>
      </c>
      <c r="L5" s="12">
        <v>167.2</v>
      </c>
      <c r="M5" s="12">
        <v>120.9</v>
      </c>
      <c r="N5" s="12">
        <v>193.6</v>
      </c>
      <c r="O5" s="12">
        <v>168.8</v>
      </c>
      <c r="P5" s="12">
        <v>186.3</v>
      </c>
      <c r="Q5" s="12">
        <v>176.3</v>
      </c>
      <c r="R5" s="8">
        <v>174.55384615384617</v>
      </c>
      <c r="S5" s="8">
        <f t="shared" ref="S5:S14" si="1">IF(R4=0,"",((R5-R4)/R4)*100)</f>
        <v>0.12796187618585006</v>
      </c>
    </row>
    <row r="6" spans="1:20">
      <c r="A6" s="34" t="s">
        <v>34</v>
      </c>
      <c r="B6" s="12">
        <v>2022</v>
      </c>
      <c r="C6" s="37">
        <f t="shared" si="0"/>
        <v>44805</v>
      </c>
      <c r="D6" s="12" t="s">
        <v>42</v>
      </c>
      <c r="E6" s="12">
        <v>163.5</v>
      </c>
      <c r="F6" s="12">
        <v>209.2</v>
      </c>
      <c r="G6" s="12">
        <v>169.7</v>
      </c>
      <c r="H6" s="12">
        <v>169.7</v>
      </c>
      <c r="I6" s="12">
        <v>188.7</v>
      </c>
      <c r="J6" s="12">
        <v>165.7</v>
      </c>
      <c r="K6" s="12">
        <v>191.8</v>
      </c>
      <c r="L6" s="12">
        <v>169.1</v>
      </c>
      <c r="M6" s="12">
        <v>121.6</v>
      </c>
      <c r="N6" s="12">
        <v>197.3</v>
      </c>
      <c r="O6" s="12">
        <v>169.4</v>
      </c>
      <c r="P6" s="12">
        <v>187.4</v>
      </c>
      <c r="Q6" s="12">
        <v>177.8</v>
      </c>
      <c r="R6" s="8">
        <v>175.45384615384617</v>
      </c>
      <c r="S6" s="8">
        <f t="shared" si="1"/>
        <v>0.51560021152829516</v>
      </c>
    </row>
    <row r="7" spans="1:20">
      <c r="A7" s="34" t="s">
        <v>34</v>
      </c>
      <c r="B7" s="12">
        <v>2022</v>
      </c>
      <c r="C7" s="37">
        <f t="shared" si="0"/>
        <v>44835</v>
      </c>
      <c r="D7" s="12" t="s">
        <v>43</v>
      </c>
      <c r="E7" s="12">
        <v>165.2</v>
      </c>
      <c r="F7" s="12">
        <v>210.9</v>
      </c>
      <c r="G7" s="12">
        <v>170.9</v>
      </c>
      <c r="H7" s="12">
        <v>170.9</v>
      </c>
      <c r="I7" s="12">
        <v>186.5</v>
      </c>
      <c r="J7" s="12">
        <v>163.80000000000001</v>
      </c>
      <c r="K7" s="12">
        <v>199.7</v>
      </c>
      <c r="L7" s="12">
        <v>169.8</v>
      </c>
      <c r="M7" s="12">
        <v>121.9</v>
      </c>
      <c r="N7" s="12">
        <v>199.9</v>
      </c>
      <c r="O7" s="12">
        <v>169.9</v>
      </c>
      <c r="P7" s="12">
        <v>188.3</v>
      </c>
      <c r="Q7" s="12">
        <v>179.6</v>
      </c>
      <c r="R7" s="8">
        <v>176.71538461538464</v>
      </c>
      <c r="S7" s="8">
        <f t="shared" si="1"/>
        <v>0.71901442413082706</v>
      </c>
    </row>
    <row r="8" spans="1:20">
      <c r="A8" s="34" t="s">
        <v>34</v>
      </c>
      <c r="B8" s="12">
        <v>2022</v>
      </c>
      <c r="C8" s="37">
        <f t="shared" si="0"/>
        <v>44866</v>
      </c>
      <c r="D8" s="12" t="s">
        <v>45</v>
      </c>
      <c r="E8" s="12">
        <v>167.4</v>
      </c>
      <c r="F8" s="12">
        <v>209.4</v>
      </c>
      <c r="G8" s="12">
        <v>181.4</v>
      </c>
      <c r="H8" s="12">
        <v>172.3</v>
      </c>
      <c r="I8" s="12">
        <v>188.9</v>
      </c>
      <c r="J8" s="12">
        <v>160.69999999999999</v>
      </c>
      <c r="K8" s="12">
        <v>183.1</v>
      </c>
      <c r="L8" s="12">
        <v>170.5</v>
      </c>
      <c r="M8" s="12">
        <v>122.1</v>
      </c>
      <c r="N8" s="12">
        <v>202.8</v>
      </c>
      <c r="O8" s="12">
        <v>170.4</v>
      </c>
      <c r="P8" s="12">
        <v>189.5</v>
      </c>
      <c r="Q8" s="12">
        <v>178.3</v>
      </c>
      <c r="R8" s="8">
        <v>176.67692307692309</v>
      </c>
      <c r="S8" s="8">
        <f t="shared" si="1"/>
        <v>-2.1764680276851682E-2</v>
      </c>
    </row>
    <row r="9" spans="1:20">
      <c r="A9" s="34" t="s">
        <v>34</v>
      </c>
      <c r="B9" s="12">
        <v>2022</v>
      </c>
      <c r="C9" s="37">
        <f t="shared" si="0"/>
        <v>44896</v>
      </c>
      <c r="D9" s="12" t="s">
        <v>46</v>
      </c>
      <c r="E9" s="12">
        <v>169.2</v>
      </c>
      <c r="F9" s="12">
        <v>209</v>
      </c>
      <c r="G9" s="12">
        <v>190.2</v>
      </c>
      <c r="H9" s="12">
        <v>173.6</v>
      </c>
      <c r="I9" s="12">
        <v>188.5</v>
      </c>
      <c r="J9" s="12">
        <v>158</v>
      </c>
      <c r="K9" s="12">
        <v>159.9</v>
      </c>
      <c r="L9" s="12">
        <v>170.8</v>
      </c>
      <c r="M9" s="12">
        <v>121.8</v>
      </c>
      <c r="N9" s="12">
        <v>205.2</v>
      </c>
      <c r="O9" s="12">
        <v>171</v>
      </c>
      <c r="P9" s="12">
        <v>190.3</v>
      </c>
      <c r="Q9" s="12">
        <v>175.9</v>
      </c>
      <c r="R9" s="8">
        <v>175.64615384615385</v>
      </c>
      <c r="S9" s="8">
        <f t="shared" si="1"/>
        <v>-0.58342041100662179</v>
      </c>
    </row>
    <row r="10" spans="1:20">
      <c r="A10" s="34" t="s">
        <v>34</v>
      </c>
      <c r="B10" s="12">
        <v>2023</v>
      </c>
      <c r="C10" s="37">
        <f t="shared" si="0"/>
        <v>44927</v>
      </c>
      <c r="D10" s="12" t="s">
        <v>31</v>
      </c>
      <c r="E10" s="12">
        <v>173.8</v>
      </c>
      <c r="F10" s="12">
        <v>210.7</v>
      </c>
      <c r="G10" s="12">
        <v>194.5</v>
      </c>
      <c r="H10" s="12">
        <v>174.6</v>
      </c>
      <c r="I10" s="12">
        <v>187.2</v>
      </c>
      <c r="J10" s="12">
        <v>158.30000000000001</v>
      </c>
      <c r="K10" s="12">
        <v>153.9</v>
      </c>
      <c r="L10" s="12">
        <v>170.9</v>
      </c>
      <c r="M10" s="12">
        <v>121.1</v>
      </c>
      <c r="N10" s="12">
        <v>208.4</v>
      </c>
      <c r="O10" s="12">
        <v>171.4</v>
      </c>
      <c r="P10" s="12">
        <v>191.2</v>
      </c>
      <c r="Q10" s="12">
        <v>176.7</v>
      </c>
      <c r="R10" s="8">
        <v>176.36153846153846</v>
      </c>
      <c r="S10" s="8">
        <f t="shared" si="1"/>
        <v>0.40728737847069707</v>
      </c>
    </row>
    <row r="11" spans="1:20">
      <c r="A11" s="34" t="s">
        <v>34</v>
      </c>
      <c r="B11" s="12">
        <v>2023</v>
      </c>
      <c r="C11" s="37">
        <f t="shared" si="0"/>
        <v>44958</v>
      </c>
      <c r="D11" s="12" t="s">
        <v>35</v>
      </c>
      <c r="E11" s="12">
        <v>174.4</v>
      </c>
      <c r="F11" s="12">
        <v>207.7</v>
      </c>
      <c r="G11" s="12">
        <v>175.2</v>
      </c>
      <c r="H11" s="12">
        <v>177.3</v>
      </c>
      <c r="I11" s="12">
        <v>179.3</v>
      </c>
      <c r="J11" s="12">
        <v>169.5</v>
      </c>
      <c r="K11" s="12">
        <v>152.69999999999999</v>
      </c>
      <c r="L11" s="12">
        <v>171</v>
      </c>
      <c r="M11" s="12">
        <v>120</v>
      </c>
      <c r="N11" s="12">
        <v>209.7</v>
      </c>
      <c r="O11" s="12">
        <v>172.3</v>
      </c>
      <c r="P11" s="12">
        <v>193</v>
      </c>
      <c r="Q11" s="12">
        <v>177</v>
      </c>
      <c r="R11" s="8">
        <v>175.3153846153846</v>
      </c>
      <c r="S11" s="8">
        <f t="shared" si="1"/>
        <v>-0.59318707201117182</v>
      </c>
    </row>
    <row r="12" spans="1:20">
      <c r="A12" s="34" t="s">
        <v>34</v>
      </c>
      <c r="B12" s="12">
        <v>2023</v>
      </c>
      <c r="C12" s="37">
        <f t="shared" si="0"/>
        <v>44986</v>
      </c>
      <c r="D12" s="12" t="s">
        <v>36</v>
      </c>
      <c r="E12" s="12">
        <v>174.4</v>
      </c>
      <c r="F12" s="12">
        <v>207.7</v>
      </c>
      <c r="G12" s="12">
        <v>175.2</v>
      </c>
      <c r="H12" s="12">
        <v>177.3</v>
      </c>
      <c r="I12" s="12">
        <v>179.2</v>
      </c>
      <c r="J12" s="12">
        <v>169.5</v>
      </c>
      <c r="K12" s="12">
        <v>152.80000000000001</v>
      </c>
      <c r="L12" s="12">
        <v>171.1</v>
      </c>
      <c r="M12" s="12">
        <v>120</v>
      </c>
      <c r="N12" s="12">
        <v>209.7</v>
      </c>
      <c r="O12" s="12">
        <v>172.3</v>
      </c>
      <c r="P12" s="12">
        <v>193</v>
      </c>
      <c r="Q12" s="12">
        <v>177</v>
      </c>
      <c r="R12" s="8">
        <v>175.32307692307691</v>
      </c>
      <c r="S12" s="8">
        <f t="shared" si="1"/>
        <v>4.3876968978992913E-3</v>
      </c>
    </row>
    <row r="13" spans="1:20">
      <c r="A13" s="34" t="s">
        <v>34</v>
      </c>
      <c r="B13" s="12">
        <v>2023</v>
      </c>
      <c r="C13" s="37">
        <f t="shared" si="0"/>
        <v>45017</v>
      </c>
      <c r="D13" s="12" t="s">
        <v>37</v>
      </c>
      <c r="E13" s="12">
        <v>173.8</v>
      </c>
      <c r="F13" s="12">
        <v>209.3</v>
      </c>
      <c r="G13" s="12">
        <v>169.6</v>
      </c>
      <c r="H13" s="12">
        <v>178.4</v>
      </c>
      <c r="I13" s="12">
        <v>174.9</v>
      </c>
      <c r="J13" s="12">
        <v>176.3</v>
      </c>
      <c r="K13" s="12">
        <v>155.4</v>
      </c>
      <c r="L13" s="12">
        <v>173.4</v>
      </c>
      <c r="M13" s="12">
        <v>121.3</v>
      </c>
      <c r="N13" s="12">
        <v>212.9</v>
      </c>
      <c r="O13" s="12">
        <v>172.9</v>
      </c>
      <c r="P13" s="12">
        <v>193.5</v>
      </c>
      <c r="Q13" s="12">
        <v>177.9</v>
      </c>
      <c r="R13" s="8">
        <v>176.12307692307695</v>
      </c>
      <c r="S13" s="8">
        <f t="shared" si="1"/>
        <v>0.456300456300479</v>
      </c>
    </row>
    <row r="14" spans="1:20">
      <c r="A14" s="34" t="s">
        <v>34</v>
      </c>
      <c r="B14" s="12">
        <v>2023</v>
      </c>
      <c r="C14" s="37">
        <f t="shared" si="0"/>
        <v>45047</v>
      </c>
      <c r="D14" s="12" t="s">
        <v>38</v>
      </c>
      <c r="E14" s="12">
        <v>173.7</v>
      </c>
      <c r="F14" s="12">
        <v>214.3</v>
      </c>
      <c r="G14" s="12">
        <v>173.2</v>
      </c>
      <c r="H14" s="12">
        <v>179.5</v>
      </c>
      <c r="I14" s="12">
        <v>170</v>
      </c>
      <c r="J14" s="12">
        <v>172.2</v>
      </c>
      <c r="K14" s="12">
        <v>161</v>
      </c>
      <c r="L14" s="12">
        <v>175.6</v>
      </c>
      <c r="M14" s="12">
        <v>122.7</v>
      </c>
      <c r="N14" s="12">
        <v>218</v>
      </c>
      <c r="O14" s="12">
        <v>173.4</v>
      </c>
      <c r="P14" s="12">
        <v>194.2</v>
      </c>
      <c r="Q14" s="12">
        <v>179.1</v>
      </c>
      <c r="R14" s="8">
        <v>177.45384615384617</v>
      </c>
      <c r="S14" s="8">
        <f t="shared" si="1"/>
        <v>0.75559049615652807</v>
      </c>
    </row>
    <row r="15" spans="1:20">
      <c r="R15" s="19"/>
      <c r="S15" s="32"/>
    </row>
    <row r="16" spans="1:20">
      <c r="A16" s="38" t="s">
        <v>107</v>
      </c>
      <c r="B16" s="34" t="s">
        <v>103</v>
      </c>
      <c r="C16" s="34" t="s">
        <v>104</v>
      </c>
      <c r="D16" s="34" t="s">
        <v>105</v>
      </c>
      <c r="E16" s="34" t="s">
        <v>106</v>
      </c>
      <c r="R16" s="41" t="s">
        <v>109</v>
      </c>
      <c r="S16" s="42">
        <f>MAX(S4:S14)</f>
        <v>0.75559049615652807</v>
      </c>
    </row>
    <row r="17" spans="1:20">
      <c r="A17" s="12" t="s">
        <v>12</v>
      </c>
      <c r="B17" s="12">
        <v>187.1</v>
      </c>
      <c r="C17" s="12">
        <v>218</v>
      </c>
      <c r="D17" s="12">
        <f t="shared" ref="D17:D30" si="2">C17-B17</f>
        <v>30.900000000000006</v>
      </c>
      <c r="E17" s="39">
        <f t="shared" ref="E17:E30" si="3">D17/B17</f>
        <v>0.16515232495991453</v>
      </c>
      <c r="R17" s="41" t="s">
        <v>110</v>
      </c>
      <c r="S17" s="43">
        <f>INDEX(C3:C14,MATCH(S16,S3:S14,0))</f>
        <v>45047</v>
      </c>
    </row>
    <row r="18" spans="1:20">
      <c r="A18" s="12" t="s">
        <v>3</v>
      </c>
      <c r="B18" s="12">
        <v>155</v>
      </c>
      <c r="C18" s="12">
        <v>173.7</v>
      </c>
      <c r="D18" s="12">
        <f t="shared" si="2"/>
        <v>18.699999999999989</v>
      </c>
      <c r="E18" s="39">
        <f t="shared" si="3"/>
        <v>0.1206451612903225</v>
      </c>
      <c r="R18" s="19"/>
      <c r="S18" s="32"/>
    </row>
    <row r="19" spans="1:20">
      <c r="A19" s="12" t="s">
        <v>6</v>
      </c>
      <c r="B19" s="12">
        <v>165.8</v>
      </c>
      <c r="C19" s="12">
        <v>179.5</v>
      </c>
      <c r="D19" s="12">
        <f t="shared" si="2"/>
        <v>13.699999999999989</v>
      </c>
      <c r="E19" s="39">
        <f t="shared" si="3"/>
        <v>8.2629674306393175E-2</v>
      </c>
      <c r="R19" s="19"/>
      <c r="S19" s="8" t="s">
        <v>111</v>
      </c>
      <c r="T19" s="8">
        <f>MIN(S4:S14)</f>
        <v>-0.59318707201117182</v>
      </c>
    </row>
    <row r="20" spans="1:20">
      <c r="A20" s="12" t="s">
        <v>10</v>
      </c>
      <c r="B20" s="12">
        <v>164.3</v>
      </c>
      <c r="C20" s="12">
        <v>175.6</v>
      </c>
      <c r="D20" s="12">
        <f t="shared" si="2"/>
        <v>11.299999999999983</v>
      </c>
      <c r="E20" s="39">
        <f t="shared" si="3"/>
        <v>6.8776628119293873E-2</v>
      </c>
      <c r="R20" s="19"/>
      <c r="S20" s="8" t="s">
        <v>112</v>
      </c>
      <c r="T20" s="44">
        <f>INDEX(C3:C14,MATCH(T19,S3:S14,0))</f>
        <v>44958</v>
      </c>
    </row>
    <row r="21" spans="1:20">
      <c r="A21" s="12" t="s">
        <v>14</v>
      </c>
      <c r="B21" s="12">
        <v>183.9</v>
      </c>
      <c r="C21" s="12">
        <v>194.2</v>
      </c>
      <c r="D21" s="12">
        <f t="shared" si="2"/>
        <v>10.299999999999983</v>
      </c>
      <c r="E21" s="39">
        <f t="shared" si="3"/>
        <v>5.6008700380641561E-2</v>
      </c>
      <c r="R21" s="19"/>
      <c r="S21" s="32"/>
    </row>
    <row r="22" spans="1:20">
      <c r="A22" s="12" t="s">
        <v>13</v>
      </c>
      <c r="B22" s="12">
        <v>167.9</v>
      </c>
      <c r="C22" s="12">
        <v>173.4</v>
      </c>
      <c r="D22" s="12">
        <f t="shared" si="2"/>
        <v>5.5</v>
      </c>
      <c r="E22" s="39">
        <f t="shared" si="3"/>
        <v>3.2757593805836809E-2</v>
      </c>
      <c r="R22" s="19"/>
      <c r="S22" s="32"/>
    </row>
    <row r="23" spans="1:20">
      <c r="A23" s="12" t="s">
        <v>15</v>
      </c>
      <c r="B23" s="12">
        <v>174.9</v>
      </c>
      <c r="C23" s="12">
        <v>179.1</v>
      </c>
      <c r="D23" s="12">
        <f t="shared" si="2"/>
        <v>4.1999999999999886</v>
      </c>
      <c r="E23" s="39">
        <f t="shared" si="3"/>
        <v>2.4013722126929607E-2</v>
      </c>
      <c r="R23" s="19"/>
      <c r="S23" s="32"/>
    </row>
    <row r="24" spans="1:20">
      <c r="A24" s="12" t="s">
        <v>11</v>
      </c>
      <c r="B24" s="12">
        <v>119.9</v>
      </c>
      <c r="C24" s="12">
        <v>122.7</v>
      </c>
      <c r="D24" s="12">
        <f t="shared" si="2"/>
        <v>2.7999999999999972</v>
      </c>
      <c r="E24" s="39">
        <f t="shared" si="3"/>
        <v>2.3352793994995805E-2</v>
      </c>
      <c r="R24" s="19"/>
      <c r="S24" s="32"/>
    </row>
    <row r="25" spans="1:20">
      <c r="A25" s="12" t="s">
        <v>8</v>
      </c>
      <c r="B25" s="12">
        <v>169.7</v>
      </c>
      <c r="C25" s="12">
        <v>172.2</v>
      </c>
      <c r="D25" s="12">
        <f t="shared" si="2"/>
        <v>2.5</v>
      </c>
      <c r="E25" s="39">
        <f t="shared" si="3"/>
        <v>1.4731879787860933E-2</v>
      </c>
      <c r="R25" s="19"/>
      <c r="S25" s="32"/>
    </row>
    <row r="26" spans="1:20">
      <c r="A26" s="12" t="s">
        <v>5</v>
      </c>
      <c r="B26" s="12">
        <v>170.8</v>
      </c>
      <c r="C26" s="12">
        <v>173.2</v>
      </c>
      <c r="D26" s="12">
        <f t="shared" si="2"/>
        <v>2.3999999999999773</v>
      </c>
      <c r="E26" s="39">
        <f t="shared" si="3"/>
        <v>1.4051522248243426E-2</v>
      </c>
      <c r="R26" s="19"/>
      <c r="S26" s="32"/>
    </row>
    <row r="27" spans="1:20">
      <c r="A27" s="12" t="s">
        <v>4</v>
      </c>
      <c r="B27" s="12">
        <v>219.4</v>
      </c>
      <c r="C27" s="12">
        <v>214.3</v>
      </c>
      <c r="D27" s="12">
        <f t="shared" si="2"/>
        <v>-5.0999999999999943</v>
      </c>
      <c r="E27" s="39">
        <f t="shared" si="3"/>
        <v>-2.3245214220601614E-2</v>
      </c>
      <c r="R27" s="19"/>
      <c r="S27" s="32"/>
    </row>
    <row r="28" spans="1:20">
      <c r="A28" s="12" t="s">
        <v>9</v>
      </c>
      <c r="B28" s="12">
        <v>182.3</v>
      </c>
      <c r="C28" s="12">
        <v>161</v>
      </c>
      <c r="D28" s="12">
        <f t="shared" si="2"/>
        <v>-21.300000000000011</v>
      </c>
      <c r="E28" s="39">
        <f t="shared" si="3"/>
        <v>-0.11684037301151953</v>
      </c>
      <c r="R28" s="19"/>
      <c r="S28" s="32"/>
    </row>
    <row r="29" spans="1:20">
      <c r="A29" s="12" t="s">
        <v>7</v>
      </c>
      <c r="B29" s="12">
        <v>200.9</v>
      </c>
      <c r="C29" s="12">
        <v>170</v>
      </c>
      <c r="D29" s="12">
        <f t="shared" si="2"/>
        <v>-30.900000000000006</v>
      </c>
      <c r="E29" s="39">
        <f t="shared" si="3"/>
        <v>-0.15380786460925835</v>
      </c>
      <c r="R29" s="19"/>
      <c r="S29" s="32"/>
    </row>
    <row r="30" spans="1:20">
      <c r="A30" s="12" t="s">
        <v>60</v>
      </c>
      <c r="B30" s="8">
        <f>AVERAGE(B17:B29)</f>
        <v>173.99230769230775</v>
      </c>
      <c r="C30" s="8">
        <f>AVERAGE(C17:C29)</f>
        <v>177.45384615384617</v>
      </c>
      <c r="D30" s="8">
        <f t="shared" si="2"/>
        <v>3.4615384615384244</v>
      </c>
      <c r="E30" s="39">
        <f t="shared" si="3"/>
        <v>1.9894778725849729E-2</v>
      </c>
      <c r="R30" s="19"/>
      <c r="S30" s="32"/>
    </row>
    <row r="31" spans="1:20">
      <c r="R31" s="19"/>
      <c r="S31" s="32"/>
    </row>
    <row r="32" spans="1:20">
      <c r="A32" s="40" t="s">
        <v>108</v>
      </c>
      <c r="B32" s="12" t="str">
        <f>INDEX(A17:A29,MATCH(MAX(D17:D29),D17:D29,0))</f>
        <v>Spices</v>
      </c>
      <c r="R32" s="19"/>
      <c r="S32" s="32"/>
    </row>
    <row r="33" spans="1:19">
      <c r="R33" s="19"/>
      <c r="S33" s="32"/>
    </row>
    <row r="34" spans="1:19" ht="15.75" customHeight="1">
      <c r="R34" s="19"/>
      <c r="S34" s="32"/>
    </row>
    <row r="35" spans="1:19" s="45" customFormat="1"/>
    <row r="37" spans="1:19" ht="18">
      <c r="A37" s="35" t="s">
        <v>30</v>
      </c>
    </row>
    <row r="38" spans="1:19">
      <c r="A38" s="12" t="s">
        <v>0</v>
      </c>
      <c r="B38" s="12" t="s">
        <v>1</v>
      </c>
      <c r="C38" s="12"/>
      <c r="D38" s="12" t="s">
        <v>2</v>
      </c>
      <c r="E38" s="12" t="s">
        <v>3</v>
      </c>
      <c r="F38" s="12" t="s">
        <v>4</v>
      </c>
      <c r="G38" s="12" t="s">
        <v>5</v>
      </c>
      <c r="H38" s="12" t="s">
        <v>6</v>
      </c>
      <c r="I38" s="12" t="s">
        <v>7</v>
      </c>
      <c r="J38" s="12" t="s">
        <v>8</v>
      </c>
      <c r="K38" s="12" t="s">
        <v>9</v>
      </c>
      <c r="L38" s="12" t="s">
        <v>10</v>
      </c>
      <c r="M38" s="12" t="s">
        <v>11</v>
      </c>
      <c r="N38" s="12" t="s">
        <v>12</v>
      </c>
      <c r="O38" s="12" t="s">
        <v>13</v>
      </c>
      <c r="P38" s="12" t="s">
        <v>14</v>
      </c>
      <c r="Q38" s="12" t="s">
        <v>15</v>
      </c>
      <c r="R38" s="12" t="s">
        <v>101</v>
      </c>
      <c r="S38" s="12" t="s">
        <v>102</v>
      </c>
    </row>
    <row r="39" spans="1:19">
      <c r="A39" s="12" t="s">
        <v>30</v>
      </c>
      <c r="B39" s="12">
        <v>2022</v>
      </c>
      <c r="C39" s="37">
        <f t="shared" ref="C39:C50" si="4">DATE(B39,MONTH(1&amp;D39),1)</f>
        <v>44713</v>
      </c>
      <c r="D39" s="12" t="s">
        <v>39</v>
      </c>
      <c r="E39" s="12">
        <v>153.80000000000001</v>
      </c>
      <c r="F39" s="12">
        <v>217.2</v>
      </c>
      <c r="G39" s="12">
        <v>169.6</v>
      </c>
      <c r="H39" s="12">
        <v>165.4</v>
      </c>
      <c r="I39" s="12">
        <v>208.1</v>
      </c>
      <c r="J39" s="12">
        <v>165.8</v>
      </c>
      <c r="K39" s="12">
        <v>167.3</v>
      </c>
      <c r="L39" s="12">
        <v>164.6</v>
      </c>
      <c r="M39" s="12">
        <v>119.1</v>
      </c>
      <c r="N39" s="12">
        <v>188.9</v>
      </c>
      <c r="O39" s="12">
        <v>174.2</v>
      </c>
      <c r="P39" s="12">
        <v>181.9</v>
      </c>
      <c r="Q39" s="12">
        <v>172.4</v>
      </c>
      <c r="R39" s="33">
        <v>172.94615384615386</v>
      </c>
      <c r="S39" s="12"/>
    </row>
    <row r="40" spans="1:19">
      <c r="A40" s="12" t="s">
        <v>30</v>
      </c>
      <c r="B40" s="12">
        <v>2022</v>
      </c>
      <c r="C40" s="37">
        <f t="shared" si="4"/>
        <v>44743</v>
      </c>
      <c r="D40" s="12" t="s">
        <v>40</v>
      </c>
      <c r="E40" s="12">
        <v>155.19999999999999</v>
      </c>
      <c r="F40" s="12">
        <v>210.8</v>
      </c>
      <c r="G40" s="12">
        <v>174.3</v>
      </c>
      <c r="H40" s="12">
        <v>166.3</v>
      </c>
      <c r="I40" s="12">
        <v>202.2</v>
      </c>
      <c r="J40" s="12">
        <v>169.6</v>
      </c>
      <c r="K40" s="12">
        <v>168.6</v>
      </c>
      <c r="L40" s="12">
        <v>164.4</v>
      </c>
      <c r="M40" s="12">
        <v>119.2</v>
      </c>
      <c r="N40" s="12">
        <v>191.8</v>
      </c>
      <c r="O40" s="12">
        <v>174.5</v>
      </c>
      <c r="P40" s="12">
        <v>183.1</v>
      </c>
      <c r="Q40" s="12">
        <v>172.5</v>
      </c>
      <c r="R40" s="33">
        <v>173.26923076923077</v>
      </c>
      <c r="S40" s="49">
        <f>IF(R39=0,"",((R40-R39)/R39)*100)</f>
        <v>0.1868078103455876</v>
      </c>
    </row>
    <row r="41" spans="1:19">
      <c r="A41" s="12" t="s">
        <v>30</v>
      </c>
      <c r="B41" s="12">
        <v>2022</v>
      </c>
      <c r="C41" s="37">
        <f t="shared" si="4"/>
        <v>44774</v>
      </c>
      <c r="D41" s="12" t="s">
        <v>41</v>
      </c>
      <c r="E41" s="12">
        <v>159.5</v>
      </c>
      <c r="F41" s="12">
        <v>204.1</v>
      </c>
      <c r="G41" s="12">
        <v>168.3</v>
      </c>
      <c r="H41" s="12">
        <v>167.9</v>
      </c>
      <c r="I41" s="12">
        <v>198.1</v>
      </c>
      <c r="J41" s="12">
        <v>169.2</v>
      </c>
      <c r="K41" s="12">
        <v>173.1</v>
      </c>
      <c r="L41" s="12">
        <v>167.1</v>
      </c>
      <c r="M41" s="12">
        <v>120.2</v>
      </c>
      <c r="N41" s="12">
        <v>195.6</v>
      </c>
      <c r="O41" s="12">
        <v>174.8</v>
      </c>
      <c r="P41" s="12">
        <v>184</v>
      </c>
      <c r="Q41" s="12">
        <v>173.9</v>
      </c>
      <c r="R41" s="33">
        <v>173.5230769230769</v>
      </c>
      <c r="S41" s="49">
        <f t="shared" ref="S41:S50" si="5">IF(R40=0,"",((R41-R40)/R40)*100)</f>
        <v>0.1465038845726811</v>
      </c>
    </row>
    <row r="42" spans="1:19">
      <c r="A42" s="12" t="s">
        <v>30</v>
      </c>
      <c r="B42" s="12">
        <v>2022</v>
      </c>
      <c r="C42" s="37">
        <f t="shared" si="4"/>
        <v>44805</v>
      </c>
      <c r="D42" s="12" t="s">
        <v>42</v>
      </c>
      <c r="E42" s="12">
        <v>162.9</v>
      </c>
      <c r="F42" s="12">
        <v>206.7</v>
      </c>
      <c r="G42" s="12">
        <v>169</v>
      </c>
      <c r="H42" s="12">
        <v>169.5</v>
      </c>
      <c r="I42" s="12">
        <v>194.1</v>
      </c>
      <c r="J42" s="12">
        <v>164.1</v>
      </c>
      <c r="K42" s="12">
        <v>176.9</v>
      </c>
      <c r="L42" s="12">
        <v>169</v>
      </c>
      <c r="M42" s="12">
        <v>120.8</v>
      </c>
      <c r="N42" s="12">
        <v>199.1</v>
      </c>
      <c r="O42" s="12">
        <v>175.4</v>
      </c>
      <c r="P42" s="12">
        <v>184.8</v>
      </c>
      <c r="Q42" s="12">
        <v>175.5</v>
      </c>
      <c r="R42" s="33">
        <v>174.44615384615386</v>
      </c>
      <c r="S42" s="49">
        <f t="shared" si="5"/>
        <v>0.53196205337354874</v>
      </c>
    </row>
    <row r="43" spans="1:19">
      <c r="A43" s="12" t="s">
        <v>30</v>
      </c>
      <c r="B43" s="12">
        <v>2022</v>
      </c>
      <c r="C43" s="37">
        <f t="shared" si="4"/>
        <v>44835</v>
      </c>
      <c r="D43" s="12" t="s">
        <v>43</v>
      </c>
      <c r="E43" s="12">
        <v>164.7</v>
      </c>
      <c r="F43" s="12">
        <v>208.8</v>
      </c>
      <c r="G43" s="12">
        <v>170.3</v>
      </c>
      <c r="H43" s="12">
        <v>170.9</v>
      </c>
      <c r="I43" s="12">
        <v>191.6</v>
      </c>
      <c r="J43" s="12">
        <v>162.19999999999999</v>
      </c>
      <c r="K43" s="12">
        <v>184.8</v>
      </c>
      <c r="L43" s="12">
        <v>169.7</v>
      </c>
      <c r="M43" s="12">
        <v>121.1</v>
      </c>
      <c r="N43" s="12">
        <v>201.6</v>
      </c>
      <c r="O43" s="12">
        <v>175.8</v>
      </c>
      <c r="P43" s="12">
        <v>185.6</v>
      </c>
      <c r="Q43" s="12">
        <v>177.4</v>
      </c>
      <c r="R43" s="33">
        <v>175.73076923076923</v>
      </c>
      <c r="S43" s="49">
        <f t="shared" si="5"/>
        <v>0.73639650762852682</v>
      </c>
    </row>
    <row r="44" spans="1:19">
      <c r="A44" s="12" t="s">
        <v>30</v>
      </c>
      <c r="B44" s="12">
        <v>2022</v>
      </c>
      <c r="C44" s="37">
        <f t="shared" si="4"/>
        <v>44866</v>
      </c>
      <c r="D44" s="12" t="s">
        <v>45</v>
      </c>
      <c r="E44" s="12">
        <v>166.9</v>
      </c>
      <c r="F44" s="12">
        <v>207.2</v>
      </c>
      <c r="G44" s="12">
        <v>180.2</v>
      </c>
      <c r="H44" s="12">
        <v>172.3</v>
      </c>
      <c r="I44" s="12">
        <v>194</v>
      </c>
      <c r="J44" s="12">
        <v>159.1</v>
      </c>
      <c r="K44" s="12">
        <v>171.6</v>
      </c>
      <c r="L44" s="12">
        <v>170.2</v>
      </c>
      <c r="M44" s="12">
        <v>121.5</v>
      </c>
      <c r="N44" s="12">
        <v>204.8</v>
      </c>
      <c r="O44" s="12">
        <v>176.4</v>
      </c>
      <c r="P44" s="12">
        <v>186.9</v>
      </c>
      <c r="Q44" s="12">
        <v>176.6</v>
      </c>
      <c r="R44" s="33">
        <v>175.97692307692307</v>
      </c>
      <c r="S44" s="49">
        <f t="shared" si="5"/>
        <v>0.14007441453272002</v>
      </c>
    </row>
    <row r="45" spans="1:19">
      <c r="A45" s="12" t="s">
        <v>30</v>
      </c>
      <c r="B45" s="12">
        <v>2022</v>
      </c>
      <c r="C45" s="37">
        <f t="shared" si="4"/>
        <v>44896</v>
      </c>
      <c r="D45" s="12" t="s">
        <v>46</v>
      </c>
      <c r="E45" s="12">
        <v>168.8</v>
      </c>
      <c r="F45" s="12">
        <v>206.9</v>
      </c>
      <c r="G45" s="12">
        <v>189.1</v>
      </c>
      <c r="H45" s="12">
        <v>173.4</v>
      </c>
      <c r="I45" s="12">
        <v>193.9</v>
      </c>
      <c r="J45" s="12">
        <v>156.69999999999999</v>
      </c>
      <c r="K45" s="12">
        <v>150.19999999999999</v>
      </c>
      <c r="L45" s="12">
        <v>170.5</v>
      </c>
      <c r="M45" s="12">
        <v>121.2</v>
      </c>
      <c r="N45" s="12">
        <v>207.5</v>
      </c>
      <c r="O45" s="12">
        <v>176.8</v>
      </c>
      <c r="P45" s="12">
        <v>187.7</v>
      </c>
      <c r="Q45" s="12">
        <v>174.4</v>
      </c>
      <c r="R45" s="33">
        <v>175.16153846153844</v>
      </c>
      <c r="S45" s="49">
        <f t="shared" si="5"/>
        <v>-0.46334746688814937</v>
      </c>
    </row>
    <row r="46" spans="1:19">
      <c r="A46" s="12" t="s">
        <v>30</v>
      </c>
      <c r="B46" s="12">
        <v>2023</v>
      </c>
      <c r="C46" s="37">
        <f t="shared" si="4"/>
        <v>44927</v>
      </c>
      <c r="D46" s="12" t="s">
        <v>31</v>
      </c>
      <c r="E46" s="12">
        <v>174</v>
      </c>
      <c r="F46" s="12">
        <v>208.3</v>
      </c>
      <c r="G46" s="12">
        <v>192.9</v>
      </c>
      <c r="H46" s="12">
        <v>174.3</v>
      </c>
      <c r="I46" s="12">
        <v>192.6</v>
      </c>
      <c r="J46" s="12">
        <v>156.30000000000001</v>
      </c>
      <c r="K46" s="12">
        <v>142.9</v>
      </c>
      <c r="L46" s="12">
        <v>170.7</v>
      </c>
      <c r="M46" s="12">
        <v>120.3</v>
      </c>
      <c r="N46" s="12">
        <v>210.5</v>
      </c>
      <c r="O46" s="12">
        <v>176.9</v>
      </c>
      <c r="P46" s="12">
        <v>188.5</v>
      </c>
      <c r="Q46" s="12">
        <v>175</v>
      </c>
      <c r="R46" s="33">
        <v>175.63076923076926</v>
      </c>
      <c r="S46" s="49">
        <f t="shared" si="5"/>
        <v>0.26788459004877468</v>
      </c>
    </row>
    <row r="47" spans="1:19">
      <c r="A47" s="12" t="s">
        <v>30</v>
      </c>
      <c r="B47" s="12">
        <v>2023</v>
      </c>
      <c r="C47" s="37">
        <f t="shared" si="4"/>
        <v>44958</v>
      </c>
      <c r="D47" s="12" t="s">
        <v>35</v>
      </c>
      <c r="E47" s="12">
        <v>174.2</v>
      </c>
      <c r="F47" s="12">
        <v>205.2</v>
      </c>
      <c r="G47" s="12">
        <v>173.9</v>
      </c>
      <c r="H47" s="12">
        <v>177</v>
      </c>
      <c r="I47" s="12">
        <v>183.4</v>
      </c>
      <c r="J47" s="12">
        <v>167.2</v>
      </c>
      <c r="K47" s="12">
        <v>140.9</v>
      </c>
      <c r="L47" s="12">
        <v>170.4</v>
      </c>
      <c r="M47" s="12">
        <v>119.1</v>
      </c>
      <c r="N47" s="12">
        <v>212.1</v>
      </c>
      <c r="O47" s="12">
        <v>177.6</v>
      </c>
      <c r="P47" s="12">
        <v>189.9</v>
      </c>
      <c r="Q47" s="12">
        <v>174.8</v>
      </c>
      <c r="R47" s="33">
        <v>174.28461538461536</v>
      </c>
      <c r="S47" s="49">
        <f t="shared" si="5"/>
        <v>-0.76646811492644751</v>
      </c>
    </row>
    <row r="48" spans="1:19">
      <c r="A48" s="12" t="s">
        <v>30</v>
      </c>
      <c r="B48" s="12">
        <v>2023</v>
      </c>
      <c r="C48" s="37">
        <f t="shared" si="4"/>
        <v>44986</v>
      </c>
      <c r="D48" s="12" t="s">
        <v>36</v>
      </c>
      <c r="E48" s="12">
        <v>174.3</v>
      </c>
      <c r="F48" s="12">
        <v>205.2</v>
      </c>
      <c r="G48" s="12">
        <v>173.9</v>
      </c>
      <c r="H48" s="12">
        <v>177</v>
      </c>
      <c r="I48" s="12">
        <v>183.3</v>
      </c>
      <c r="J48" s="12">
        <v>167.2</v>
      </c>
      <c r="K48" s="12">
        <v>140.9</v>
      </c>
      <c r="L48" s="12">
        <v>170.5</v>
      </c>
      <c r="M48" s="12">
        <v>119.1</v>
      </c>
      <c r="N48" s="12">
        <v>212.1</v>
      </c>
      <c r="O48" s="12">
        <v>177.6</v>
      </c>
      <c r="P48" s="12">
        <v>189.9</v>
      </c>
      <c r="Q48" s="12">
        <v>174.8</v>
      </c>
      <c r="R48" s="33">
        <v>174.2923076923077</v>
      </c>
      <c r="S48" s="49">
        <f t="shared" si="5"/>
        <v>4.4136469965305302E-3</v>
      </c>
    </row>
    <row r="49" spans="1:20">
      <c r="A49" s="12" t="s">
        <v>30</v>
      </c>
      <c r="B49" s="12">
        <v>2023</v>
      </c>
      <c r="C49" s="37">
        <f t="shared" si="4"/>
        <v>45017</v>
      </c>
      <c r="D49" s="12" t="s">
        <v>37</v>
      </c>
      <c r="E49" s="12">
        <v>173.3</v>
      </c>
      <c r="F49" s="12">
        <v>206.9</v>
      </c>
      <c r="G49" s="12">
        <v>167.9</v>
      </c>
      <c r="H49" s="12">
        <v>178.2</v>
      </c>
      <c r="I49" s="12">
        <v>178.5</v>
      </c>
      <c r="J49" s="12">
        <v>173.7</v>
      </c>
      <c r="K49" s="12">
        <v>142.80000000000001</v>
      </c>
      <c r="L49" s="12">
        <v>172.8</v>
      </c>
      <c r="M49" s="12">
        <v>120.4</v>
      </c>
      <c r="N49" s="12">
        <v>215.5</v>
      </c>
      <c r="O49" s="12">
        <v>178.2</v>
      </c>
      <c r="P49" s="12">
        <v>190.5</v>
      </c>
      <c r="Q49" s="12">
        <v>175.5</v>
      </c>
      <c r="R49" s="33">
        <v>174.93846153846152</v>
      </c>
      <c r="S49" s="49">
        <f t="shared" si="5"/>
        <v>0.37072998499424897</v>
      </c>
    </row>
    <row r="50" spans="1:20">
      <c r="A50" s="12" t="s">
        <v>30</v>
      </c>
      <c r="B50" s="12">
        <v>2023</v>
      </c>
      <c r="C50" s="37">
        <f t="shared" si="4"/>
        <v>45047</v>
      </c>
      <c r="D50" s="12" t="s">
        <v>38</v>
      </c>
      <c r="E50" s="12">
        <v>173.2</v>
      </c>
      <c r="F50" s="12">
        <v>211.5</v>
      </c>
      <c r="G50" s="12">
        <v>171</v>
      </c>
      <c r="H50" s="12">
        <v>179.6</v>
      </c>
      <c r="I50" s="12">
        <v>173.3</v>
      </c>
      <c r="J50" s="12">
        <v>169</v>
      </c>
      <c r="K50" s="12">
        <v>148.69999999999999</v>
      </c>
      <c r="L50" s="12">
        <v>174.9</v>
      </c>
      <c r="M50" s="12">
        <v>121.9</v>
      </c>
      <c r="N50" s="12">
        <v>221</v>
      </c>
      <c r="O50" s="12">
        <v>178.7</v>
      </c>
      <c r="P50" s="12">
        <v>191.1</v>
      </c>
      <c r="Q50" s="12">
        <v>176.8</v>
      </c>
      <c r="R50" s="33">
        <v>176.20769230769235</v>
      </c>
      <c r="S50" s="49">
        <f t="shared" si="5"/>
        <v>0.72552985665292391</v>
      </c>
    </row>
    <row r="51" spans="1:20">
      <c r="C51" s="46"/>
      <c r="R51" s="19"/>
    </row>
    <row r="52" spans="1:20">
      <c r="A52" s="12" t="s">
        <v>107</v>
      </c>
      <c r="B52" s="12" t="s">
        <v>103</v>
      </c>
      <c r="C52" s="37" t="s">
        <v>104</v>
      </c>
      <c r="D52" s="12" t="s">
        <v>105</v>
      </c>
      <c r="E52" s="12" t="s">
        <v>106</v>
      </c>
      <c r="R52" s="19"/>
      <c r="S52" s="12" t="s">
        <v>109</v>
      </c>
      <c r="T52" s="12">
        <f>MAX(S39:S50)</f>
        <v>0.73639650762852682</v>
      </c>
    </row>
    <row r="53" spans="1:20">
      <c r="A53" s="12" t="s">
        <v>12</v>
      </c>
      <c r="B53" s="12">
        <v>188.9</v>
      </c>
      <c r="C53" s="12">
        <v>221</v>
      </c>
      <c r="D53" s="12">
        <f t="shared" ref="D53:D66" si="6">C53-B53</f>
        <v>32.099999999999994</v>
      </c>
      <c r="E53" s="39">
        <f t="shared" ref="E53:E66" si="7">D53/B53</f>
        <v>0.16993118051879297</v>
      </c>
      <c r="R53" s="19"/>
      <c r="S53" s="12" t="s">
        <v>110</v>
      </c>
      <c r="T53" s="44">
        <f>INDEX(C39:C50,MATCH((T52),S39:S50,0))</f>
        <v>44835</v>
      </c>
    </row>
    <row r="54" spans="1:20">
      <c r="A54" s="12" t="s">
        <v>3</v>
      </c>
      <c r="B54" s="12">
        <v>153.80000000000001</v>
      </c>
      <c r="C54" s="12">
        <v>173.2</v>
      </c>
      <c r="D54" s="12">
        <f t="shared" si="6"/>
        <v>19.399999999999977</v>
      </c>
      <c r="E54" s="39">
        <f t="shared" si="7"/>
        <v>0.12613784135240558</v>
      </c>
      <c r="R54" s="19"/>
    </row>
    <row r="55" spans="1:20">
      <c r="A55" s="12" t="s">
        <v>6</v>
      </c>
      <c r="B55" s="12">
        <v>165.4</v>
      </c>
      <c r="C55" s="12">
        <v>179.6</v>
      </c>
      <c r="D55" s="12">
        <f t="shared" si="6"/>
        <v>14.199999999999989</v>
      </c>
      <c r="E55" s="39">
        <f t="shared" si="7"/>
        <v>8.5852478839177682E-2</v>
      </c>
      <c r="R55" s="19"/>
      <c r="S55" s="12" t="s">
        <v>111</v>
      </c>
      <c r="T55" s="12">
        <f>MIN(S39:S50)</f>
        <v>-0.76646811492644751</v>
      </c>
    </row>
    <row r="56" spans="1:20">
      <c r="A56" s="12" t="s">
        <v>10</v>
      </c>
      <c r="B56" s="12">
        <v>164.6</v>
      </c>
      <c r="C56" s="12">
        <v>174.9</v>
      </c>
      <c r="D56" s="12">
        <f t="shared" si="6"/>
        <v>10.300000000000011</v>
      </c>
      <c r="E56" s="39">
        <f t="shared" si="7"/>
        <v>6.2575941676792299E-2</v>
      </c>
      <c r="R56" s="19"/>
      <c r="S56" s="12" t="s">
        <v>112</v>
      </c>
      <c r="T56" s="44">
        <f>INDEX(C39:C50,MATCH(T55,S39:S50,0))</f>
        <v>44958</v>
      </c>
    </row>
    <row r="57" spans="1:20">
      <c r="A57" s="12" t="s">
        <v>14</v>
      </c>
      <c r="B57" s="12">
        <v>181.9</v>
      </c>
      <c r="C57" s="12">
        <v>191.1</v>
      </c>
      <c r="D57" s="12">
        <f t="shared" si="6"/>
        <v>9.1999999999999886</v>
      </c>
      <c r="E57" s="39">
        <f t="shared" si="7"/>
        <v>5.0577240241891086E-2</v>
      </c>
      <c r="R57" s="19"/>
    </row>
    <row r="58" spans="1:20">
      <c r="A58" s="12" t="s">
        <v>13</v>
      </c>
      <c r="B58" s="12">
        <v>174.2</v>
      </c>
      <c r="C58" s="12">
        <v>178.7</v>
      </c>
      <c r="D58" s="12">
        <f t="shared" si="6"/>
        <v>4.5</v>
      </c>
      <c r="E58" s="39">
        <f t="shared" si="7"/>
        <v>2.5832376578645237E-2</v>
      </c>
      <c r="R58" s="19"/>
    </row>
    <row r="59" spans="1:20">
      <c r="A59" s="12" t="s">
        <v>15</v>
      </c>
      <c r="B59" s="12">
        <v>172.4</v>
      </c>
      <c r="C59" s="12">
        <v>176.8</v>
      </c>
      <c r="D59" s="12">
        <f t="shared" si="6"/>
        <v>4.4000000000000057</v>
      </c>
      <c r="E59" s="39">
        <f t="shared" si="7"/>
        <v>2.5522041763341101E-2</v>
      </c>
      <c r="R59" s="19"/>
    </row>
    <row r="60" spans="1:20">
      <c r="A60" s="12" t="s">
        <v>11</v>
      </c>
      <c r="B60" s="12">
        <v>119.1</v>
      </c>
      <c r="C60" s="12">
        <v>121.9</v>
      </c>
      <c r="D60" s="12">
        <f t="shared" si="6"/>
        <v>2.8000000000000114</v>
      </c>
      <c r="E60" s="39">
        <f t="shared" si="7"/>
        <v>2.350965575146945E-2</v>
      </c>
      <c r="R60" s="19"/>
    </row>
    <row r="61" spans="1:20">
      <c r="A61" s="12" t="s">
        <v>8</v>
      </c>
      <c r="B61" s="12">
        <v>165.8</v>
      </c>
      <c r="C61" s="12">
        <v>169</v>
      </c>
      <c r="D61" s="12">
        <f t="shared" si="6"/>
        <v>3.1999999999999886</v>
      </c>
      <c r="E61" s="39">
        <f t="shared" si="7"/>
        <v>1.9300361881785213E-2</v>
      </c>
      <c r="R61" s="19"/>
    </row>
    <row r="62" spans="1:20">
      <c r="A62" s="12" t="s">
        <v>5</v>
      </c>
      <c r="B62" s="12">
        <v>169.6</v>
      </c>
      <c r="C62" s="12">
        <v>171</v>
      </c>
      <c r="D62" s="12">
        <f t="shared" si="6"/>
        <v>1.4000000000000057</v>
      </c>
      <c r="E62" s="39">
        <f t="shared" si="7"/>
        <v>8.2547169811321101E-3</v>
      </c>
      <c r="R62" s="19"/>
    </row>
    <row r="63" spans="1:20">
      <c r="A63" s="12" t="s">
        <v>4</v>
      </c>
      <c r="B63" s="12">
        <v>217.2</v>
      </c>
      <c r="C63" s="12">
        <v>211.5</v>
      </c>
      <c r="D63" s="12">
        <f t="shared" si="6"/>
        <v>-5.6999999999999886</v>
      </c>
      <c r="E63" s="39">
        <f t="shared" si="7"/>
        <v>-2.6243093922651884E-2</v>
      </c>
      <c r="R63" s="19"/>
    </row>
    <row r="64" spans="1:20">
      <c r="A64" s="12" t="s">
        <v>9</v>
      </c>
      <c r="B64" s="12">
        <v>167.3</v>
      </c>
      <c r="C64" s="12">
        <v>148.69999999999999</v>
      </c>
      <c r="D64" s="12">
        <f t="shared" si="6"/>
        <v>-18.600000000000023</v>
      </c>
      <c r="E64" s="39">
        <f t="shared" si="7"/>
        <v>-0.11117752540346695</v>
      </c>
      <c r="R64" s="19"/>
    </row>
    <row r="65" spans="1:19">
      <c r="A65" s="12" t="s">
        <v>7</v>
      </c>
      <c r="B65" s="12">
        <v>208.1</v>
      </c>
      <c r="C65" s="12">
        <v>173.3</v>
      </c>
      <c r="D65" s="12">
        <f t="shared" si="6"/>
        <v>-34.799999999999983</v>
      </c>
      <c r="E65" s="39">
        <f t="shared" si="7"/>
        <v>-0.16722729456991822</v>
      </c>
      <c r="R65" s="19"/>
    </row>
    <row r="66" spans="1:19">
      <c r="A66" s="12" t="s">
        <v>151</v>
      </c>
      <c r="B66" s="8">
        <f>AVERAGE(B53:B65)</f>
        <v>172.94615384615383</v>
      </c>
      <c r="C66" s="8">
        <f>AVERAGE(C53:C65)</f>
        <v>176.20769230769233</v>
      </c>
      <c r="D66" s="8">
        <f t="shared" si="6"/>
        <v>3.2615384615384926</v>
      </c>
      <c r="E66" s="39">
        <f t="shared" si="7"/>
        <v>1.8858693234888764E-2</v>
      </c>
      <c r="R66" s="19"/>
    </row>
    <row r="67" spans="1:19">
      <c r="A67" s="119" t="s">
        <v>108</v>
      </c>
      <c r="B67" s="120" t="str">
        <f>INDEX(A53:A65,MATCH(MAX(E53:E65),E53:E65,0))</f>
        <v>Spices</v>
      </c>
      <c r="C67" s="46"/>
      <c r="R67" s="19"/>
    </row>
    <row r="68" spans="1:19">
      <c r="C68" s="46"/>
      <c r="R68" s="19"/>
    </row>
    <row r="69" spans="1:19" s="45" customFormat="1">
      <c r="C69" s="47"/>
      <c r="R69" s="48"/>
    </row>
    <row r="71" spans="1:19" ht="18">
      <c r="A71" s="35" t="s">
        <v>33</v>
      </c>
    </row>
    <row r="72" spans="1:19">
      <c r="A72" s="12" t="s">
        <v>0</v>
      </c>
      <c r="B72" s="12" t="s">
        <v>1</v>
      </c>
      <c r="C72" s="12"/>
      <c r="D72" s="12" t="s">
        <v>2</v>
      </c>
      <c r="E72" s="12" t="s">
        <v>3</v>
      </c>
      <c r="F72" s="12" t="s">
        <v>4</v>
      </c>
      <c r="G72" s="12" t="s">
        <v>5</v>
      </c>
      <c r="H72" s="12" t="s">
        <v>6</v>
      </c>
      <c r="I72" s="12" t="s">
        <v>7</v>
      </c>
      <c r="J72" s="12" t="s">
        <v>8</v>
      </c>
      <c r="K72" s="12" t="s">
        <v>9</v>
      </c>
      <c r="L72" s="12" t="s">
        <v>10</v>
      </c>
      <c r="M72" s="12" t="s">
        <v>11</v>
      </c>
      <c r="N72" s="12" t="s">
        <v>12</v>
      </c>
      <c r="O72" s="12" t="s">
        <v>13</v>
      </c>
      <c r="P72" s="12" t="s">
        <v>14</v>
      </c>
      <c r="Q72" s="12" t="s">
        <v>15</v>
      </c>
      <c r="R72" s="12" t="s">
        <v>101</v>
      </c>
      <c r="S72" s="12" t="s">
        <v>102</v>
      </c>
    </row>
    <row r="73" spans="1:19">
      <c r="A73" s="12" t="s">
        <v>33</v>
      </c>
      <c r="B73" s="12">
        <v>2022</v>
      </c>
      <c r="C73" s="37">
        <f t="shared" ref="C73:C84" si="8">DATE(B73,MONTH(1&amp;D73),1)</f>
        <v>44713</v>
      </c>
      <c r="D73" s="12" t="s">
        <v>39</v>
      </c>
      <c r="E73" s="12">
        <v>157.5</v>
      </c>
      <c r="F73" s="12">
        <v>223.4</v>
      </c>
      <c r="G73" s="12">
        <v>172.8</v>
      </c>
      <c r="H73" s="12">
        <v>166.4</v>
      </c>
      <c r="I73" s="12">
        <v>188.6</v>
      </c>
      <c r="J73" s="12">
        <v>174.1</v>
      </c>
      <c r="K73" s="12">
        <v>211.5</v>
      </c>
      <c r="L73" s="12">
        <v>163.6</v>
      </c>
      <c r="M73" s="12">
        <v>121.4</v>
      </c>
      <c r="N73" s="12">
        <v>183.5</v>
      </c>
      <c r="O73" s="12">
        <v>159.1</v>
      </c>
      <c r="P73" s="12">
        <v>186.3</v>
      </c>
      <c r="Q73" s="12">
        <v>179.3</v>
      </c>
      <c r="R73" s="33">
        <v>175.96153846153845</v>
      </c>
      <c r="S73" s="12"/>
    </row>
    <row r="74" spans="1:19">
      <c r="A74" s="12" t="s">
        <v>33</v>
      </c>
      <c r="B74" s="12">
        <v>2022</v>
      </c>
      <c r="C74" s="37">
        <f t="shared" si="8"/>
        <v>44743</v>
      </c>
      <c r="D74" s="12" t="s">
        <v>40</v>
      </c>
      <c r="E74" s="12">
        <v>159.30000000000001</v>
      </c>
      <c r="F74" s="12">
        <v>217.1</v>
      </c>
      <c r="G74" s="12">
        <v>176.6</v>
      </c>
      <c r="H74" s="12">
        <v>167.1</v>
      </c>
      <c r="I74" s="12">
        <v>184.8</v>
      </c>
      <c r="J74" s="12">
        <v>179.5</v>
      </c>
      <c r="K74" s="12">
        <v>208.5</v>
      </c>
      <c r="L74" s="12">
        <v>164</v>
      </c>
      <c r="M74" s="12">
        <v>121.5</v>
      </c>
      <c r="N74" s="12">
        <v>186.3</v>
      </c>
      <c r="O74" s="12">
        <v>159.80000000000001</v>
      </c>
      <c r="P74" s="12">
        <v>187.7</v>
      </c>
      <c r="Q74" s="12">
        <v>179.4</v>
      </c>
      <c r="R74" s="33">
        <v>176.27692307692308</v>
      </c>
      <c r="S74" s="33">
        <f>IF(R73=0,"",((R74-R73)/R73)*100)</f>
        <v>0.17923497267760408</v>
      </c>
    </row>
    <row r="75" spans="1:19">
      <c r="A75" s="12" t="s">
        <v>33</v>
      </c>
      <c r="B75" s="12">
        <v>2022</v>
      </c>
      <c r="C75" s="37">
        <f t="shared" si="8"/>
        <v>44774</v>
      </c>
      <c r="D75" s="12" t="s">
        <v>41</v>
      </c>
      <c r="E75" s="12">
        <v>162.1</v>
      </c>
      <c r="F75" s="12">
        <v>210.9</v>
      </c>
      <c r="G75" s="12">
        <v>170.6</v>
      </c>
      <c r="H75" s="12">
        <v>168.4</v>
      </c>
      <c r="I75" s="12">
        <v>182.5</v>
      </c>
      <c r="J75" s="12">
        <v>177.1</v>
      </c>
      <c r="K75" s="12">
        <v>213.1</v>
      </c>
      <c r="L75" s="12">
        <v>167.3</v>
      </c>
      <c r="M75" s="12">
        <v>122.2</v>
      </c>
      <c r="N75" s="12">
        <v>189.7</v>
      </c>
      <c r="O75" s="12">
        <v>160.5</v>
      </c>
      <c r="P75" s="12">
        <v>188.9</v>
      </c>
      <c r="Q75" s="12">
        <v>180.4</v>
      </c>
      <c r="R75" s="33">
        <v>176.43846153846152</v>
      </c>
      <c r="S75" s="33">
        <f t="shared" ref="S75:S84" si="9">IF(R74=0,"",((R75-R74)/R74)*100)</f>
        <v>9.1639029499028551E-2</v>
      </c>
    </row>
    <row r="76" spans="1:19">
      <c r="A76" s="12" t="s">
        <v>33</v>
      </c>
      <c r="B76" s="12">
        <v>2022</v>
      </c>
      <c r="C76" s="37">
        <f t="shared" si="8"/>
        <v>44805</v>
      </c>
      <c r="D76" s="12" t="s">
        <v>42</v>
      </c>
      <c r="E76" s="12">
        <v>164.9</v>
      </c>
      <c r="F76" s="12">
        <v>213.7</v>
      </c>
      <c r="G76" s="12">
        <v>170.9</v>
      </c>
      <c r="H76" s="12">
        <v>170.1</v>
      </c>
      <c r="I76" s="12">
        <v>179.3</v>
      </c>
      <c r="J76" s="12">
        <v>167.5</v>
      </c>
      <c r="K76" s="12">
        <v>220.8</v>
      </c>
      <c r="L76" s="12">
        <v>169.2</v>
      </c>
      <c r="M76" s="12">
        <v>123.1</v>
      </c>
      <c r="N76" s="12">
        <v>193.6</v>
      </c>
      <c r="O76" s="12">
        <v>161.1</v>
      </c>
      <c r="P76" s="12">
        <v>190.4</v>
      </c>
      <c r="Q76" s="12">
        <v>181.8</v>
      </c>
      <c r="R76" s="33">
        <v>177.41538461538462</v>
      </c>
      <c r="S76" s="33">
        <f t="shared" si="9"/>
        <v>0.55369054366309034</v>
      </c>
    </row>
    <row r="77" spans="1:19">
      <c r="A77" s="12" t="s">
        <v>33</v>
      </c>
      <c r="B77" s="12">
        <v>2022</v>
      </c>
      <c r="C77" s="37">
        <f t="shared" si="8"/>
        <v>44835</v>
      </c>
      <c r="D77" s="12" t="s">
        <v>43</v>
      </c>
      <c r="E77" s="12">
        <v>166.4</v>
      </c>
      <c r="F77" s="12">
        <v>214.9</v>
      </c>
      <c r="G77" s="12">
        <v>171.9</v>
      </c>
      <c r="H77" s="12">
        <v>171</v>
      </c>
      <c r="I77" s="12">
        <v>177.7</v>
      </c>
      <c r="J77" s="12">
        <v>165.7</v>
      </c>
      <c r="K77" s="12">
        <v>228.6</v>
      </c>
      <c r="L77" s="12">
        <v>169.9</v>
      </c>
      <c r="M77" s="12">
        <v>123.4</v>
      </c>
      <c r="N77" s="12">
        <v>196.4</v>
      </c>
      <c r="O77" s="12">
        <v>161.6</v>
      </c>
      <c r="P77" s="12">
        <v>191.5</v>
      </c>
      <c r="Q77" s="12">
        <v>183.3</v>
      </c>
      <c r="R77" s="33">
        <v>178.63846153846154</v>
      </c>
      <c r="S77" s="33">
        <f t="shared" si="9"/>
        <v>0.68938605619146376</v>
      </c>
    </row>
    <row r="78" spans="1:19">
      <c r="A78" s="12" t="s">
        <v>33</v>
      </c>
      <c r="B78" s="12">
        <v>2022</v>
      </c>
      <c r="C78" s="37">
        <f t="shared" si="8"/>
        <v>44866</v>
      </c>
      <c r="D78" s="12" t="s">
        <v>45</v>
      </c>
      <c r="E78" s="12">
        <v>168.4</v>
      </c>
      <c r="F78" s="12">
        <v>213.4</v>
      </c>
      <c r="G78" s="12">
        <v>183.2</v>
      </c>
      <c r="H78" s="12">
        <v>172.3</v>
      </c>
      <c r="I78" s="12">
        <v>180</v>
      </c>
      <c r="J78" s="12">
        <v>162.6</v>
      </c>
      <c r="K78" s="12">
        <v>205.5</v>
      </c>
      <c r="L78" s="12">
        <v>171</v>
      </c>
      <c r="M78" s="12">
        <v>123.4</v>
      </c>
      <c r="N78" s="12">
        <v>198.8</v>
      </c>
      <c r="O78" s="12">
        <v>162.1</v>
      </c>
      <c r="P78" s="12">
        <v>192.4</v>
      </c>
      <c r="Q78" s="12">
        <v>181.3</v>
      </c>
      <c r="R78" s="33">
        <v>178.03076923076924</v>
      </c>
      <c r="S78" s="33">
        <f t="shared" si="9"/>
        <v>-0.34017999397149157</v>
      </c>
    </row>
    <row r="79" spans="1:19">
      <c r="A79" s="12" t="s">
        <v>33</v>
      </c>
      <c r="B79" s="12">
        <v>2022</v>
      </c>
      <c r="C79" s="37">
        <f t="shared" si="8"/>
        <v>44896</v>
      </c>
      <c r="D79" s="12" t="s">
        <v>46</v>
      </c>
      <c r="E79" s="12">
        <v>170.2</v>
      </c>
      <c r="F79" s="12">
        <v>212.9</v>
      </c>
      <c r="G79" s="12">
        <v>191.9</v>
      </c>
      <c r="H79" s="12">
        <v>173.9</v>
      </c>
      <c r="I79" s="12">
        <v>179.1</v>
      </c>
      <c r="J79" s="12">
        <v>159.5</v>
      </c>
      <c r="K79" s="12">
        <v>178.7</v>
      </c>
      <c r="L79" s="12">
        <v>171.3</v>
      </c>
      <c r="M79" s="12">
        <v>123.1</v>
      </c>
      <c r="N79" s="12">
        <v>200.5</v>
      </c>
      <c r="O79" s="12">
        <v>162.80000000000001</v>
      </c>
      <c r="P79" s="12">
        <v>193.3</v>
      </c>
      <c r="Q79" s="12">
        <v>178.6</v>
      </c>
      <c r="R79" s="33">
        <v>176.59999999999997</v>
      </c>
      <c r="S79" s="33">
        <f t="shared" si="9"/>
        <v>-0.80366401659179632</v>
      </c>
    </row>
    <row r="80" spans="1:19">
      <c r="A80" s="12" t="s">
        <v>33</v>
      </c>
      <c r="B80" s="12">
        <v>2023</v>
      </c>
      <c r="C80" s="37">
        <f t="shared" si="8"/>
        <v>44927</v>
      </c>
      <c r="D80" s="12" t="s">
        <v>31</v>
      </c>
      <c r="E80" s="12">
        <v>173.3</v>
      </c>
      <c r="F80" s="12">
        <v>215.2</v>
      </c>
      <c r="G80" s="12">
        <v>197</v>
      </c>
      <c r="H80" s="12">
        <v>175.2</v>
      </c>
      <c r="I80" s="12">
        <v>178</v>
      </c>
      <c r="J80" s="12">
        <v>160.5</v>
      </c>
      <c r="K80" s="12">
        <v>175.3</v>
      </c>
      <c r="L80" s="12">
        <v>171.2</v>
      </c>
      <c r="M80" s="12">
        <v>122.7</v>
      </c>
      <c r="N80" s="12">
        <v>204.3</v>
      </c>
      <c r="O80" s="12">
        <v>163.69999999999999</v>
      </c>
      <c r="P80" s="12">
        <v>194.3</v>
      </c>
      <c r="Q80" s="12">
        <v>179.5</v>
      </c>
      <c r="R80" s="33">
        <v>177.70769230769233</v>
      </c>
      <c r="S80" s="33">
        <f t="shared" si="9"/>
        <v>0.62723233731164252</v>
      </c>
    </row>
    <row r="81" spans="1:20">
      <c r="A81" s="12" t="s">
        <v>33</v>
      </c>
      <c r="B81" s="12">
        <v>2023</v>
      </c>
      <c r="C81" s="37">
        <f t="shared" si="8"/>
        <v>44958</v>
      </c>
      <c r="D81" s="12" t="s">
        <v>35</v>
      </c>
      <c r="E81" s="12">
        <v>174.7</v>
      </c>
      <c r="F81" s="12">
        <v>212.2</v>
      </c>
      <c r="G81" s="12">
        <v>177.2</v>
      </c>
      <c r="H81" s="12">
        <v>177.9</v>
      </c>
      <c r="I81" s="12">
        <v>172.2</v>
      </c>
      <c r="J81" s="12">
        <v>172.1</v>
      </c>
      <c r="K81" s="12">
        <v>175.8</v>
      </c>
      <c r="L81" s="12">
        <v>172.2</v>
      </c>
      <c r="M81" s="12">
        <v>121.9</v>
      </c>
      <c r="N81" s="12">
        <v>204.8</v>
      </c>
      <c r="O81" s="12">
        <v>164.9</v>
      </c>
      <c r="P81" s="12">
        <v>196.6</v>
      </c>
      <c r="Q81" s="12">
        <v>180.7</v>
      </c>
      <c r="R81" s="33">
        <v>177.16923076923075</v>
      </c>
      <c r="S81" s="33">
        <f t="shared" si="9"/>
        <v>-0.30300406891180343</v>
      </c>
    </row>
    <row r="82" spans="1:20">
      <c r="A82" s="12" t="s">
        <v>33</v>
      </c>
      <c r="B82" s="12">
        <v>2023</v>
      </c>
      <c r="C82" s="37">
        <f t="shared" si="8"/>
        <v>44986</v>
      </c>
      <c r="D82" s="12" t="s">
        <v>36</v>
      </c>
      <c r="E82" s="12">
        <v>174.7</v>
      </c>
      <c r="F82" s="12">
        <v>212.2</v>
      </c>
      <c r="G82" s="12">
        <v>177.2</v>
      </c>
      <c r="H82" s="12">
        <v>177.9</v>
      </c>
      <c r="I82" s="12">
        <v>172.2</v>
      </c>
      <c r="J82" s="12">
        <v>172.1</v>
      </c>
      <c r="K82" s="12">
        <v>175.9</v>
      </c>
      <c r="L82" s="12">
        <v>172.2</v>
      </c>
      <c r="M82" s="12">
        <v>121.9</v>
      </c>
      <c r="N82" s="12">
        <v>204.8</v>
      </c>
      <c r="O82" s="12">
        <v>164.9</v>
      </c>
      <c r="P82" s="12">
        <v>196.6</v>
      </c>
      <c r="Q82" s="12">
        <v>180.8</v>
      </c>
      <c r="R82" s="33">
        <v>177.1846153846154</v>
      </c>
      <c r="S82" s="33">
        <f t="shared" si="9"/>
        <v>8.6835706842833867E-3</v>
      </c>
    </row>
    <row r="83" spans="1:20">
      <c r="A83" s="12" t="s">
        <v>33</v>
      </c>
      <c r="B83" s="12">
        <v>2023</v>
      </c>
      <c r="C83" s="37">
        <f t="shared" si="8"/>
        <v>45017</v>
      </c>
      <c r="D83" s="12" t="s">
        <v>37</v>
      </c>
      <c r="E83" s="12">
        <v>174.8</v>
      </c>
      <c r="F83" s="12">
        <v>213.7</v>
      </c>
      <c r="G83" s="12">
        <v>172.4</v>
      </c>
      <c r="H83" s="12">
        <v>178.8</v>
      </c>
      <c r="I83" s="12">
        <v>168.7</v>
      </c>
      <c r="J83" s="12">
        <v>179.2</v>
      </c>
      <c r="K83" s="12">
        <v>179.9</v>
      </c>
      <c r="L83" s="12">
        <v>174.7</v>
      </c>
      <c r="M83" s="12">
        <v>123.1</v>
      </c>
      <c r="N83" s="12">
        <v>207.8</v>
      </c>
      <c r="O83" s="12">
        <v>165.5</v>
      </c>
      <c r="P83" s="12">
        <v>197</v>
      </c>
      <c r="Q83" s="12">
        <v>182.1</v>
      </c>
      <c r="R83" s="33">
        <v>178.28461538461539</v>
      </c>
      <c r="S83" s="33">
        <f t="shared" si="9"/>
        <v>0.62082139446035967</v>
      </c>
    </row>
    <row r="84" spans="1:20">
      <c r="A84" s="12" t="s">
        <v>33</v>
      </c>
      <c r="B84" s="12">
        <v>2023</v>
      </c>
      <c r="C84" s="37">
        <f t="shared" si="8"/>
        <v>45047</v>
      </c>
      <c r="D84" s="12" t="s">
        <v>38</v>
      </c>
      <c r="E84" s="12">
        <v>174.7</v>
      </c>
      <c r="F84" s="12">
        <v>219.4</v>
      </c>
      <c r="G84" s="12">
        <v>176.7</v>
      </c>
      <c r="H84" s="12">
        <v>179.4</v>
      </c>
      <c r="I84" s="12">
        <v>164.4</v>
      </c>
      <c r="J84" s="12">
        <v>175.8</v>
      </c>
      <c r="K84" s="12">
        <v>185</v>
      </c>
      <c r="L84" s="12">
        <v>176.9</v>
      </c>
      <c r="M84" s="12">
        <v>124.2</v>
      </c>
      <c r="N84" s="12">
        <v>211.9</v>
      </c>
      <c r="O84" s="12">
        <v>165.9</v>
      </c>
      <c r="P84" s="12">
        <v>197.7</v>
      </c>
      <c r="Q84" s="12">
        <v>183.1</v>
      </c>
      <c r="R84" s="33">
        <v>179.62307692307692</v>
      </c>
      <c r="S84" s="33">
        <f t="shared" si="9"/>
        <v>0.75074427233895202</v>
      </c>
    </row>
    <row r="86" spans="1:20">
      <c r="S86" s="12" t="s">
        <v>109</v>
      </c>
      <c r="T86" s="33">
        <f>MAX(S73:S84)</f>
        <v>0.75074427233895202</v>
      </c>
    </row>
    <row r="87" spans="1:20">
      <c r="A87" s="12" t="s">
        <v>107</v>
      </c>
      <c r="B87" s="12" t="s">
        <v>103</v>
      </c>
      <c r="C87" s="12" t="s">
        <v>104</v>
      </c>
      <c r="D87" s="12" t="s">
        <v>105</v>
      </c>
      <c r="E87" s="12" t="s">
        <v>106</v>
      </c>
      <c r="S87" s="12" t="s">
        <v>110</v>
      </c>
      <c r="T87" s="44">
        <f>INDEX(C73:C84,MATCH((T86),S73:S84,0))</f>
        <v>45047</v>
      </c>
    </row>
    <row r="88" spans="1:20">
      <c r="A88" s="12" t="s">
        <v>12</v>
      </c>
      <c r="B88" s="12">
        <v>183.5</v>
      </c>
      <c r="C88" s="12">
        <v>211.9</v>
      </c>
      <c r="D88" s="12">
        <f t="shared" ref="D88:D101" si="10">C88-B88</f>
        <v>28.400000000000006</v>
      </c>
      <c r="E88" s="8">
        <f t="shared" ref="E88:E100" si="11">(D88/C88)*100</f>
        <v>13.402548371873527</v>
      </c>
    </row>
    <row r="89" spans="1:20">
      <c r="A89" s="12" t="s">
        <v>3</v>
      </c>
      <c r="B89" s="12">
        <v>157.5</v>
      </c>
      <c r="C89" s="12">
        <v>174.7</v>
      </c>
      <c r="D89" s="12">
        <f t="shared" si="10"/>
        <v>17.199999999999989</v>
      </c>
      <c r="E89" s="8">
        <f t="shared" si="11"/>
        <v>9.8454493417286724</v>
      </c>
      <c r="S89" s="12" t="s">
        <v>111</v>
      </c>
      <c r="T89" s="33">
        <f>MIN(S73:S84)</f>
        <v>-0.80366401659179632</v>
      </c>
    </row>
    <row r="90" spans="1:20">
      <c r="A90" s="12" t="s">
        <v>10</v>
      </c>
      <c r="B90" s="12">
        <v>163.6</v>
      </c>
      <c r="C90" s="12">
        <v>176.9</v>
      </c>
      <c r="D90" s="12">
        <f t="shared" si="10"/>
        <v>13.300000000000011</v>
      </c>
      <c r="E90" s="8">
        <f t="shared" si="11"/>
        <v>7.5183719615602094</v>
      </c>
      <c r="S90" s="12" t="s">
        <v>112</v>
      </c>
      <c r="T90" s="44">
        <f>INDEX(C73:C84,MATCH(T89,S73:S84,0))</f>
        <v>44896</v>
      </c>
    </row>
    <row r="91" spans="1:20">
      <c r="A91" s="12" t="s">
        <v>6</v>
      </c>
      <c r="B91" s="12">
        <v>166.4</v>
      </c>
      <c r="C91" s="12">
        <v>179.4</v>
      </c>
      <c r="D91" s="12">
        <f t="shared" si="10"/>
        <v>13</v>
      </c>
      <c r="E91" s="8">
        <f t="shared" si="11"/>
        <v>7.2463768115942031</v>
      </c>
    </row>
    <row r="92" spans="1:20">
      <c r="A92" s="12" t="s">
        <v>14</v>
      </c>
      <c r="B92" s="12">
        <v>186.3</v>
      </c>
      <c r="C92" s="12">
        <v>197.7</v>
      </c>
      <c r="D92" s="12">
        <f t="shared" si="10"/>
        <v>11.399999999999977</v>
      </c>
      <c r="E92" s="8">
        <f t="shared" si="11"/>
        <v>5.7663125948406568</v>
      </c>
    </row>
    <row r="93" spans="1:20">
      <c r="A93" s="12" t="s">
        <v>13</v>
      </c>
      <c r="B93" s="12">
        <v>159.1</v>
      </c>
      <c r="C93" s="12">
        <v>165.9</v>
      </c>
      <c r="D93" s="12">
        <f t="shared" si="10"/>
        <v>6.8000000000000114</v>
      </c>
      <c r="E93" s="8">
        <f t="shared" si="11"/>
        <v>4.0988547317661306</v>
      </c>
    </row>
    <row r="94" spans="1:20">
      <c r="A94" s="12" t="s">
        <v>11</v>
      </c>
      <c r="B94" s="12">
        <v>121.4</v>
      </c>
      <c r="C94" s="12">
        <v>124.2</v>
      </c>
      <c r="D94" s="12">
        <f t="shared" si="10"/>
        <v>2.7999999999999972</v>
      </c>
      <c r="E94" s="8">
        <f t="shared" si="11"/>
        <v>2.2544283413848607</v>
      </c>
    </row>
    <row r="95" spans="1:20">
      <c r="A95" s="12" t="s">
        <v>5</v>
      </c>
      <c r="B95" s="12">
        <v>172.8</v>
      </c>
      <c r="C95" s="12">
        <v>176.7</v>
      </c>
      <c r="D95" s="12">
        <f t="shared" si="10"/>
        <v>3.8999999999999773</v>
      </c>
      <c r="E95" s="8">
        <f t="shared" si="11"/>
        <v>2.2071307300509209</v>
      </c>
    </row>
    <row r="96" spans="1:20">
      <c r="A96" s="12" t="s">
        <v>15</v>
      </c>
      <c r="B96" s="12">
        <v>179.3</v>
      </c>
      <c r="C96" s="12">
        <v>183.1</v>
      </c>
      <c r="D96" s="12">
        <f t="shared" si="10"/>
        <v>3.7999999999999829</v>
      </c>
      <c r="E96" s="8">
        <f t="shared" si="11"/>
        <v>2.0753686510103675</v>
      </c>
    </row>
    <row r="97" spans="1:5">
      <c r="A97" s="12" t="s">
        <v>8</v>
      </c>
      <c r="B97" s="12">
        <v>174.1</v>
      </c>
      <c r="C97" s="12">
        <v>175.8</v>
      </c>
      <c r="D97" s="12">
        <f t="shared" si="10"/>
        <v>1.7000000000000171</v>
      </c>
      <c r="E97" s="8">
        <f t="shared" si="11"/>
        <v>0.96700796359500385</v>
      </c>
    </row>
    <row r="98" spans="1:5">
      <c r="A98" s="12" t="s">
        <v>4</v>
      </c>
      <c r="B98" s="12">
        <v>223.4</v>
      </c>
      <c r="C98" s="12">
        <v>219.4</v>
      </c>
      <c r="D98" s="12">
        <f t="shared" si="10"/>
        <v>-4</v>
      </c>
      <c r="E98" s="8">
        <f t="shared" si="11"/>
        <v>-1.8231540565177755</v>
      </c>
    </row>
    <row r="99" spans="1:5">
      <c r="A99" s="12" t="s">
        <v>9</v>
      </c>
      <c r="B99" s="12">
        <v>211.5</v>
      </c>
      <c r="C99" s="12">
        <v>185</v>
      </c>
      <c r="D99" s="12">
        <f t="shared" si="10"/>
        <v>-26.5</v>
      </c>
      <c r="E99" s="8">
        <f t="shared" si="11"/>
        <v>-14.324324324324325</v>
      </c>
    </row>
    <row r="100" spans="1:5">
      <c r="A100" s="12" t="s">
        <v>7</v>
      </c>
      <c r="B100" s="12">
        <v>188.6</v>
      </c>
      <c r="C100" s="12">
        <v>164.4</v>
      </c>
      <c r="D100" s="12">
        <f t="shared" si="10"/>
        <v>-24.199999999999989</v>
      </c>
      <c r="E100" s="8">
        <f t="shared" si="11"/>
        <v>-14.720194647201939</v>
      </c>
    </row>
    <row r="101" spans="1:5">
      <c r="A101" s="12" t="s">
        <v>60</v>
      </c>
      <c r="B101" s="8">
        <f>AVERAGE(B88:B100)</f>
        <v>175.96153846153842</v>
      </c>
      <c r="C101" s="8">
        <f>AVERAGE(C88:C100)</f>
        <v>179.62307692307692</v>
      </c>
      <c r="D101" s="8">
        <f t="shared" si="10"/>
        <v>3.6615384615384983</v>
      </c>
      <c r="E101" s="39">
        <f t="shared" ref="E101" si="12">D101/B101</f>
        <v>2.0808743169399121E-2</v>
      </c>
    </row>
    <row r="102" spans="1:5">
      <c r="A102" s="119" t="s">
        <v>108</v>
      </c>
      <c r="B102" s="120" t="str">
        <f>INDEX(A88:A100,MATCH(MAX(E88:E100),E88:E100,0))</f>
        <v>Spices</v>
      </c>
    </row>
  </sheetData>
  <autoFilter ref="A16:E29" xr:uid="{00000000-0009-0000-0000-000007000000}">
    <sortState xmlns:xlrd2="http://schemas.microsoft.com/office/spreadsheetml/2017/richdata2" ref="A17:E29">
      <sortCondition descending="1" ref="E16:E29"/>
    </sortState>
  </autoFilter>
  <pageMargins left="0.7" right="0.7" top="0.75" bottom="0.75" header="0.3" footer="0.3"/>
  <pageSetup paperSize="9" orientation="portrait"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37"/>
  <sheetViews>
    <sheetView topLeftCell="E1" workbookViewId="0">
      <selection activeCell="H21" sqref="H21"/>
    </sheetView>
  </sheetViews>
  <sheetFormatPr defaultRowHeight="14.4"/>
  <cols>
    <col min="1" max="1" width="11.33203125" bestFit="1" customWidth="1"/>
    <col min="2" max="2" width="5" bestFit="1" customWidth="1"/>
    <col min="3" max="3" width="9.6640625" style="32" bestFit="1" customWidth="1"/>
    <col min="4" max="4" width="18.33203125" bestFit="1" customWidth="1"/>
    <col min="5" max="5" width="12.109375" bestFit="1" customWidth="1"/>
    <col min="6" max="6" width="6" bestFit="1" customWidth="1"/>
    <col min="7" max="7" width="15.5546875" bestFit="1" customWidth="1"/>
    <col min="8" max="8" width="11" bestFit="1" customWidth="1"/>
    <col min="9" max="10" width="12" bestFit="1" customWidth="1"/>
    <col min="11" max="11" width="17.33203125" bestFit="1" customWidth="1"/>
    <col min="12" max="12" width="21.109375" bestFit="1" customWidth="1"/>
    <col min="13" max="13" width="6" bestFit="1" customWidth="1"/>
    <col min="14" max="14" width="21.44140625" bestFit="1" customWidth="1"/>
    <col min="15" max="15" width="30.44140625" bestFit="1" customWidth="1"/>
    <col min="16" max="16" width="17.44140625" bestFit="1" customWidth="1"/>
    <col min="17" max="17" width="10" bestFit="1" customWidth="1"/>
  </cols>
  <sheetData>
    <row r="1" spans="1:17">
      <c r="A1" s="21" t="s">
        <v>0</v>
      </c>
      <c r="B1" s="21" t="s">
        <v>1</v>
      </c>
      <c r="C1" s="22" t="s">
        <v>2</v>
      </c>
      <c r="D1" s="21" t="s">
        <v>3</v>
      </c>
      <c r="E1" s="21" t="s">
        <v>4</v>
      </c>
      <c r="F1" s="21" t="s">
        <v>5</v>
      </c>
      <c r="G1" s="21" t="s">
        <v>6</v>
      </c>
      <c r="H1" s="21" t="s">
        <v>7</v>
      </c>
      <c r="I1" s="21" t="s">
        <v>8</v>
      </c>
      <c r="J1" s="21" t="s">
        <v>9</v>
      </c>
      <c r="K1" s="21" t="s">
        <v>10</v>
      </c>
      <c r="L1" s="21" t="s">
        <v>11</v>
      </c>
      <c r="M1" s="21" t="s">
        <v>12</v>
      </c>
      <c r="N1" s="21" t="s">
        <v>13</v>
      </c>
      <c r="O1" s="21" t="s">
        <v>14</v>
      </c>
      <c r="P1" s="21" t="s">
        <v>15</v>
      </c>
      <c r="Q1" s="21" t="s">
        <v>101</v>
      </c>
    </row>
    <row r="2" spans="1:17">
      <c r="A2" s="21" t="s">
        <v>30</v>
      </c>
      <c r="B2" s="26">
        <v>2022</v>
      </c>
      <c r="C2" s="22" t="s">
        <v>39</v>
      </c>
      <c r="D2" s="27">
        <v>153.80000000000001</v>
      </c>
      <c r="E2" s="27">
        <v>217.2</v>
      </c>
      <c r="F2" s="27">
        <v>169.6</v>
      </c>
      <c r="G2" s="27">
        <v>165.4</v>
      </c>
      <c r="H2" s="27">
        <v>208.1</v>
      </c>
      <c r="I2" s="27">
        <v>165.8</v>
      </c>
      <c r="J2" s="27">
        <v>167.3</v>
      </c>
      <c r="K2" s="27">
        <v>164.6</v>
      </c>
      <c r="L2" s="27">
        <v>119.1</v>
      </c>
      <c r="M2" s="27">
        <v>188.9</v>
      </c>
      <c r="N2" s="27">
        <v>174.2</v>
      </c>
      <c r="O2" s="27">
        <v>181.9</v>
      </c>
      <c r="P2" s="27">
        <v>172.4</v>
      </c>
      <c r="Q2" s="12">
        <f>AVERAGE(D2:P2)</f>
        <v>172.94615384615386</v>
      </c>
    </row>
    <row r="3" spans="1:17">
      <c r="A3" s="21" t="s">
        <v>33</v>
      </c>
      <c r="B3" s="26">
        <v>2022</v>
      </c>
      <c r="C3" s="22" t="s">
        <v>39</v>
      </c>
      <c r="D3" s="27">
        <v>157.5</v>
      </c>
      <c r="E3" s="27">
        <v>223.4</v>
      </c>
      <c r="F3" s="27">
        <v>172.8</v>
      </c>
      <c r="G3" s="27">
        <v>166.4</v>
      </c>
      <c r="H3" s="27">
        <v>188.6</v>
      </c>
      <c r="I3" s="27">
        <v>174.1</v>
      </c>
      <c r="J3" s="27">
        <v>211.5</v>
      </c>
      <c r="K3" s="27">
        <v>163.6</v>
      </c>
      <c r="L3" s="27">
        <v>121.4</v>
      </c>
      <c r="M3" s="27">
        <v>183.5</v>
      </c>
      <c r="N3" s="27">
        <v>159.1</v>
      </c>
      <c r="O3" s="27">
        <v>186.3</v>
      </c>
      <c r="P3" s="27">
        <v>179.3</v>
      </c>
      <c r="Q3" s="12">
        <f t="shared" ref="Q3:Q37" si="0">AVERAGE(D3:P3)</f>
        <v>175.96153846153845</v>
      </c>
    </row>
    <row r="4" spans="1:17">
      <c r="A4" s="21" t="s">
        <v>34</v>
      </c>
      <c r="B4" s="26">
        <v>2022</v>
      </c>
      <c r="C4" s="22" t="s">
        <v>39</v>
      </c>
      <c r="D4" s="27">
        <v>155</v>
      </c>
      <c r="E4" s="27">
        <v>219.4</v>
      </c>
      <c r="F4" s="27">
        <v>170.8</v>
      </c>
      <c r="G4" s="27">
        <v>165.8</v>
      </c>
      <c r="H4" s="27">
        <v>200.9</v>
      </c>
      <c r="I4" s="27">
        <v>169.7</v>
      </c>
      <c r="J4" s="27">
        <v>182.3</v>
      </c>
      <c r="K4" s="27">
        <v>164.3</v>
      </c>
      <c r="L4" s="27">
        <v>119.9</v>
      </c>
      <c r="M4" s="27">
        <v>187.1</v>
      </c>
      <c r="N4" s="27">
        <v>167.9</v>
      </c>
      <c r="O4" s="27">
        <v>183.9</v>
      </c>
      <c r="P4" s="27">
        <v>174.9</v>
      </c>
      <c r="Q4" s="12">
        <f t="shared" si="0"/>
        <v>173.99230769230769</v>
      </c>
    </row>
    <row r="5" spans="1:17">
      <c r="A5" s="21" t="s">
        <v>30</v>
      </c>
      <c r="B5" s="26">
        <v>2022</v>
      </c>
      <c r="C5" s="22" t="s">
        <v>40</v>
      </c>
      <c r="D5" s="27">
        <v>155.19999999999999</v>
      </c>
      <c r="E5" s="27">
        <v>210.8</v>
      </c>
      <c r="F5" s="27">
        <v>174.3</v>
      </c>
      <c r="G5" s="27">
        <v>166.3</v>
      </c>
      <c r="H5" s="27">
        <v>202.2</v>
      </c>
      <c r="I5" s="27">
        <v>169.6</v>
      </c>
      <c r="J5" s="27">
        <v>168.6</v>
      </c>
      <c r="K5" s="27">
        <v>164.4</v>
      </c>
      <c r="L5" s="27">
        <v>119.2</v>
      </c>
      <c r="M5" s="27">
        <v>191.8</v>
      </c>
      <c r="N5" s="27">
        <v>174.5</v>
      </c>
      <c r="O5" s="27">
        <v>183.1</v>
      </c>
      <c r="P5" s="27">
        <v>172.5</v>
      </c>
      <c r="Q5" s="12">
        <f t="shared" si="0"/>
        <v>173.26923076923077</v>
      </c>
    </row>
    <row r="6" spans="1:17">
      <c r="A6" s="21" t="s">
        <v>33</v>
      </c>
      <c r="B6" s="26">
        <v>2022</v>
      </c>
      <c r="C6" s="22" t="s">
        <v>40</v>
      </c>
      <c r="D6" s="27">
        <v>159.30000000000001</v>
      </c>
      <c r="E6" s="27">
        <v>217.1</v>
      </c>
      <c r="F6" s="27">
        <v>176.6</v>
      </c>
      <c r="G6" s="27">
        <v>167.1</v>
      </c>
      <c r="H6" s="27">
        <v>184.8</v>
      </c>
      <c r="I6" s="27">
        <v>179.5</v>
      </c>
      <c r="J6" s="27">
        <v>208.5</v>
      </c>
      <c r="K6" s="27">
        <v>164</v>
      </c>
      <c r="L6" s="27">
        <v>121.5</v>
      </c>
      <c r="M6" s="27">
        <v>186.3</v>
      </c>
      <c r="N6" s="27">
        <v>159.80000000000001</v>
      </c>
      <c r="O6" s="27">
        <v>187.7</v>
      </c>
      <c r="P6" s="27">
        <v>179.4</v>
      </c>
      <c r="Q6" s="12">
        <f t="shared" si="0"/>
        <v>176.27692307692308</v>
      </c>
    </row>
    <row r="7" spans="1:17">
      <c r="A7" s="21" t="s">
        <v>34</v>
      </c>
      <c r="B7" s="26">
        <v>2022</v>
      </c>
      <c r="C7" s="22" t="s">
        <v>40</v>
      </c>
      <c r="D7" s="27">
        <v>156.5</v>
      </c>
      <c r="E7" s="27">
        <v>213</v>
      </c>
      <c r="F7" s="27">
        <v>175.2</v>
      </c>
      <c r="G7" s="27">
        <v>166.6</v>
      </c>
      <c r="H7" s="27">
        <v>195.8</v>
      </c>
      <c r="I7" s="27">
        <v>174.2</v>
      </c>
      <c r="J7" s="27">
        <v>182.1</v>
      </c>
      <c r="K7" s="27">
        <v>164.3</v>
      </c>
      <c r="L7" s="27">
        <v>120</v>
      </c>
      <c r="M7" s="27">
        <v>190</v>
      </c>
      <c r="N7" s="27">
        <v>168.4</v>
      </c>
      <c r="O7" s="27">
        <v>185.2</v>
      </c>
      <c r="P7" s="27">
        <v>175</v>
      </c>
      <c r="Q7" s="12">
        <f t="shared" si="0"/>
        <v>174.33076923076925</v>
      </c>
    </row>
    <row r="8" spans="1:17">
      <c r="A8" s="21" t="s">
        <v>30</v>
      </c>
      <c r="B8" s="26">
        <v>2022</v>
      </c>
      <c r="C8" s="22" t="s">
        <v>41</v>
      </c>
      <c r="D8" s="27">
        <v>159.5</v>
      </c>
      <c r="E8" s="27">
        <v>204.1</v>
      </c>
      <c r="F8" s="27">
        <v>168.3</v>
      </c>
      <c r="G8" s="27">
        <v>167.9</v>
      </c>
      <c r="H8" s="27">
        <v>198.1</v>
      </c>
      <c r="I8" s="27">
        <v>169.2</v>
      </c>
      <c r="J8" s="27">
        <v>173.1</v>
      </c>
      <c r="K8" s="27">
        <v>167.1</v>
      </c>
      <c r="L8" s="27">
        <v>120.2</v>
      </c>
      <c r="M8" s="27">
        <v>195.6</v>
      </c>
      <c r="N8" s="27">
        <v>174.8</v>
      </c>
      <c r="O8" s="27">
        <v>184</v>
      </c>
      <c r="P8" s="27">
        <v>173.9</v>
      </c>
      <c r="Q8" s="12">
        <f t="shared" si="0"/>
        <v>173.5230769230769</v>
      </c>
    </row>
    <row r="9" spans="1:17">
      <c r="A9" s="21" t="s">
        <v>33</v>
      </c>
      <c r="B9" s="26">
        <v>2022</v>
      </c>
      <c r="C9" s="22" t="s">
        <v>41</v>
      </c>
      <c r="D9" s="27">
        <v>162.1</v>
      </c>
      <c r="E9" s="27">
        <v>210.9</v>
      </c>
      <c r="F9" s="27">
        <v>170.6</v>
      </c>
      <c r="G9" s="27">
        <v>168.4</v>
      </c>
      <c r="H9" s="27">
        <v>182.5</v>
      </c>
      <c r="I9" s="27">
        <v>177.1</v>
      </c>
      <c r="J9" s="27">
        <v>213.1</v>
      </c>
      <c r="K9" s="27">
        <v>167.3</v>
      </c>
      <c r="L9" s="27">
        <v>122.2</v>
      </c>
      <c r="M9" s="27">
        <v>189.7</v>
      </c>
      <c r="N9" s="27">
        <v>160.5</v>
      </c>
      <c r="O9" s="27">
        <v>188.9</v>
      </c>
      <c r="P9" s="27">
        <v>180.4</v>
      </c>
      <c r="Q9" s="12">
        <f t="shared" si="0"/>
        <v>176.43846153846152</v>
      </c>
    </row>
    <row r="10" spans="1:17">
      <c r="A10" s="21" t="s">
        <v>34</v>
      </c>
      <c r="B10" s="26">
        <v>2022</v>
      </c>
      <c r="C10" s="22" t="s">
        <v>41</v>
      </c>
      <c r="D10" s="27">
        <v>160.30000000000001</v>
      </c>
      <c r="E10" s="27">
        <v>206.5</v>
      </c>
      <c r="F10" s="27">
        <v>169.2</v>
      </c>
      <c r="G10" s="27">
        <v>168.1</v>
      </c>
      <c r="H10" s="27">
        <v>192.4</v>
      </c>
      <c r="I10" s="27">
        <v>172.9</v>
      </c>
      <c r="J10" s="27">
        <v>186.7</v>
      </c>
      <c r="K10" s="27">
        <v>167.2</v>
      </c>
      <c r="L10" s="27">
        <v>120.9</v>
      </c>
      <c r="M10" s="27">
        <v>193.6</v>
      </c>
      <c r="N10" s="27">
        <v>168.8</v>
      </c>
      <c r="O10" s="27">
        <v>186.3</v>
      </c>
      <c r="P10" s="27">
        <v>176.3</v>
      </c>
      <c r="Q10" s="12">
        <f t="shared" si="0"/>
        <v>174.55384615384617</v>
      </c>
    </row>
    <row r="11" spans="1:17">
      <c r="A11" s="21" t="s">
        <v>30</v>
      </c>
      <c r="B11" s="26">
        <v>2022</v>
      </c>
      <c r="C11" s="22" t="s">
        <v>42</v>
      </c>
      <c r="D11" s="27">
        <v>162.9</v>
      </c>
      <c r="E11" s="27">
        <v>206.7</v>
      </c>
      <c r="F11" s="27">
        <v>169</v>
      </c>
      <c r="G11" s="27">
        <v>169.5</v>
      </c>
      <c r="H11" s="27">
        <v>194.1</v>
      </c>
      <c r="I11" s="27">
        <v>164.1</v>
      </c>
      <c r="J11" s="27">
        <v>176.9</v>
      </c>
      <c r="K11" s="27">
        <v>169</v>
      </c>
      <c r="L11" s="27">
        <v>120.8</v>
      </c>
      <c r="M11" s="27">
        <v>199.1</v>
      </c>
      <c r="N11" s="27">
        <v>175.4</v>
      </c>
      <c r="O11" s="27">
        <v>184.8</v>
      </c>
      <c r="P11" s="27">
        <v>175.5</v>
      </c>
      <c r="Q11" s="12">
        <f t="shared" si="0"/>
        <v>174.44615384615386</v>
      </c>
    </row>
    <row r="12" spans="1:17">
      <c r="A12" s="21" t="s">
        <v>33</v>
      </c>
      <c r="B12" s="26">
        <v>2022</v>
      </c>
      <c r="C12" s="22" t="s">
        <v>42</v>
      </c>
      <c r="D12" s="27">
        <v>164.9</v>
      </c>
      <c r="E12" s="27">
        <v>213.7</v>
      </c>
      <c r="F12" s="27">
        <v>170.9</v>
      </c>
      <c r="G12" s="27">
        <v>170.1</v>
      </c>
      <c r="H12" s="27">
        <v>179.3</v>
      </c>
      <c r="I12" s="27">
        <v>167.5</v>
      </c>
      <c r="J12" s="27">
        <v>220.8</v>
      </c>
      <c r="K12" s="27">
        <v>169.2</v>
      </c>
      <c r="L12" s="27">
        <v>123.1</v>
      </c>
      <c r="M12" s="27">
        <v>193.6</v>
      </c>
      <c r="N12" s="27">
        <v>161.1</v>
      </c>
      <c r="O12" s="27">
        <v>190.4</v>
      </c>
      <c r="P12" s="27">
        <v>181.8</v>
      </c>
      <c r="Q12" s="12">
        <f t="shared" si="0"/>
        <v>177.41538461538462</v>
      </c>
    </row>
    <row r="13" spans="1:17">
      <c r="A13" s="21" t="s">
        <v>34</v>
      </c>
      <c r="B13" s="26">
        <v>2022</v>
      </c>
      <c r="C13" s="22" t="s">
        <v>42</v>
      </c>
      <c r="D13" s="27">
        <v>163.5</v>
      </c>
      <c r="E13" s="27">
        <v>209.2</v>
      </c>
      <c r="F13" s="27">
        <v>169.7</v>
      </c>
      <c r="G13" s="27">
        <v>169.7</v>
      </c>
      <c r="H13" s="27">
        <v>188.7</v>
      </c>
      <c r="I13" s="27">
        <v>165.7</v>
      </c>
      <c r="J13" s="27">
        <v>191.8</v>
      </c>
      <c r="K13" s="27">
        <v>169.1</v>
      </c>
      <c r="L13" s="27">
        <v>121.6</v>
      </c>
      <c r="M13" s="27">
        <v>197.3</v>
      </c>
      <c r="N13" s="27">
        <v>169.4</v>
      </c>
      <c r="O13" s="27">
        <v>187.4</v>
      </c>
      <c r="P13" s="27">
        <v>177.8</v>
      </c>
      <c r="Q13" s="12">
        <f t="shared" si="0"/>
        <v>175.45384615384617</v>
      </c>
    </row>
    <row r="14" spans="1:17">
      <c r="A14" s="21" t="s">
        <v>30</v>
      </c>
      <c r="B14" s="26">
        <v>2022</v>
      </c>
      <c r="C14" s="22" t="s">
        <v>43</v>
      </c>
      <c r="D14" s="27">
        <v>164.7</v>
      </c>
      <c r="E14" s="27">
        <v>208.8</v>
      </c>
      <c r="F14" s="27">
        <v>170.3</v>
      </c>
      <c r="G14" s="27">
        <v>170.9</v>
      </c>
      <c r="H14" s="27">
        <v>191.6</v>
      </c>
      <c r="I14" s="27">
        <v>162.19999999999999</v>
      </c>
      <c r="J14" s="27">
        <v>184.8</v>
      </c>
      <c r="K14" s="27">
        <v>169.7</v>
      </c>
      <c r="L14" s="27">
        <v>121.1</v>
      </c>
      <c r="M14" s="27">
        <v>201.6</v>
      </c>
      <c r="N14" s="27">
        <v>175.8</v>
      </c>
      <c r="O14" s="27">
        <v>185.6</v>
      </c>
      <c r="P14" s="27">
        <v>177.4</v>
      </c>
      <c r="Q14" s="12">
        <f t="shared" si="0"/>
        <v>175.73076923076923</v>
      </c>
    </row>
    <row r="15" spans="1:17">
      <c r="A15" s="21" t="s">
        <v>33</v>
      </c>
      <c r="B15" s="26">
        <v>2022</v>
      </c>
      <c r="C15" s="22" t="s">
        <v>43</v>
      </c>
      <c r="D15" s="27">
        <v>166.4</v>
      </c>
      <c r="E15" s="27">
        <v>214.9</v>
      </c>
      <c r="F15" s="27">
        <v>171.9</v>
      </c>
      <c r="G15" s="27">
        <v>171</v>
      </c>
      <c r="H15" s="27">
        <v>177.7</v>
      </c>
      <c r="I15" s="27">
        <v>165.7</v>
      </c>
      <c r="J15" s="27">
        <v>228.6</v>
      </c>
      <c r="K15" s="27">
        <v>169.9</v>
      </c>
      <c r="L15" s="27">
        <v>123.4</v>
      </c>
      <c r="M15" s="27">
        <v>196.4</v>
      </c>
      <c r="N15" s="27">
        <v>161.6</v>
      </c>
      <c r="O15" s="27">
        <v>191.5</v>
      </c>
      <c r="P15" s="27">
        <v>183.3</v>
      </c>
      <c r="Q15" s="12">
        <f t="shared" si="0"/>
        <v>178.63846153846154</v>
      </c>
    </row>
    <row r="16" spans="1:17">
      <c r="A16" s="21" t="s">
        <v>34</v>
      </c>
      <c r="B16" s="26">
        <v>2022</v>
      </c>
      <c r="C16" s="22" t="s">
        <v>43</v>
      </c>
      <c r="D16" s="27">
        <v>165.2</v>
      </c>
      <c r="E16" s="27">
        <v>210.9</v>
      </c>
      <c r="F16" s="27">
        <v>170.9</v>
      </c>
      <c r="G16" s="27">
        <v>170.9</v>
      </c>
      <c r="H16" s="27">
        <v>186.5</v>
      </c>
      <c r="I16" s="27">
        <v>163.80000000000001</v>
      </c>
      <c r="J16" s="27">
        <v>199.7</v>
      </c>
      <c r="K16" s="27">
        <v>169.8</v>
      </c>
      <c r="L16" s="27">
        <v>121.9</v>
      </c>
      <c r="M16" s="27">
        <v>199.9</v>
      </c>
      <c r="N16" s="27">
        <v>169.9</v>
      </c>
      <c r="O16" s="27">
        <v>188.3</v>
      </c>
      <c r="P16" s="27">
        <v>179.6</v>
      </c>
      <c r="Q16" s="12">
        <f t="shared" si="0"/>
        <v>176.71538461538464</v>
      </c>
    </row>
    <row r="17" spans="1:17">
      <c r="A17" s="21" t="s">
        <v>30</v>
      </c>
      <c r="B17" s="26">
        <v>2022</v>
      </c>
      <c r="C17" s="22" t="s">
        <v>45</v>
      </c>
      <c r="D17" s="27">
        <v>166.9</v>
      </c>
      <c r="E17" s="27">
        <v>207.2</v>
      </c>
      <c r="F17" s="27">
        <v>180.2</v>
      </c>
      <c r="G17" s="27">
        <v>172.3</v>
      </c>
      <c r="H17" s="27">
        <v>194</v>
      </c>
      <c r="I17" s="27">
        <v>159.1</v>
      </c>
      <c r="J17" s="27">
        <v>171.6</v>
      </c>
      <c r="K17" s="27">
        <v>170.2</v>
      </c>
      <c r="L17" s="27">
        <v>121.5</v>
      </c>
      <c r="M17" s="27">
        <v>204.8</v>
      </c>
      <c r="N17" s="27">
        <v>176.4</v>
      </c>
      <c r="O17" s="27">
        <v>186.9</v>
      </c>
      <c r="P17" s="27">
        <v>176.6</v>
      </c>
      <c r="Q17" s="12">
        <f t="shared" si="0"/>
        <v>175.97692307692307</v>
      </c>
    </row>
    <row r="18" spans="1:17">
      <c r="A18" s="21" t="s">
        <v>33</v>
      </c>
      <c r="B18" s="26">
        <v>2022</v>
      </c>
      <c r="C18" s="22" t="s">
        <v>45</v>
      </c>
      <c r="D18" s="27">
        <v>168.4</v>
      </c>
      <c r="E18" s="27">
        <v>213.4</v>
      </c>
      <c r="F18" s="27">
        <v>183.2</v>
      </c>
      <c r="G18" s="27">
        <v>172.3</v>
      </c>
      <c r="H18" s="27">
        <v>180</v>
      </c>
      <c r="I18" s="27">
        <v>162.6</v>
      </c>
      <c r="J18" s="27">
        <v>205.5</v>
      </c>
      <c r="K18" s="27">
        <v>171</v>
      </c>
      <c r="L18" s="27">
        <v>123.4</v>
      </c>
      <c r="M18" s="27">
        <v>198.8</v>
      </c>
      <c r="N18" s="27">
        <v>162.1</v>
      </c>
      <c r="O18" s="27">
        <v>192.4</v>
      </c>
      <c r="P18" s="27">
        <v>181.3</v>
      </c>
      <c r="Q18" s="12">
        <f t="shared" si="0"/>
        <v>178.03076923076924</v>
      </c>
    </row>
    <row r="19" spans="1:17">
      <c r="A19" s="21" t="s">
        <v>34</v>
      </c>
      <c r="B19" s="26">
        <v>2022</v>
      </c>
      <c r="C19" s="22" t="s">
        <v>45</v>
      </c>
      <c r="D19" s="27">
        <v>167.4</v>
      </c>
      <c r="E19" s="27">
        <v>209.4</v>
      </c>
      <c r="F19" s="27">
        <v>181.4</v>
      </c>
      <c r="G19" s="27">
        <v>172.3</v>
      </c>
      <c r="H19" s="27">
        <v>188.9</v>
      </c>
      <c r="I19" s="27">
        <v>160.69999999999999</v>
      </c>
      <c r="J19" s="27">
        <v>183.1</v>
      </c>
      <c r="K19" s="27">
        <v>170.5</v>
      </c>
      <c r="L19" s="27">
        <v>122.1</v>
      </c>
      <c r="M19" s="27">
        <v>202.8</v>
      </c>
      <c r="N19" s="27">
        <v>170.4</v>
      </c>
      <c r="O19" s="27">
        <v>189.5</v>
      </c>
      <c r="P19" s="27">
        <v>178.3</v>
      </c>
      <c r="Q19" s="12">
        <f t="shared" si="0"/>
        <v>176.67692307692309</v>
      </c>
    </row>
    <row r="20" spans="1:17">
      <c r="A20" s="21" t="s">
        <v>30</v>
      </c>
      <c r="B20" s="26">
        <v>2022</v>
      </c>
      <c r="C20" s="22" t="s">
        <v>46</v>
      </c>
      <c r="D20" s="27">
        <v>168.8</v>
      </c>
      <c r="E20" s="27">
        <v>206.9</v>
      </c>
      <c r="F20" s="27">
        <v>189.1</v>
      </c>
      <c r="G20" s="27">
        <v>173.4</v>
      </c>
      <c r="H20" s="27">
        <v>193.9</v>
      </c>
      <c r="I20" s="27">
        <v>156.69999999999999</v>
      </c>
      <c r="J20" s="27">
        <v>150.19999999999999</v>
      </c>
      <c r="K20" s="27">
        <v>170.5</v>
      </c>
      <c r="L20" s="27">
        <v>121.2</v>
      </c>
      <c r="M20" s="27">
        <v>207.5</v>
      </c>
      <c r="N20" s="27">
        <v>176.8</v>
      </c>
      <c r="O20" s="27">
        <v>187.7</v>
      </c>
      <c r="P20" s="27">
        <v>174.4</v>
      </c>
      <c r="Q20" s="12">
        <f t="shared" si="0"/>
        <v>175.16153846153844</v>
      </c>
    </row>
    <row r="21" spans="1:17">
      <c r="A21" s="21" t="s">
        <v>33</v>
      </c>
      <c r="B21" s="26">
        <v>2022</v>
      </c>
      <c r="C21" s="22" t="s">
        <v>46</v>
      </c>
      <c r="D21" s="27">
        <v>170.2</v>
      </c>
      <c r="E21" s="27">
        <v>212.9</v>
      </c>
      <c r="F21" s="27">
        <v>191.9</v>
      </c>
      <c r="G21" s="27">
        <v>173.9</v>
      </c>
      <c r="H21" s="27">
        <v>179.1</v>
      </c>
      <c r="I21" s="27">
        <v>159.5</v>
      </c>
      <c r="J21" s="27">
        <v>178.7</v>
      </c>
      <c r="K21" s="27">
        <v>171.3</v>
      </c>
      <c r="L21" s="27">
        <v>123.1</v>
      </c>
      <c r="M21" s="27">
        <v>200.5</v>
      </c>
      <c r="N21" s="27">
        <v>162.80000000000001</v>
      </c>
      <c r="O21" s="27">
        <v>193.3</v>
      </c>
      <c r="P21" s="27">
        <v>178.6</v>
      </c>
      <c r="Q21" s="12">
        <f t="shared" si="0"/>
        <v>176.59999999999997</v>
      </c>
    </row>
    <row r="22" spans="1:17">
      <c r="A22" s="21" t="s">
        <v>34</v>
      </c>
      <c r="B22" s="26">
        <v>2022</v>
      </c>
      <c r="C22" s="22" t="s">
        <v>46</v>
      </c>
      <c r="D22" s="27">
        <v>169.2</v>
      </c>
      <c r="E22" s="27">
        <v>209</v>
      </c>
      <c r="F22" s="27">
        <v>190.2</v>
      </c>
      <c r="G22" s="27">
        <v>173.6</v>
      </c>
      <c r="H22" s="27">
        <v>188.5</v>
      </c>
      <c r="I22" s="27">
        <v>158</v>
      </c>
      <c r="J22" s="27">
        <v>159.9</v>
      </c>
      <c r="K22" s="27">
        <v>170.8</v>
      </c>
      <c r="L22" s="27">
        <v>121.8</v>
      </c>
      <c r="M22" s="27">
        <v>205.2</v>
      </c>
      <c r="N22" s="27">
        <v>171</v>
      </c>
      <c r="O22" s="27">
        <v>190.3</v>
      </c>
      <c r="P22" s="27">
        <v>175.9</v>
      </c>
      <c r="Q22" s="12">
        <f t="shared" si="0"/>
        <v>175.64615384615385</v>
      </c>
    </row>
    <row r="23" spans="1:17">
      <c r="A23" s="21" t="s">
        <v>30</v>
      </c>
      <c r="B23" s="26">
        <v>2023</v>
      </c>
      <c r="C23" s="22" t="s">
        <v>31</v>
      </c>
      <c r="D23" s="27">
        <v>174</v>
      </c>
      <c r="E23" s="27">
        <v>208.3</v>
      </c>
      <c r="F23" s="27">
        <v>192.9</v>
      </c>
      <c r="G23" s="27">
        <v>174.3</v>
      </c>
      <c r="H23" s="27">
        <v>192.6</v>
      </c>
      <c r="I23" s="27">
        <v>156.30000000000001</v>
      </c>
      <c r="J23" s="27">
        <v>142.9</v>
      </c>
      <c r="K23" s="27">
        <v>170.7</v>
      </c>
      <c r="L23" s="27">
        <v>120.3</v>
      </c>
      <c r="M23" s="27">
        <v>210.5</v>
      </c>
      <c r="N23" s="27">
        <v>176.9</v>
      </c>
      <c r="O23" s="27">
        <v>188.5</v>
      </c>
      <c r="P23" s="27">
        <v>175</v>
      </c>
      <c r="Q23" s="12">
        <f t="shared" si="0"/>
        <v>175.63076923076926</v>
      </c>
    </row>
    <row r="24" spans="1:17">
      <c r="A24" s="21" t="s">
        <v>33</v>
      </c>
      <c r="B24" s="26">
        <v>2023</v>
      </c>
      <c r="C24" s="22" t="s">
        <v>31</v>
      </c>
      <c r="D24" s="27">
        <v>173.3</v>
      </c>
      <c r="E24" s="27">
        <v>215.2</v>
      </c>
      <c r="F24" s="27">
        <v>197</v>
      </c>
      <c r="G24" s="27">
        <v>175.2</v>
      </c>
      <c r="H24" s="27">
        <v>178</v>
      </c>
      <c r="I24" s="27">
        <v>160.5</v>
      </c>
      <c r="J24" s="27">
        <v>175.3</v>
      </c>
      <c r="K24" s="27">
        <v>171.2</v>
      </c>
      <c r="L24" s="27">
        <v>122.7</v>
      </c>
      <c r="M24" s="27">
        <v>204.3</v>
      </c>
      <c r="N24" s="27">
        <v>163.69999999999999</v>
      </c>
      <c r="O24" s="27">
        <v>194.3</v>
      </c>
      <c r="P24" s="27">
        <v>179.5</v>
      </c>
      <c r="Q24" s="12">
        <f t="shared" si="0"/>
        <v>177.70769230769233</v>
      </c>
    </row>
    <row r="25" spans="1:17">
      <c r="A25" s="21" t="s">
        <v>34</v>
      </c>
      <c r="B25" s="26">
        <v>2023</v>
      </c>
      <c r="C25" s="22" t="s">
        <v>31</v>
      </c>
      <c r="D25" s="27">
        <v>173.8</v>
      </c>
      <c r="E25" s="27">
        <v>210.7</v>
      </c>
      <c r="F25" s="27">
        <v>194.5</v>
      </c>
      <c r="G25" s="27">
        <v>174.6</v>
      </c>
      <c r="H25" s="27">
        <v>187.2</v>
      </c>
      <c r="I25" s="27">
        <v>158.30000000000001</v>
      </c>
      <c r="J25" s="27">
        <v>153.9</v>
      </c>
      <c r="K25" s="27">
        <v>170.9</v>
      </c>
      <c r="L25" s="27">
        <v>121.1</v>
      </c>
      <c r="M25" s="27">
        <v>208.4</v>
      </c>
      <c r="N25" s="27">
        <v>171.4</v>
      </c>
      <c r="O25" s="27">
        <v>191.2</v>
      </c>
      <c r="P25" s="27">
        <v>176.7</v>
      </c>
      <c r="Q25" s="12">
        <f t="shared" si="0"/>
        <v>176.36153846153846</v>
      </c>
    </row>
    <row r="26" spans="1:17">
      <c r="A26" s="21" t="s">
        <v>30</v>
      </c>
      <c r="B26" s="26">
        <v>2023</v>
      </c>
      <c r="C26" s="22" t="s">
        <v>35</v>
      </c>
      <c r="D26" s="27">
        <v>174.2</v>
      </c>
      <c r="E26" s="27">
        <v>205.2</v>
      </c>
      <c r="F26" s="27">
        <v>173.9</v>
      </c>
      <c r="G26" s="27">
        <v>177</v>
      </c>
      <c r="H26" s="27">
        <v>183.4</v>
      </c>
      <c r="I26" s="27">
        <v>167.2</v>
      </c>
      <c r="J26" s="27">
        <v>140.9</v>
      </c>
      <c r="K26" s="27">
        <v>170.4</v>
      </c>
      <c r="L26" s="27">
        <v>119.1</v>
      </c>
      <c r="M26" s="27">
        <v>212.1</v>
      </c>
      <c r="N26" s="27">
        <v>177.6</v>
      </c>
      <c r="O26" s="27">
        <v>189.9</v>
      </c>
      <c r="P26" s="27">
        <v>174.8</v>
      </c>
      <c r="Q26" s="12">
        <f t="shared" si="0"/>
        <v>174.28461538461536</v>
      </c>
    </row>
    <row r="27" spans="1:17">
      <c r="A27" s="21" t="s">
        <v>33</v>
      </c>
      <c r="B27" s="26">
        <v>2023</v>
      </c>
      <c r="C27" s="22" t="s">
        <v>35</v>
      </c>
      <c r="D27" s="27">
        <v>174.7</v>
      </c>
      <c r="E27" s="27">
        <v>212.2</v>
      </c>
      <c r="F27" s="27">
        <v>177.2</v>
      </c>
      <c r="G27" s="27">
        <v>177.9</v>
      </c>
      <c r="H27" s="27">
        <v>172.2</v>
      </c>
      <c r="I27" s="27">
        <v>172.1</v>
      </c>
      <c r="J27" s="27">
        <v>175.8</v>
      </c>
      <c r="K27" s="27">
        <v>172.2</v>
      </c>
      <c r="L27" s="27">
        <v>121.9</v>
      </c>
      <c r="M27" s="27">
        <v>204.8</v>
      </c>
      <c r="N27" s="27">
        <v>164.9</v>
      </c>
      <c r="O27" s="27">
        <v>196.6</v>
      </c>
      <c r="P27" s="27">
        <v>180.7</v>
      </c>
      <c r="Q27" s="12">
        <f t="shared" si="0"/>
        <v>177.16923076923075</v>
      </c>
    </row>
    <row r="28" spans="1:17">
      <c r="A28" s="21" t="s">
        <v>34</v>
      </c>
      <c r="B28" s="26">
        <v>2023</v>
      </c>
      <c r="C28" s="22" t="s">
        <v>35</v>
      </c>
      <c r="D28" s="27">
        <v>174.4</v>
      </c>
      <c r="E28" s="27">
        <v>207.7</v>
      </c>
      <c r="F28" s="27">
        <v>175.2</v>
      </c>
      <c r="G28" s="27">
        <v>177.3</v>
      </c>
      <c r="H28" s="27">
        <v>179.3</v>
      </c>
      <c r="I28" s="27">
        <v>169.5</v>
      </c>
      <c r="J28" s="27">
        <v>152.69999999999999</v>
      </c>
      <c r="K28" s="27">
        <v>171</v>
      </c>
      <c r="L28" s="27">
        <v>120</v>
      </c>
      <c r="M28" s="27">
        <v>209.7</v>
      </c>
      <c r="N28" s="27">
        <v>172.3</v>
      </c>
      <c r="O28" s="27">
        <v>193</v>
      </c>
      <c r="P28" s="27">
        <v>177</v>
      </c>
      <c r="Q28" s="12">
        <f t="shared" si="0"/>
        <v>175.3153846153846</v>
      </c>
    </row>
    <row r="29" spans="1:17">
      <c r="A29" s="21" t="s">
        <v>30</v>
      </c>
      <c r="B29" s="26">
        <v>2023</v>
      </c>
      <c r="C29" s="22" t="s">
        <v>36</v>
      </c>
      <c r="D29" s="27">
        <v>174.3</v>
      </c>
      <c r="E29" s="27">
        <v>205.2</v>
      </c>
      <c r="F29" s="27">
        <v>173.9</v>
      </c>
      <c r="G29" s="27">
        <v>177</v>
      </c>
      <c r="H29" s="27">
        <v>183.3</v>
      </c>
      <c r="I29" s="27">
        <v>167.2</v>
      </c>
      <c r="J29" s="27">
        <v>140.9</v>
      </c>
      <c r="K29" s="27">
        <v>170.5</v>
      </c>
      <c r="L29" s="27">
        <v>119.1</v>
      </c>
      <c r="M29" s="27">
        <v>212.1</v>
      </c>
      <c r="N29" s="27">
        <v>177.6</v>
      </c>
      <c r="O29" s="27">
        <v>189.9</v>
      </c>
      <c r="P29" s="27">
        <v>174.8</v>
      </c>
      <c r="Q29" s="12">
        <f t="shared" si="0"/>
        <v>174.2923076923077</v>
      </c>
    </row>
    <row r="30" spans="1:17">
      <c r="A30" s="21" t="s">
        <v>33</v>
      </c>
      <c r="B30" s="26">
        <v>2023</v>
      </c>
      <c r="C30" s="22" t="s">
        <v>36</v>
      </c>
      <c r="D30" s="27">
        <v>174.7</v>
      </c>
      <c r="E30" s="27">
        <v>212.2</v>
      </c>
      <c r="F30" s="27">
        <v>177.2</v>
      </c>
      <c r="G30" s="27">
        <v>177.9</v>
      </c>
      <c r="H30" s="27">
        <v>172.2</v>
      </c>
      <c r="I30" s="27">
        <v>172.1</v>
      </c>
      <c r="J30" s="27">
        <v>175.9</v>
      </c>
      <c r="K30" s="27">
        <v>172.2</v>
      </c>
      <c r="L30" s="27">
        <v>121.9</v>
      </c>
      <c r="M30" s="27">
        <v>204.8</v>
      </c>
      <c r="N30" s="27">
        <v>164.9</v>
      </c>
      <c r="O30" s="27">
        <v>196.6</v>
      </c>
      <c r="P30" s="27">
        <v>180.8</v>
      </c>
      <c r="Q30" s="12">
        <f t="shared" si="0"/>
        <v>177.1846153846154</v>
      </c>
    </row>
    <row r="31" spans="1:17">
      <c r="A31" s="21" t="s">
        <v>34</v>
      </c>
      <c r="B31" s="26">
        <v>2023</v>
      </c>
      <c r="C31" s="22" t="s">
        <v>36</v>
      </c>
      <c r="D31" s="27">
        <v>174.4</v>
      </c>
      <c r="E31" s="27">
        <v>207.7</v>
      </c>
      <c r="F31" s="27">
        <v>175.2</v>
      </c>
      <c r="G31" s="27">
        <v>177.3</v>
      </c>
      <c r="H31" s="27">
        <v>179.2</v>
      </c>
      <c r="I31" s="27">
        <v>169.5</v>
      </c>
      <c r="J31" s="27">
        <v>152.80000000000001</v>
      </c>
      <c r="K31" s="27">
        <v>171.1</v>
      </c>
      <c r="L31" s="27">
        <v>120</v>
      </c>
      <c r="M31" s="27">
        <v>209.7</v>
      </c>
      <c r="N31" s="27">
        <v>172.3</v>
      </c>
      <c r="O31" s="27">
        <v>193</v>
      </c>
      <c r="P31" s="27">
        <v>177</v>
      </c>
      <c r="Q31" s="12">
        <f t="shared" si="0"/>
        <v>175.32307692307691</v>
      </c>
    </row>
    <row r="32" spans="1:17">
      <c r="A32" s="21" t="s">
        <v>30</v>
      </c>
      <c r="B32" s="26">
        <v>2023</v>
      </c>
      <c r="C32" s="22" t="s">
        <v>37</v>
      </c>
      <c r="D32" s="27">
        <v>173.3</v>
      </c>
      <c r="E32" s="27">
        <v>206.9</v>
      </c>
      <c r="F32" s="27">
        <v>167.9</v>
      </c>
      <c r="G32" s="27">
        <v>178.2</v>
      </c>
      <c r="H32" s="27">
        <v>178.5</v>
      </c>
      <c r="I32" s="27">
        <v>173.7</v>
      </c>
      <c r="J32" s="27">
        <v>142.80000000000001</v>
      </c>
      <c r="K32" s="27">
        <v>172.8</v>
      </c>
      <c r="L32" s="27">
        <v>120.4</v>
      </c>
      <c r="M32" s="27">
        <v>215.5</v>
      </c>
      <c r="N32" s="27">
        <v>178.2</v>
      </c>
      <c r="O32" s="27">
        <v>190.5</v>
      </c>
      <c r="P32" s="27">
        <v>175.5</v>
      </c>
      <c r="Q32" s="12">
        <f t="shared" si="0"/>
        <v>174.93846153846152</v>
      </c>
    </row>
    <row r="33" spans="1:17">
      <c r="A33" s="21" t="s">
        <v>33</v>
      </c>
      <c r="B33" s="26">
        <v>2023</v>
      </c>
      <c r="C33" s="22" t="s">
        <v>37</v>
      </c>
      <c r="D33" s="27">
        <v>174.8</v>
      </c>
      <c r="E33" s="27">
        <v>213.7</v>
      </c>
      <c r="F33" s="27">
        <v>172.4</v>
      </c>
      <c r="G33" s="27">
        <v>178.8</v>
      </c>
      <c r="H33" s="27">
        <v>168.7</v>
      </c>
      <c r="I33" s="27">
        <v>179.2</v>
      </c>
      <c r="J33" s="27">
        <v>179.9</v>
      </c>
      <c r="K33" s="27">
        <v>174.7</v>
      </c>
      <c r="L33" s="27">
        <v>123.1</v>
      </c>
      <c r="M33" s="27">
        <v>207.8</v>
      </c>
      <c r="N33" s="27">
        <v>165.5</v>
      </c>
      <c r="O33" s="27">
        <v>197</v>
      </c>
      <c r="P33" s="27">
        <v>182.1</v>
      </c>
      <c r="Q33" s="12">
        <f t="shared" si="0"/>
        <v>178.28461538461539</v>
      </c>
    </row>
    <row r="34" spans="1:17">
      <c r="A34" s="21" t="s">
        <v>34</v>
      </c>
      <c r="B34" s="26">
        <v>2023</v>
      </c>
      <c r="C34" s="22" t="s">
        <v>37</v>
      </c>
      <c r="D34" s="27">
        <v>173.8</v>
      </c>
      <c r="E34" s="27">
        <v>209.3</v>
      </c>
      <c r="F34" s="27">
        <v>169.6</v>
      </c>
      <c r="G34" s="27">
        <v>178.4</v>
      </c>
      <c r="H34" s="27">
        <v>174.9</v>
      </c>
      <c r="I34" s="27">
        <v>176.3</v>
      </c>
      <c r="J34" s="27">
        <v>155.4</v>
      </c>
      <c r="K34" s="27">
        <v>173.4</v>
      </c>
      <c r="L34" s="27">
        <v>121.3</v>
      </c>
      <c r="M34" s="27">
        <v>212.9</v>
      </c>
      <c r="N34" s="27">
        <v>172.9</v>
      </c>
      <c r="O34" s="27">
        <v>193.5</v>
      </c>
      <c r="P34" s="27">
        <v>177.9</v>
      </c>
      <c r="Q34" s="12">
        <f t="shared" si="0"/>
        <v>176.12307692307695</v>
      </c>
    </row>
    <row r="35" spans="1:17">
      <c r="A35" s="21" t="s">
        <v>30</v>
      </c>
      <c r="B35" s="26">
        <v>2023</v>
      </c>
      <c r="C35" s="22" t="s">
        <v>38</v>
      </c>
      <c r="D35" s="27">
        <v>173.2</v>
      </c>
      <c r="E35" s="27">
        <v>211.5</v>
      </c>
      <c r="F35" s="27">
        <v>171</v>
      </c>
      <c r="G35" s="27">
        <v>179.6</v>
      </c>
      <c r="H35" s="27">
        <v>173.3</v>
      </c>
      <c r="I35" s="27">
        <v>169</v>
      </c>
      <c r="J35" s="27">
        <v>148.69999999999999</v>
      </c>
      <c r="K35" s="27">
        <v>174.9</v>
      </c>
      <c r="L35" s="27">
        <v>121.9</v>
      </c>
      <c r="M35" s="27">
        <v>221</v>
      </c>
      <c r="N35" s="27">
        <v>178.7</v>
      </c>
      <c r="O35" s="27">
        <v>191.1</v>
      </c>
      <c r="P35" s="27">
        <v>176.8</v>
      </c>
      <c r="Q35" s="12">
        <f t="shared" si="0"/>
        <v>176.20769230769235</v>
      </c>
    </row>
    <row r="36" spans="1:17">
      <c r="A36" s="21" t="s">
        <v>33</v>
      </c>
      <c r="B36" s="26">
        <v>2023</v>
      </c>
      <c r="C36" s="22" t="s">
        <v>38</v>
      </c>
      <c r="D36" s="27">
        <v>174.7</v>
      </c>
      <c r="E36" s="27">
        <v>219.4</v>
      </c>
      <c r="F36" s="27">
        <v>176.7</v>
      </c>
      <c r="G36" s="27">
        <v>179.4</v>
      </c>
      <c r="H36" s="27">
        <v>164.4</v>
      </c>
      <c r="I36" s="27">
        <v>175.8</v>
      </c>
      <c r="J36" s="27">
        <v>185</v>
      </c>
      <c r="K36" s="27">
        <v>176.9</v>
      </c>
      <c r="L36" s="27">
        <v>124.2</v>
      </c>
      <c r="M36" s="27">
        <v>211.9</v>
      </c>
      <c r="N36" s="27">
        <v>165.9</v>
      </c>
      <c r="O36" s="27">
        <v>197.7</v>
      </c>
      <c r="P36" s="27">
        <v>183.1</v>
      </c>
      <c r="Q36" s="12">
        <f t="shared" si="0"/>
        <v>179.62307692307692</v>
      </c>
    </row>
    <row r="37" spans="1:17">
      <c r="A37" s="21" t="s">
        <v>34</v>
      </c>
      <c r="B37" s="26">
        <v>2023</v>
      </c>
      <c r="C37" s="22" t="s">
        <v>38</v>
      </c>
      <c r="D37" s="27">
        <v>173.7</v>
      </c>
      <c r="E37" s="27">
        <v>214.3</v>
      </c>
      <c r="F37" s="27">
        <v>173.2</v>
      </c>
      <c r="G37" s="27">
        <v>179.5</v>
      </c>
      <c r="H37" s="27">
        <v>170</v>
      </c>
      <c r="I37" s="27">
        <v>172.2</v>
      </c>
      <c r="J37" s="27">
        <v>161</v>
      </c>
      <c r="K37" s="27">
        <v>175.6</v>
      </c>
      <c r="L37" s="27">
        <v>122.7</v>
      </c>
      <c r="M37" s="27">
        <v>218</v>
      </c>
      <c r="N37" s="27">
        <v>173.4</v>
      </c>
      <c r="O37" s="27">
        <v>194.2</v>
      </c>
      <c r="P37" s="27">
        <v>179.1</v>
      </c>
      <c r="Q37" s="12">
        <f t="shared" si="0"/>
        <v>177.45384615384617</v>
      </c>
    </row>
  </sheetData>
  <autoFilter ref="A1:Q37" xr:uid="{00000000-0009-0000-0000-000008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368"/>
  <sheetViews>
    <sheetView topLeftCell="A298" zoomScaleNormal="100" workbookViewId="0">
      <pane xSplit="4" topLeftCell="AE1" activePane="topRight" state="frozen"/>
      <selection pane="topRight" activeCell="AI303" sqref="AI303"/>
    </sheetView>
  </sheetViews>
  <sheetFormatPr defaultRowHeight="14.4"/>
  <cols>
    <col min="1" max="1" width="19.44140625" bestFit="1" customWidth="1"/>
    <col min="2" max="2" width="16.5546875" customWidth="1"/>
    <col min="3" max="3" width="10.88671875" bestFit="1" customWidth="1"/>
    <col min="4" max="4" width="10.88671875" customWidth="1"/>
    <col min="5" max="5" width="27.88671875" bestFit="1" customWidth="1"/>
    <col min="6" max="6" width="28.109375" bestFit="1" customWidth="1"/>
    <col min="7" max="7" width="12" bestFit="1" customWidth="1"/>
    <col min="8" max="8" width="16.88671875" bestFit="1" customWidth="1"/>
    <col min="9" max="9" width="17" customWidth="1"/>
    <col min="10" max="10" width="8.33203125" bestFit="1" customWidth="1"/>
    <col min="11" max="11" width="11" bestFit="1" customWidth="1"/>
    <col min="12" max="12" width="18.88671875" bestFit="1" customWidth="1"/>
    <col min="13" max="13" width="23" bestFit="1" customWidth="1"/>
    <col min="14" max="14" width="6.5546875" bestFit="1" customWidth="1"/>
    <col min="15" max="15" width="12.5546875" bestFit="1" customWidth="1"/>
    <col min="16" max="16" width="13.6640625" bestFit="1" customWidth="1"/>
    <col min="17" max="17" width="12.109375" bestFit="1" customWidth="1"/>
    <col min="20" max="20" width="13.6640625" bestFit="1" customWidth="1"/>
    <col min="21" max="21" width="12.109375" bestFit="1" customWidth="1"/>
    <col min="23" max="23" width="27.88671875" bestFit="1" customWidth="1"/>
    <col min="24" max="25" width="13.6640625" bestFit="1" customWidth="1"/>
    <col min="26" max="26" width="12.109375" bestFit="1" customWidth="1"/>
    <col min="29" max="30" width="28.109375" bestFit="1" customWidth="1"/>
    <col min="31" max="32" width="13.6640625" bestFit="1" customWidth="1"/>
    <col min="33" max="33" width="12.109375" bestFit="1" customWidth="1"/>
  </cols>
  <sheetData>
    <row r="1" spans="1:17" ht="18">
      <c r="A1" s="60" t="s">
        <v>125</v>
      </c>
    </row>
    <row r="2" spans="1:17">
      <c r="A2" s="12" t="s">
        <v>0</v>
      </c>
      <c r="B2" s="12" t="s">
        <v>1</v>
      </c>
      <c r="C2" s="12" t="s">
        <v>2</v>
      </c>
      <c r="D2" s="50" t="s">
        <v>100</v>
      </c>
      <c r="E2" s="12" t="s">
        <v>3</v>
      </c>
      <c r="F2" s="12" t="s">
        <v>4</v>
      </c>
      <c r="G2" s="12" t="s">
        <v>5</v>
      </c>
      <c r="H2" s="12" t="s">
        <v>6</v>
      </c>
      <c r="I2" s="12" t="s">
        <v>7</v>
      </c>
      <c r="J2" s="12" t="s">
        <v>8</v>
      </c>
      <c r="K2" s="12" t="s">
        <v>9</v>
      </c>
      <c r="L2" s="12" t="s">
        <v>10</v>
      </c>
      <c r="M2" s="12" t="s">
        <v>11</v>
      </c>
      <c r="N2" s="12" t="s">
        <v>12</v>
      </c>
      <c r="O2" s="34" t="s">
        <v>101</v>
      </c>
      <c r="P2" s="50" t="s">
        <v>113</v>
      </c>
      <c r="Q2" s="12" t="s">
        <v>114</v>
      </c>
    </row>
    <row r="3" spans="1:17">
      <c r="A3" s="21" t="s">
        <v>34</v>
      </c>
      <c r="B3" s="26">
        <v>2018</v>
      </c>
      <c r="C3" s="21" t="s">
        <v>31</v>
      </c>
      <c r="D3" s="52">
        <f t="shared" ref="D3:D49" si="0">DATE(B3,MONTH(1&amp;C3),1)</f>
        <v>43101</v>
      </c>
      <c r="E3" s="27">
        <v>136</v>
      </c>
      <c r="F3" s="27">
        <v>144.19999999999999</v>
      </c>
      <c r="G3" s="27">
        <v>143.69999999999999</v>
      </c>
      <c r="H3" s="27">
        <v>141.1</v>
      </c>
      <c r="I3" s="27">
        <v>120.7</v>
      </c>
      <c r="J3" s="27">
        <v>141.30000000000001</v>
      </c>
      <c r="K3" s="27">
        <v>151.6</v>
      </c>
      <c r="L3" s="27">
        <v>127.3</v>
      </c>
      <c r="M3" s="27">
        <v>118.8</v>
      </c>
      <c r="N3" s="27">
        <v>137.5</v>
      </c>
      <c r="O3" s="8">
        <f>IFERROR(AVERAGE(E3:N3),"NA")</f>
        <v>136.22</v>
      </c>
      <c r="P3" s="33"/>
      <c r="Q3" s="33"/>
    </row>
    <row r="4" spans="1:17">
      <c r="A4" s="21" t="s">
        <v>34</v>
      </c>
      <c r="B4" s="26">
        <v>2018</v>
      </c>
      <c r="C4" s="21" t="s">
        <v>35</v>
      </c>
      <c r="D4" s="52">
        <f t="shared" si="0"/>
        <v>43132</v>
      </c>
      <c r="E4" s="27">
        <v>135.9</v>
      </c>
      <c r="F4" s="27">
        <v>143.5</v>
      </c>
      <c r="G4" s="27">
        <v>140.30000000000001</v>
      </c>
      <c r="H4" s="27">
        <v>140.9</v>
      </c>
      <c r="I4" s="27">
        <v>120.4</v>
      </c>
      <c r="J4" s="27">
        <v>142.9</v>
      </c>
      <c r="K4" s="27">
        <v>140.5</v>
      </c>
      <c r="L4" s="27">
        <v>125.8</v>
      </c>
      <c r="M4" s="27">
        <v>117.1</v>
      </c>
      <c r="N4" s="27">
        <v>137.30000000000001</v>
      </c>
      <c r="O4" s="8">
        <f t="shared" ref="O4:O49" si="1">IFERROR(AVERAGE(E4:N4),"NA")</f>
        <v>134.45999999999998</v>
      </c>
      <c r="P4" s="33">
        <f>IFERROR(IF(O3=0,"",(O4-O3)/O3*100),"NA")</f>
        <v>-1.2920276024078838</v>
      </c>
      <c r="Q4" s="33"/>
    </row>
    <row r="5" spans="1:17">
      <c r="A5" s="21" t="s">
        <v>34</v>
      </c>
      <c r="B5" s="26">
        <v>2018</v>
      </c>
      <c r="C5" s="21" t="s">
        <v>36</v>
      </c>
      <c r="D5" s="52">
        <f t="shared" si="0"/>
        <v>43160</v>
      </c>
      <c r="E5" s="27">
        <v>136.19999999999999</v>
      </c>
      <c r="F5" s="27">
        <v>143.6</v>
      </c>
      <c r="G5" s="27">
        <v>138.30000000000001</v>
      </c>
      <c r="H5" s="27">
        <v>141.19999999999999</v>
      </c>
      <c r="I5" s="27">
        <v>120.7</v>
      </c>
      <c r="J5" s="27">
        <v>146.19999999999999</v>
      </c>
      <c r="K5" s="27">
        <v>134.6</v>
      </c>
      <c r="L5" s="27">
        <v>124.6</v>
      </c>
      <c r="M5" s="27">
        <v>116.1</v>
      </c>
      <c r="N5" s="27">
        <v>137.80000000000001</v>
      </c>
      <c r="O5" s="8">
        <f t="shared" si="1"/>
        <v>133.93</v>
      </c>
      <c r="P5" s="33">
        <f t="shared" ref="P5:P49" si="2">IFERROR(IF(O4=0,"",(O5-O4)/O4*100),"NA")</f>
        <v>-0.39416926967125748</v>
      </c>
      <c r="Q5" s="33"/>
    </row>
    <row r="6" spans="1:17">
      <c r="A6" s="21" t="s">
        <v>34</v>
      </c>
      <c r="B6" s="26">
        <v>2018</v>
      </c>
      <c r="C6" s="21" t="s">
        <v>37</v>
      </c>
      <c r="D6" s="52">
        <f t="shared" si="0"/>
        <v>43191</v>
      </c>
      <c r="E6" s="27">
        <v>136.4</v>
      </c>
      <c r="F6" s="27">
        <v>144.4</v>
      </c>
      <c r="G6" s="27">
        <v>133.9</v>
      </c>
      <c r="H6" s="27">
        <v>141.6</v>
      </c>
      <c r="I6" s="27">
        <v>121</v>
      </c>
      <c r="J6" s="27">
        <v>153.5</v>
      </c>
      <c r="K6" s="27">
        <v>132.6</v>
      </c>
      <c r="L6" s="27">
        <v>123.5</v>
      </c>
      <c r="M6" s="27">
        <v>113.7</v>
      </c>
      <c r="N6" s="27">
        <v>138.19999999999999</v>
      </c>
      <c r="O6" s="8">
        <f t="shared" si="1"/>
        <v>133.88000000000002</v>
      </c>
      <c r="P6" s="33">
        <f t="shared" si="2"/>
        <v>-3.7332935115346036E-2</v>
      </c>
      <c r="Q6" s="33"/>
    </row>
    <row r="7" spans="1:17">
      <c r="A7" s="21" t="s">
        <v>34</v>
      </c>
      <c r="B7" s="26">
        <v>2018</v>
      </c>
      <c r="C7" s="21" t="s">
        <v>38</v>
      </c>
      <c r="D7" s="52">
        <f t="shared" si="0"/>
        <v>43221</v>
      </c>
      <c r="E7" s="27">
        <v>136.6</v>
      </c>
      <c r="F7" s="27">
        <v>146.6</v>
      </c>
      <c r="G7" s="27">
        <v>133.6</v>
      </c>
      <c r="H7" s="27">
        <v>142.1</v>
      </c>
      <c r="I7" s="27">
        <v>121</v>
      </c>
      <c r="J7" s="27">
        <v>154.6</v>
      </c>
      <c r="K7" s="27">
        <v>135.6</v>
      </c>
      <c r="L7" s="27">
        <v>122.3</v>
      </c>
      <c r="M7" s="27">
        <v>109.6</v>
      </c>
      <c r="N7" s="27">
        <v>138.1</v>
      </c>
      <c r="O7" s="8">
        <f t="shared" si="1"/>
        <v>134.01</v>
      </c>
      <c r="P7" s="33">
        <f t="shared" si="2"/>
        <v>9.7101882282616528E-2</v>
      </c>
      <c r="Q7" s="33"/>
    </row>
    <row r="8" spans="1:17">
      <c r="A8" s="21" t="s">
        <v>34</v>
      </c>
      <c r="B8" s="26">
        <v>2018</v>
      </c>
      <c r="C8" s="21" t="s">
        <v>39</v>
      </c>
      <c r="D8" s="52">
        <f t="shared" si="0"/>
        <v>43252</v>
      </c>
      <c r="E8" s="27">
        <v>136.9</v>
      </c>
      <c r="F8" s="27">
        <v>148.69999999999999</v>
      </c>
      <c r="G8" s="27">
        <v>135.6</v>
      </c>
      <c r="H8" s="27">
        <v>142.30000000000001</v>
      </c>
      <c r="I8" s="27">
        <v>121.3</v>
      </c>
      <c r="J8" s="27">
        <v>153.19999999999999</v>
      </c>
      <c r="K8" s="27">
        <v>143.69999999999999</v>
      </c>
      <c r="L8" s="27">
        <v>121.4</v>
      </c>
      <c r="M8" s="27">
        <v>111.1</v>
      </c>
      <c r="N8" s="27">
        <v>138.4</v>
      </c>
      <c r="O8" s="8">
        <f t="shared" si="1"/>
        <v>135.26000000000002</v>
      </c>
      <c r="P8" s="33">
        <f t="shared" si="2"/>
        <v>0.93276621147677674</v>
      </c>
      <c r="Q8" s="33"/>
    </row>
    <row r="9" spans="1:17">
      <c r="A9" s="21" t="s">
        <v>34</v>
      </c>
      <c r="B9" s="26">
        <v>2018</v>
      </c>
      <c r="C9" s="21" t="s">
        <v>40</v>
      </c>
      <c r="D9" s="52">
        <f t="shared" si="0"/>
        <v>43282</v>
      </c>
      <c r="E9" s="27">
        <v>137.5</v>
      </c>
      <c r="F9" s="27">
        <v>149.1</v>
      </c>
      <c r="G9" s="27">
        <v>139.19999999999999</v>
      </c>
      <c r="H9" s="27">
        <v>142.5</v>
      </c>
      <c r="I9" s="27">
        <v>121.4</v>
      </c>
      <c r="J9" s="27">
        <v>151.6</v>
      </c>
      <c r="K9" s="27">
        <v>155.9</v>
      </c>
      <c r="L9" s="27">
        <v>121.7</v>
      </c>
      <c r="M9" s="27">
        <v>113.5</v>
      </c>
      <c r="N9" s="27">
        <v>138.9</v>
      </c>
      <c r="O9" s="8">
        <f t="shared" si="1"/>
        <v>137.13</v>
      </c>
      <c r="P9" s="33">
        <f t="shared" si="2"/>
        <v>1.3825225491645541</v>
      </c>
      <c r="Q9" s="33"/>
    </row>
    <row r="10" spans="1:17">
      <c r="A10" s="21" t="s">
        <v>34</v>
      </c>
      <c r="B10" s="26">
        <v>2018</v>
      </c>
      <c r="C10" s="21" t="s">
        <v>41</v>
      </c>
      <c r="D10" s="52">
        <f t="shared" si="0"/>
        <v>43313</v>
      </c>
      <c r="E10" s="27">
        <v>138.30000000000001</v>
      </c>
      <c r="F10" s="27">
        <v>148</v>
      </c>
      <c r="G10" s="27">
        <v>138.1</v>
      </c>
      <c r="H10" s="27">
        <v>142.6</v>
      </c>
      <c r="I10" s="27">
        <v>122.2</v>
      </c>
      <c r="J10" s="27">
        <v>150.6</v>
      </c>
      <c r="K10" s="27">
        <v>156.6</v>
      </c>
      <c r="L10" s="27">
        <v>122.4</v>
      </c>
      <c r="M10" s="27">
        <v>114.7</v>
      </c>
      <c r="N10" s="27">
        <v>139.4</v>
      </c>
      <c r="O10" s="8">
        <f t="shared" si="1"/>
        <v>137.29000000000002</v>
      </c>
      <c r="P10" s="33">
        <f t="shared" si="2"/>
        <v>0.11667760519217167</v>
      </c>
      <c r="Q10" s="33"/>
    </row>
    <row r="11" spans="1:17">
      <c r="A11" s="21" t="s">
        <v>34</v>
      </c>
      <c r="B11" s="26">
        <v>2018</v>
      </c>
      <c r="C11" s="21" t="s">
        <v>42</v>
      </c>
      <c r="D11" s="52">
        <f t="shared" si="0"/>
        <v>43344</v>
      </c>
      <c r="E11" s="27">
        <v>138.6</v>
      </c>
      <c r="F11" s="27">
        <v>145.80000000000001</v>
      </c>
      <c r="G11" s="27">
        <v>135.1</v>
      </c>
      <c r="H11" s="27">
        <v>142.9</v>
      </c>
      <c r="I11" s="27">
        <v>122.1</v>
      </c>
      <c r="J11" s="27">
        <v>145.4</v>
      </c>
      <c r="K11" s="27">
        <v>150</v>
      </c>
      <c r="L11" s="27">
        <v>121.4</v>
      </c>
      <c r="M11" s="27">
        <v>113.7</v>
      </c>
      <c r="N11" s="27">
        <v>139.5</v>
      </c>
      <c r="O11" s="8">
        <f t="shared" si="1"/>
        <v>135.44999999999999</v>
      </c>
      <c r="P11" s="33">
        <f t="shared" si="2"/>
        <v>-1.3402287129434274</v>
      </c>
      <c r="Q11" s="33"/>
    </row>
    <row r="12" spans="1:17">
      <c r="A12" s="21" t="s">
        <v>34</v>
      </c>
      <c r="B12" s="26">
        <v>2018</v>
      </c>
      <c r="C12" s="21" t="s">
        <v>43</v>
      </c>
      <c r="D12" s="52">
        <f t="shared" si="0"/>
        <v>43374</v>
      </c>
      <c r="E12" s="27">
        <v>137.4</v>
      </c>
      <c r="F12" s="27">
        <v>149.5</v>
      </c>
      <c r="G12" s="27">
        <v>137.30000000000001</v>
      </c>
      <c r="H12" s="27">
        <v>141.9</v>
      </c>
      <c r="I12" s="27">
        <v>121.1</v>
      </c>
      <c r="J12" s="27">
        <v>142.5</v>
      </c>
      <c r="K12" s="27">
        <v>146.69999999999999</v>
      </c>
      <c r="L12" s="27">
        <v>119.1</v>
      </c>
      <c r="M12" s="27">
        <v>111.9</v>
      </c>
      <c r="N12" s="27">
        <v>141</v>
      </c>
      <c r="O12" s="8">
        <f t="shared" si="1"/>
        <v>134.84</v>
      </c>
      <c r="P12" s="33">
        <f t="shared" si="2"/>
        <v>-0.45035068290881158</v>
      </c>
      <c r="Q12" s="33"/>
    </row>
    <row r="13" spans="1:17">
      <c r="A13" s="21" t="s">
        <v>34</v>
      </c>
      <c r="B13" s="26">
        <v>2018</v>
      </c>
      <c r="C13" s="21" t="s">
        <v>45</v>
      </c>
      <c r="D13" s="52">
        <f t="shared" si="0"/>
        <v>43405</v>
      </c>
      <c r="E13" s="27">
        <v>137.4</v>
      </c>
      <c r="F13" s="27">
        <v>149.19999999999999</v>
      </c>
      <c r="G13" s="27">
        <v>137.1</v>
      </c>
      <c r="H13" s="27">
        <v>141.80000000000001</v>
      </c>
      <c r="I13" s="27">
        <v>121.1</v>
      </c>
      <c r="J13" s="27">
        <v>142.80000000000001</v>
      </c>
      <c r="K13" s="27">
        <v>146.69999999999999</v>
      </c>
      <c r="L13" s="27">
        <v>119.1</v>
      </c>
      <c r="M13" s="27">
        <v>111.9</v>
      </c>
      <c r="N13" s="27">
        <v>140.9</v>
      </c>
      <c r="O13" s="8">
        <f t="shared" si="1"/>
        <v>134.80000000000001</v>
      </c>
      <c r="P13" s="33">
        <f t="shared" si="2"/>
        <v>-2.9664787896760636E-2</v>
      </c>
      <c r="Q13" s="33"/>
    </row>
    <row r="14" spans="1:17">
      <c r="A14" s="21" t="s">
        <v>34</v>
      </c>
      <c r="B14" s="26">
        <v>2018</v>
      </c>
      <c r="C14" s="21" t="s">
        <v>46</v>
      </c>
      <c r="D14" s="52">
        <f t="shared" si="0"/>
        <v>43435</v>
      </c>
      <c r="E14" s="27">
        <v>137.5</v>
      </c>
      <c r="F14" s="27">
        <v>150.5</v>
      </c>
      <c r="G14" s="27">
        <v>138.80000000000001</v>
      </c>
      <c r="H14" s="27">
        <v>142.1</v>
      </c>
      <c r="I14" s="27">
        <v>122</v>
      </c>
      <c r="J14" s="27">
        <v>139.4</v>
      </c>
      <c r="K14" s="27">
        <v>135.19999999999999</v>
      </c>
      <c r="L14" s="27">
        <v>119.8</v>
      </c>
      <c r="M14" s="27">
        <v>110.3</v>
      </c>
      <c r="N14" s="27">
        <v>140.6</v>
      </c>
      <c r="O14" s="8">
        <f t="shared" si="1"/>
        <v>133.61999999999998</v>
      </c>
      <c r="P14" s="33">
        <f t="shared" si="2"/>
        <v>-0.87537091988133164</v>
      </c>
      <c r="Q14" s="33"/>
    </row>
    <row r="15" spans="1:17">
      <c r="A15" s="21" t="s">
        <v>34</v>
      </c>
      <c r="B15" s="26">
        <v>2019</v>
      </c>
      <c r="C15" s="21" t="s">
        <v>31</v>
      </c>
      <c r="D15" s="52">
        <f t="shared" si="0"/>
        <v>43466</v>
      </c>
      <c r="E15" s="27">
        <v>137.1</v>
      </c>
      <c r="F15" s="27">
        <v>151.4</v>
      </c>
      <c r="G15" s="27">
        <v>140.19999999999999</v>
      </c>
      <c r="H15" s="27">
        <v>142.1</v>
      </c>
      <c r="I15" s="27">
        <v>121.8</v>
      </c>
      <c r="J15" s="27">
        <v>135.4</v>
      </c>
      <c r="K15" s="27">
        <v>131.30000000000001</v>
      </c>
      <c r="L15" s="27">
        <v>120.3</v>
      </c>
      <c r="M15" s="27">
        <v>109.1</v>
      </c>
      <c r="N15" s="27">
        <v>139.4</v>
      </c>
      <c r="O15" s="8">
        <f t="shared" si="1"/>
        <v>132.81</v>
      </c>
      <c r="P15" s="33">
        <f t="shared" si="2"/>
        <v>-0.60619667714412062</v>
      </c>
      <c r="Q15" s="33">
        <f>IFERROR(IF(O3=0,"",(O15-O3)/O3*100),"NA")</f>
        <v>-2.5033034796652447</v>
      </c>
    </row>
    <row r="16" spans="1:17">
      <c r="A16" s="21" t="s">
        <v>34</v>
      </c>
      <c r="B16" s="26">
        <v>2019</v>
      </c>
      <c r="C16" s="21" t="s">
        <v>35</v>
      </c>
      <c r="D16" s="52">
        <f t="shared" si="0"/>
        <v>43497</v>
      </c>
      <c r="E16" s="27">
        <v>137.6</v>
      </c>
      <c r="F16" s="27">
        <v>152</v>
      </c>
      <c r="G16" s="27">
        <v>141.5</v>
      </c>
      <c r="H16" s="27">
        <v>142.19999999999999</v>
      </c>
      <c r="I16" s="27">
        <v>122</v>
      </c>
      <c r="J16" s="27">
        <v>136.4</v>
      </c>
      <c r="K16" s="27">
        <v>129.69999999999999</v>
      </c>
      <c r="L16" s="27">
        <v>121</v>
      </c>
      <c r="M16" s="27">
        <v>109</v>
      </c>
      <c r="N16" s="27">
        <v>139.69999999999999</v>
      </c>
      <c r="O16" s="8">
        <f t="shared" si="1"/>
        <v>133.10999999999999</v>
      </c>
      <c r="P16" s="33">
        <f t="shared" si="2"/>
        <v>0.22588660492431512</v>
      </c>
      <c r="Q16" s="33">
        <f t="shared" ref="Q16:Q49" si="3">IFERROR(IF(O4=0,"",(O16-O4)/O4*100),"NA")</f>
        <v>-1.0040160642570242</v>
      </c>
    </row>
    <row r="17" spans="1:17">
      <c r="A17" s="21" t="s">
        <v>34</v>
      </c>
      <c r="B17" s="26">
        <v>2019</v>
      </c>
      <c r="C17" s="21" t="s">
        <v>36</v>
      </c>
      <c r="D17" s="52">
        <f t="shared" si="0"/>
        <v>43525</v>
      </c>
      <c r="E17" s="27">
        <v>137.80000000000001</v>
      </c>
      <c r="F17" s="27">
        <v>153</v>
      </c>
      <c r="G17" s="27">
        <v>140.30000000000001</v>
      </c>
      <c r="H17" s="27">
        <v>142.30000000000001</v>
      </c>
      <c r="I17" s="27">
        <v>122</v>
      </c>
      <c r="J17" s="27">
        <v>137.6</v>
      </c>
      <c r="K17" s="27">
        <v>132.6</v>
      </c>
      <c r="L17" s="27">
        <v>121.8</v>
      </c>
      <c r="M17" s="27">
        <v>109</v>
      </c>
      <c r="N17" s="27">
        <v>139.5</v>
      </c>
      <c r="O17" s="8">
        <f t="shared" si="1"/>
        <v>133.59</v>
      </c>
      <c r="P17" s="33">
        <f t="shared" si="2"/>
        <v>0.36060401171964407</v>
      </c>
      <c r="Q17" s="33">
        <f t="shared" si="3"/>
        <v>-0.25386395878444218</v>
      </c>
    </row>
    <row r="18" spans="1:17">
      <c r="A18" s="21" t="s">
        <v>34</v>
      </c>
      <c r="B18" s="26">
        <v>2019</v>
      </c>
      <c r="C18" s="21" t="s">
        <v>38</v>
      </c>
      <c r="D18" s="52">
        <f t="shared" si="0"/>
        <v>43586</v>
      </c>
      <c r="E18" s="27">
        <v>138.30000000000001</v>
      </c>
      <c r="F18" s="27">
        <v>158.5</v>
      </c>
      <c r="G18" s="27">
        <v>136</v>
      </c>
      <c r="H18" s="27">
        <v>142.5</v>
      </c>
      <c r="I18" s="27">
        <v>122</v>
      </c>
      <c r="J18" s="27">
        <v>146.5</v>
      </c>
      <c r="K18" s="27">
        <v>143</v>
      </c>
      <c r="L18" s="27">
        <v>124.9</v>
      </c>
      <c r="M18" s="27">
        <v>109.9</v>
      </c>
      <c r="N18" s="27">
        <v>139.9</v>
      </c>
      <c r="O18" s="8">
        <f t="shared" si="1"/>
        <v>136.15000000000003</v>
      </c>
      <c r="P18" s="33">
        <f t="shared" si="2"/>
        <v>1.9163111011303473</v>
      </c>
      <c r="Q18" s="33">
        <f t="shared" si="3"/>
        <v>1.6955482521661263</v>
      </c>
    </row>
    <row r="19" spans="1:17">
      <c r="A19" s="21" t="s">
        <v>34</v>
      </c>
      <c r="B19" s="26">
        <v>2019</v>
      </c>
      <c r="C19" s="21" t="s">
        <v>39</v>
      </c>
      <c r="D19" s="52">
        <f t="shared" si="0"/>
        <v>43617</v>
      </c>
      <c r="E19" s="27">
        <v>138.69999999999999</v>
      </c>
      <c r="F19" s="27">
        <v>162.1</v>
      </c>
      <c r="G19" s="27">
        <v>137.80000000000001</v>
      </c>
      <c r="H19" s="27">
        <v>143.30000000000001</v>
      </c>
      <c r="I19" s="27">
        <v>122.2</v>
      </c>
      <c r="J19" s="27">
        <v>146.80000000000001</v>
      </c>
      <c r="K19" s="27">
        <v>150.5</v>
      </c>
      <c r="L19" s="27">
        <v>128.30000000000001</v>
      </c>
      <c r="M19" s="27">
        <v>111</v>
      </c>
      <c r="N19" s="27">
        <v>140.6</v>
      </c>
      <c r="O19" s="8">
        <f t="shared" si="1"/>
        <v>138.13</v>
      </c>
      <c r="P19" s="33">
        <f t="shared" si="2"/>
        <v>1.454278369445436</v>
      </c>
      <c r="Q19" s="33">
        <f t="shared" si="3"/>
        <v>3.0743974330273893</v>
      </c>
    </row>
    <row r="20" spans="1:17">
      <c r="A20" s="21" t="s">
        <v>34</v>
      </c>
      <c r="B20" s="26">
        <v>2019</v>
      </c>
      <c r="C20" s="21" t="s">
        <v>40</v>
      </c>
      <c r="D20" s="52">
        <f t="shared" si="0"/>
        <v>43647</v>
      </c>
      <c r="E20" s="27">
        <v>139.30000000000001</v>
      </c>
      <c r="F20" s="27">
        <v>162.69999999999999</v>
      </c>
      <c r="G20" s="27">
        <v>140</v>
      </c>
      <c r="H20" s="27">
        <v>144</v>
      </c>
      <c r="I20" s="27">
        <v>122.5</v>
      </c>
      <c r="J20" s="27">
        <v>150.30000000000001</v>
      </c>
      <c r="K20" s="27">
        <v>160.30000000000001</v>
      </c>
      <c r="L20" s="27">
        <v>130</v>
      </c>
      <c r="M20" s="27">
        <v>111.1</v>
      </c>
      <c r="N20" s="27">
        <v>141.69999999999999</v>
      </c>
      <c r="O20" s="8">
        <f t="shared" si="1"/>
        <v>140.19</v>
      </c>
      <c r="P20" s="33">
        <f t="shared" si="2"/>
        <v>1.491348729457759</v>
      </c>
      <c r="Q20" s="33">
        <f t="shared" si="3"/>
        <v>3.6448321750702188</v>
      </c>
    </row>
    <row r="21" spans="1:17">
      <c r="A21" s="21" t="s">
        <v>34</v>
      </c>
      <c r="B21" s="26">
        <v>2019</v>
      </c>
      <c r="C21" s="21" t="s">
        <v>41</v>
      </c>
      <c r="D21" s="52">
        <f t="shared" si="0"/>
        <v>43678</v>
      </c>
      <c r="E21" s="27">
        <v>140.1</v>
      </c>
      <c r="F21" s="27">
        <v>160.6</v>
      </c>
      <c r="G21" s="27">
        <v>138.5</v>
      </c>
      <c r="H21" s="27">
        <v>144.69999999999999</v>
      </c>
      <c r="I21" s="27">
        <v>122.9</v>
      </c>
      <c r="J21" s="27">
        <v>149.4</v>
      </c>
      <c r="K21" s="27">
        <v>167.4</v>
      </c>
      <c r="L21" s="27">
        <v>130.9</v>
      </c>
      <c r="M21" s="27">
        <v>112</v>
      </c>
      <c r="N21" s="27">
        <v>142.6</v>
      </c>
      <c r="O21" s="8">
        <f t="shared" si="1"/>
        <v>140.91</v>
      </c>
      <c r="P21" s="33">
        <f t="shared" si="2"/>
        <v>0.51358870104857612</v>
      </c>
      <c r="Q21" s="33">
        <f t="shared" si="3"/>
        <v>2.7565084226646257</v>
      </c>
    </row>
    <row r="22" spans="1:17">
      <c r="A22" s="21" t="s">
        <v>34</v>
      </c>
      <c r="B22" s="26">
        <v>2019</v>
      </c>
      <c r="C22" s="21" t="s">
        <v>42</v>
      </c>
      <c r="D22" s="52">
        <f t="shared" si="0"/>
        <v>43709</v>
      </c>
      <c r="E22" s="27">
        <v>140.9</v>
      </c>
      <c r="F22" s="27">
        <v>160.80000000000001</v>
      </c>
      <c r="G22" s="27">
        <v>139.6</v>
      </c>
      <c r="H22" s="27">
        <v>145.4</v>
      </c>
      <c r="I22" s="27">
        <v>123.5</v>
      </c>
      <c r="J22" s="27">
        <v>146.6</v>
      </c>
      <c r="K22" s="27">
        <v>173.2</v>
      </c>
      <c r="L22" s="27">
        <v>131.6</v>
      </c>
      <c r="M22" s="27">
        <v>113.2</v>
      </c>
      <c r="N22" s="27">
        <v>144.1</v>
      </c>
      <c r="O22" s="8">
        <f t="shared" si="1"/>
        <v>141.88999999999999</v>
      </c>
      <c r="P22" s="33">
        <f t="shared" si="2"/>
        <v>0.69547938400396692</v>
      </c>
      <c r="Q22" s="33">
        <f t="shared" si="3"/>
        <v>3.350571782358486</v>
      </c>
    </row>
    <row r="23" spans="1:17">
      <c r="A23" s="21" t="s">
        <v>34</v>
      </c>
      <c r="B23" s="26">
        <v>2019</v>
      </c>
      <c r="C23" s="21" t="s">
        <v>43</v>
      </c>
      <c r="D23" s="52">
        <f t="shared" si="0"/>
        <v>43739</v>
      </c>
      <c r="E23" s="27">
        <v>141.80000000000001</v>
      </c>
      <c r="F23" s="27">
        <v>161</v>
      </c>
      <c r="G23" s="27">
        <v>142.6</v>
      </c>
      <c r="H23" s="27">
        <v>146.19999999999999</v>
      </c>
      <c r="I23" s="27">
        <v>123.9</v>
      </c>
      <c r="J23" s="27">
        <v>148</v>
      </c>
      <c r="K23" s="27">
        <v>188.4</v>
      </c>
      <c r="L23" s="27">
        <v>132.5</v>
      </c>
      <c r="M23" s="27">
        <v>114</v>
      </c>
      <c r="N23" s="27">
        <v>145.4</v>
      </c>
      <c r="O23" s="8">
        <f t="shared" si="1"/>
        <v>144.38</v>
      </c>
      <c r="P23" s="33">
        <f t="shared" si="2"/>
        <v>1.7548805412643662</v>
      </c>
      <c r="Q23" s="33">
        <f t="shared" si="3"/>
        <v>6.5928386858619472</v>
      </c>
    </row>
    <row r="24" spans="1:17">
      <c r="A24" s="21" t="s">
        <v>34</v>
      </c>
      <c r="B24" s="26">
        <v>2019</v>
      </c>
      <c r="C24" s="21" t="s">
        <v>45</v>
      </c>
      <c r="D24" s="52">
        <f t="shared" si="0"/>
        <v>43770</v>
      </c>
      <c r="E24" s="27">
        <v>142.5</v>
      </c>
      <c r="F24" s="27">
        <v>163.19999999999999</v>
      </c>
      <c r="G24" s="27">
        <v>145.6</v>
      </c>
      <c r="H24" s="27">
        <v>146.69999999999999</v>
      </c>
      <c r="I24" s="27">
        <v>124.3</v>
      </c>
      <c r="J24" s="27">
        <v>147.4</v>
      </c>
      <c r="K24" s="27">
        <v>199.6</v>
      </c>
      <c r="L24" s="27">
        <v>135.69999999999999</v>
      </c>
      <c r="M24" s="27">
        <v>114.2</v>
      </c>
      <c r="N24" s="27">
        <v>147</v>
      </c>
      <c r="O24" s="8">
        <f t="shared" si="1"/>
        <v>146.62</v>
      </c>
      <c r="P24" s="33">
        <f t="shared" si="2"/>
        <v>1.5514614212494868</v>
      </c>
      <c r="Q24" s="33">
        <f t="shared" si="3"/>
        <v>8.7362800355977459</v>
      </c>
    </row>
    <row r="25" spans="1:17">
      <c r="A25" s="21" t="s">
        <v>34</v>
      </c>
      <c r="B25" s="26">
        <v>2019</v>
      </c>
      <c r="C25" s="21" t="s">
        <v>46</v>
      </c>
      <c r="D25" s="52">
        <f t="shared" si="0"/>
        <v>43800</v>
      </c>
      <c r="E25" s="27">
        <v>143.5</v>
      </c>
      <c r="F25" s="27">
        <v>165</v>
      </c>
      <c r="G25" s="27">
        <v>151.1</v>
      </c>
      <c r="H25" s="27">
        <v>148.30000000000001</v>
      </c>
      <c r="I25" s="27">
        <v>125.7</v>
      </c>
      <c r="J25" s="27">
        <v>145.69999999999999</v>
      </c>
      <c r="K25" s="27">
        <v>217</v>
      </c>
      <c r="L25" s="27">
        <v>138.30000000000001</v>
      </c>
      <c r="M25" s="27">
        <v>114</v>
      </c>
      <c r="N25" s="27">
        <v>148.69999999999999</v>
      </c>
      <c r="O25" s="8">
        <f t="shared" si="1"/>
        <v>149.73000000000002</v>
      </c>
      <c r="P25" s="33">
        <f t="shared" si="2"/>
        <v>2.1211294502796436</v>
      </c>
      <c r="Q25" s="33">
        <f t="shared" si="3"/>
        <v>11.075667655786354</v>
      </c>
    </row>
    <row r="26" spans="1:17">
      <c r="A26" s="21" t="s">
        <v>34</v>
      </c>
      <c r="B26" s="26">
        <v>2020</v>
      </c>
      <c r="C26" s="21" t="s">
        <v>31</v>
      </c>
      <c r="D26" s="52">
        <f t="shared" si="0"/>
        <v>43831</v>
      </c>
      <c r="E26" s="27">
        <v>144.30000000000001</v>
      </c>
      <c r="F26" s="27">
        <v>167.4</v>
      </c>
      <c r="G26" s="27">
        <v>154.9</v>
      </c>
      <c r="H26" s="27">
        <v>150.1</v>
      </c>
      <c r="I26" s="27">
        <v>129.9</v>
      </c>
      <c r="J26" s="27">
        <v>143.19999999999999</v>
      </c>
      <c r="K26" s="27">
        <v>197</v>
      </c>
      <c r="L26" s="27">
        <v>140.4</v>
      </c>
      <c r="M26" s="27">
        <v>114.1</v>
      </c>
      <c r="N26" s="27">
        <v>150.9</v>
      </c>
      <c r="O26" s="8">
        <f t="shared" si="1"/>
        <v>149.22</v>
      </c>
      <c r="P26" s="33">
        <f t="shared" si="2"/>
        <v>-0.34061310358646846</v>
      </c>
      <c r="Q26" s="33">
        <f t="shared" si="3"/>
        <v>11.674898967220496</v>
      </c>
    </row>
    <row r="27" spans="1:17">
      <c r="A27" s="21" t="s">
        <v>34</v>
      </c>
      <c r="B27" s="26">
        <v>2020</v>
      </c>
      <c r="C27" s="21" t="s">
        <v>35</v>
      </c>
      <c r="D27" s="52">
        <f t="shared" si="0"/>
        <v>43862</v>
      </c>
      <c r="E27" s="27">
        <v>144.80000000000001</v>
      </c>
      <c r="F27" s="27">
        <v>167.5</v>
      </c>
      <c r="G27" s="27">
        <v>151.80000000000001</v>
      </c>
      <c r="H27" s="27">
        <v>150.80000000000001</v>
      </c>
      <c r="I27" s="27">
        <v>131.4</v>
      </c>
      <c r="J27" s="27">
        <v>141.80000000000001</v>
      </c>
      <c r="K27" s="27">
        <v>170.7</v>
      </c>
      <c r="L27" s="27">
        <v>141.1</v>
      </c>
      <c r="M27" s="27">
        <v>113.6</v>
      </c>
      <c r="N27" s="27">
        <v>152</v>
      </c>
      <c r="O27" s="8">
        <f t="shared" si="1"/>
        <v>146.55000000000001</v>
      </c>
      <c r="P27" s="33">
        <f t="shared" si="2"/>
        <v>-1.7893043827905024</v>
      </c>
      <c r="Q27" s="33">
        <f t="shared" si="3"/>
        <v>10.345606505534228</v>
      </c>
    </row>
    <row r="28" spans="1:17">
      <c r="A28" s="21" t="s">
        <v>34</v>
      </c>
      <c r="B28" s="26">
        <v>2020</v>
      </c>
      <c r="C28" s="21" t="s">
        <v>36</v>
      </c>
      <c r="D28" s="52">
        <f t="shared" si="0"/>
        <v>43891</v>
      </c>
      <c r="E28" s="27">
        <v>145.1</v>
      </c>
      <c r="F28" s="27">
        <v>167</v>
      </c>
      <c r="G28" s="27">
        <v>148.1</v>
      </c>
      <c r="H28" s="27">
        <v>151.5</v>
      </c>
      <c r="I28" s="27">
        <v>131.19999999999999</v>
      </c>
      <c r="J28" s="27">
        <v>142.5</v>
      </c>
      <c r="K28" s="27">
        <v>157.30000000000001</v>
      </c>
      <c r="L28" s="27">
        <v>141.1</v>
      </c>
      <c r="M28" s="27">
        <v>113.2</v>
      </c>
      <c r="N28" s="27">
        <v>153.19999999999999</v>
      </c>
      <c r="O28" s="8">
        <f t="shared" si="1"/>
        <v>145.02000000000001</v>
      </c>
      <c r="P28" s="33">
        <f t="shared" si="2"/>
        <v>-1.0440122824974418</v>
      </c>
      <c r="Q28" s="33">
        <f t="shared" si="3"/>
        <v>8.9474870407933498</v>
      </c>
    </row>
    <row r="29" spans="1:17">
      <c r="A29" s="21" t="s">
        <v>34</v>
      </c>
      <c r="B29" s="26">
        <v>2020</v>
      </c>
      <c r="C29" s="21" t="s">
        <v>37</v>
      </c>
      <c r="D29" s="52">
        <f t="shared" si="0"/>
        <v>43922</v>
      </c>
      <c r="E29" s="27">
        <v>148.69999999999999</v>
      </c>
      <c r="F29" s="27" t="s">
        <v>32</v>
      </c>
      <c r="G29" s="27">
        <v>148.80000000000001</v>
      </c>
      <c r="H29" s="27">
        <v>155.6</v>
      </c>
      <c r="I29" s="27">
        <v>135.1</v>
      </c>
      <c r="J29" s="27">
        <v>149.9</v>
      </c>
      <c r="K29" s="27">
        <v>168.6</v>
      </c>
      <c r="L29" s="27">
        <v>150.4</v>
      </c>
      <c r="M29" s="27">
        <v>120.3</v>
      </c>
      <c r="N29" s="27">
        <v>157.1</v>
      </c>
      <c r="O29" s="8">
        <f t="shared" si="1"/>
        <v>148.27777777777777</v>
      </c>
      <c r="P29" s="33">
        <f t="shared" si="2"/>
        <v>2.2464334421305758</v>
      </c>
      <c r="Q29" s="33">
        <f t="shared" si="3"/>
        <v>10.994668596285475</v>
      </c>
    </row>
    <row r="30" spans="1:17">
      <c r="A30" s="21" t="s">
        <v>34</v>
      </c>
      <c r="B30" s="26">
        <v>2020</v>
      </c>
      <c r="C30" s="21" t="s">
        <v>38</v>
      </c>
      <c r="D30" s="52">
        <f t="shared" si="0"/>
        <v>43952</v>
      </c>
      <c r="E30" s="55" t="s">
        <v>32</v>
      </c>
      <c r="F30" s="55" t="s">
        <v>32</v>
      </c>
      <c r="G30" s="55" t="s">
        <v>32</v>
      </c>
      <c r="H30" s="55" t="s">
        <v>32</v>
      </c>
      <c r="I30" s="55" t="s">
        <v>32</v>
      </c>
      <c r="J30" s="55" t="s">
        <v>32</v>
      </c>
      <c r="K30" s="55" t="s">
        <v>32</v>
      </c>
      <c r="L30" s="55" t="s">
        <v>32</v>
      </c>
      <c r="M30" s="55" t="s">
        <v>32</v>
      </c>
      <c r="N30" s="55" t="s">
        <v>32</v>
      </c>
      <c r="O30" s="8" t="str">
        <f t="shared" si="1"/>
        <v>NA</v>
      </c>
      <c r="P30" s="33" t="str">
        <f t="shared" si="2"/>
        <v>NA</v>
      </c>
      <c r="Q30" s="33" t="str">
        <f t="shared" si="3"/>
        <v>NA</v>
      </c>
    </row>
    <row r="31" spans="1:17">
      <c r="A31" s="21" t="s">
        <v>34</v>
      </c>
      <c r="B31" s="26">
        <v>2020</v>
      </c>
      <c r="C31" s="21" t="s">
        <v>39</v>
      </c>
      <c r="D31" s="52">
        <f t="shared" si="0"/>
        <v>43983</v>
      </c>
      <c r="E31" s="27">
        <v>149.6</v>
      </c>
      <c r="F31" s="27">
        <v>192.7</v>
      </c>
      <c r="G31" s="27">
        <v>151.4</v>
      </c>
      <c r="H31" s="27">
        <v>153.30000000000001</v>
      </c>
      <c r="I31" s="27">
        <v>136.30000000000001</v>
      </c>
      <c r="J31" s="27">
        <v>147.19999999999999</v>
      </c>
      <c r="K31" s="27">
        <v>156.5</v>
      </c>
      <c r="L31" s="27">
        <v>150.9</v>
      </c>
      <c r="M31" s="27">
        <v>114.2</v>
      </c>
      <c r="N31" s="27">
        <v>159.5</v>
      </c>
      <c r="O31" s="8">
        <f t="shared" si="1"/>
        <v>151.16000000000003</v>
      </c>
      <c r="P31" s="33" t="str">
        <f t="shared" si="2"/>
        <v>NA</v>
      </c>
      <c r="Q31" s="33">
        <f t="shared" si="3"/>
        <v>9.4331426916672907</v>
      </c>
    </row>
    <row r="32" spans="1:17">
      <c r="A32" s="21" t="s">
        <v>34</v>
      </c>
      <c r="B32" s="26">
        <v>2020</v>
      </c>
      <c r="C32" s="21" t="s">
        <v>40</v>
      </c>
      <c r="D32" s="52">
        <f t="shared" si="0"/>
        <v>44013</v>
      </c>
      <c r="E32" s="27">
        <v>149.6</v>
      </c>
      <c r="F32" s="27">
        <v>192.7</v>
      </c>
      <c r="G32" s="27">
        <v>151.4</v>
      </c>
      <c r="H32" s="27">
        <v>153.30000000000001</v>
      </c>
      <c r="I32" s="27">
        <v>136.30000000000001</v>
      </c>
      <c r="J32" s="27">
        <v>147.19999999999999</v>
      </c>
      <c r="K32" s="27">
        <v>156.5</v>
      </c>
      <c r="L32" s="27">
        <v>150.9</v>
      </c>
      <c r="M32" s="27">
        <v>114.2</v>
      </c>
      <c r="N32" s="27">
        <v>159.5</v>
      </c>
      <c r="O32" s="8">
        <f t="shared" si="1"/>
        <v>151.16000000000003</v>
      </c>
      <c r="P32" s="33">
        <f t="shared" si="2"/>
        <v>0</v>
      </c>
      <c r="Q32" s="33">
        <f t="shared" si="3"/>
        <v>7.8250945145873647</v>
      </c>
    </row>
    <row r="33" spans="1:17">
      <c r="A33" s="21" t="s">
        <v>34</v>
      </c>
      <c r="B33" s="26">
        <v>2020</v>
      </c>
      <c r="C33" s="21" t="s">
        <v>41</v>
      </c>
      <c r="D33" s="52">
        <f t="shared" si="0"/>
        <v>44044</v>
      </c>
      <c r="E33" s="27">
        <v>148.9</v>
      </c>
      <c r="F33" s="27">
        <v>190.9</v>
      </c>
      <c r="G33" s="27">
        <v>150.80000000000001</v>
      </c>
      <c r="H33" s="27">
        <v>153.30000000000001</v>
      </c>
      <c r="I33" s="27">
        <v>137.4</v>
      </c>
      <c r="J33" s="27">
        <v>150.4</v>
      </c>
      <c r="K33" s="27">
        <v>178.1</v>
      </c>
      <c r="L33" s="27">
        <v>150.4</v>
      </c>
      <c r="M33" s="27">
        <v>115.1</v>
      </c>
      <c r="N33" s="27">
        <v>160</v>
      </c>
      <c r="O33" s="8">
        <f t="shared" si="1"/>
        <v>153.53</v>
      </c>
      <c r="P33" s="33">
        <f t="shared" si="2"/>
        <v>1.5678750992325852</v>
      </c>
      <c r="Q33" s="33">
        <f t="shared" si="3"/>
        <v>8.9560712511532223</v>
      </c>
    </row>
    <row r="34" spans="1:17">
      <c r="A34" s="21" t="s">
        <v>34</v>
      </c>
      <c r="B34" s="26">
        <v>2020</v>
      </c>
      <c r="C34" s="21" t="s">
        <v>42</v>
      </c>
      <c r="D34" s="52">
        <f t="shared" si="0"/>
        <v>44075</v>
      </c>
      <c r="E34" s="27">
        <v>148.4</v>
      </c>
      <c r="F34" s="27">
        <v>187.1</v>
      </c>
      <c r="G34" s="27">
        <v>152.5</v>
      </c>
      <c r="H34" s="27">
        <v>153.6</v>
      </c>
      <c r="I34" s="27">
        <v>138.19999999999999</v>
      </c>
      <c r="J34" s="27">
        <v>150.9</v>
      </c>
      <c r="K34" s="27">
        <v>186.7</v>
      </c>
      <c r="L34" s="27">
        <v>149.80000000000001</v>
      </c>
      <c r="M34" s="27">
        <v>116.4</v>
      </c>
      <c r="N34" s="27">
        <v>160.30000000000001</v>
      </c>
      <c r="O34" s="8">
        <f t="shared" si="1"/>
        <v>154.38999999999999</v>
      </c>
      <c r="P34" s="33">
        <f t="shared" si="2"/>
        <v>0.56015111053213396</v>
      </c>
      <c r="Q34" s="33">
        <f t="shared" si="3"/>
        <v>8.809641271407429</v>
      </c>
    </row>
    <row r="35" spans="1:17">
      <c r="A35" s="21" t="s">
        <v>34</v>
      </c>
      <c r="B35" s="26">
        <v>2020</v>
      </c>
      <c r="C35" s="21" t="s">
        <v>43</v>
      </c>
      <c r="D35" s="52">
        <f t="shared" si="0"/>
        <v>44105</v>
      </c>
      <c r="E35" s="27">
        <v>147.5</v>
      </c>
      <c r="F35" s="27">
        <v>188.9</v>
      </c>
      <c r="G35" s="27">
        <v>161.4</v>
      </c>
      <c r="H35" s="27">
        <v>153.6</v>
      </c>
      <c r="I35" s="27">
        <v>140.1</v>
      </c>
      <c r="J35" s="27">
        <v>151.19999999999999</v>
      </c>
      <c r="K35" s="27">
        <v>209.2</v>
      </c>
      <c r="L35" s="27">
        <v>150.9</v>
      </c>
      <c r="M35" s="27">
        <v>116.2</v>
      </c>
      <c r="N35" s="27">
        <v>161</v>
      </c>
      <c r="O35" s="8">
        <f t="shared" si="1"/>
        <v>158.00000000000003</v>
      </c>
      <c r="P35" s="33">
        <f t="shared" si="2"/>
        <v>2.3382343416024627</v>
      </c>
      <c r="Q35" s="33">
        <f t="shared" si="3"/>
        <v>9.4334395345615967</v>
      </c>
    </row>
    <row r="36" spans="1:17">
      <c r="A36" s="21" t="s">
        <v>34</v>
      </c>
      <c r="B36" s="26">
        <v>2020</v>
      </c>
      <c r="C36" s="21" t="s">
        <v>45</v>
      </c>
      <c r="D36" s="52">
        <f t="shared" si="0"/>
        <v>44136</v>
      </c>
      <c r="E36" s="27">
        <v>146.80000000000001</v>
      </c>
      <c r="F36" s="27">
        <v>191</v>
      </c>
      <c r="G36" s="27">
        <v>173.6</v>
      </c>
      <c r="H36" s="27">
        <v>153.80000000000001</v>
      </c>
      <c r="I36" s="27">
        <v>142.69999999999999</v>
      </c>
      <c r="J36" s="27">
        <v>148.4</v>
      </c>
      <c r="K36" s="27">
        <v>230</v>
      </c>
      <c r="L36" s="27">
        <v>156.80000000000001</v>
      </c>
      <c r="M36" s="27">
        <v>115.7</v>
      </c>
      <c r="N36" s="27">
        <v>161.80000000000001</v>
      </c>
      <c r="O36" s="8">
        <f t="shared" si="1"/>
        <v>162.06</v>
      </c>
      <c r="P36" s="33">
        <f t="shared" si="2"/>
        <v>2.56962025316454</v>
      </c>
      <c r="Q36" s="33">
        <f t="shared" si="3"/>
        <v>10.530623380166414</v>
      </c>
    </row>
    <row r="37" spans="1:17">
      <c r="A37" s="21" t="s">
        <v>34</v>
      </c>
      <c r="B37" s="26">
        <v>2020</v>
      </c>
      <c r="C37" s="21" t="s">
        <v>46</v>
      </c>
      <c r="D37" s="52">
        <f t="shared" si="0"/>
        <v>44166</v>
      </c>
      <c r="E37" s="27">
        <v>146</v>
      </c>
      <c r="F37" s="27">
        <v>191</v>
      </c>
      <c r="G37" s="27">
        <v>175.3</v>
      </c>
      <c r="H37" s="27">
        <v>154.1</v>
      </c>
      <c r="I37" s="27">
        <v>146.6</v>
      </c>
      <c r="J37" s="27">
        <v>147.69999999999999</v>
      </c>
      <c r="K37" s="27">
        <v>230.5</v>
      </c>
      <c r="L37" s="27">
        <v>160.19999999999999</v>
      </c>
      <c r="M37" s="27">
        <v>115.3</v>
      </c>
      <c r="N37" s="27">
        <v>163</v>
      </c>
      <c r="O37" s="8">
        <f t="shared" si="1"/>
        <v>162.97</v>
      </c>
      <c r="P37" s="33">
        <f t="shared" si="2"/>
        <v>0.56152042453412099</v>
      </c>
      <c r="Q37" s="33">
        <f t="shared" si="3"/>
        <v>8.842583316636599</v>
      </c>
    </row>
    <row r="38" spans="1:17">
      <c r="A38" s="21" t="s">
        <v>34</v>
      </c>
      <c r="B38" s="26">
        <v>2021</v>
      </c>
      <c r="C38" s="21" t="s">
        <v>31</v>
      </c>
      <c r="D38" s="52">
        <f t="shared" si="0"/>
        <v>44197</v>
      </c>
      <c r="E38" s="27">
        <v>144.9</v>
      </c>
      <c r="F38" s="27">
        <v>190.1</v>
      </c>
      <c r="G38" s="27">
        <v>175.3</v>
      </c>
      <c r="H38" s="27">
        <v>154.1</v>
      </c>
      <c r="I38" s="27">
        <v>150.9</v>
      </c>
      <c r="J38" s="27">
        <v>149.6</v>
      </c>
      <c r="K38" s="27">
        <v>194.2</v>
      </c>
      <c r="L38" s="27">
        <v>160.4</v>
      </c>
      <c r="M38" s="27">
        <v>114.6</v>
      </c>
      <c r="N38" s="27">
        <v>164</v>
      </c>
      <c r="O38" s="8">
        <f t="shared" si="1"/>
        <v>159.81</v>
      </c>
      <c r="P38" s="33">
        <f t="shared" si="2"/>
        <v>-1.93900717923544</v>
      </c>
      <c r="Q38" s="33">
        <f t="shared" si="3"/>
        <v>7.0969039002814664</v>
      </c>
    </row>
    <row r="39" spans="1:17">
      <c r="A39" s="21" t="s">
        <v>34</v>
      </c>
      <c r="B39" s="26">
        <v>2021</v>
      </c>
      <c r="C39" s="21" t="s">
        <v>35</v>
      </c>
      <c r="D39" s="52">
        <f t="shared" si="0"/>
        <v>44228</v>
      </c>
      <c r="E39" s="27">
        <v>144.30000000000001</v>
      </c>
      <c r="F39" s="27">
        <v>186.5</v>
      </c>
      <c r="G39" s="27">
        <v>168.7</v>
      </c>
      <c r="H39" s="27">
        <v>154.69999999999999</v>
      </c>
      <c r="I39" s="27">
        <v>158.69999999999999</v>
      </c>
      <c r="J39" s="27">
        <v>150.69999999999999</v>
      </c>
      <c r="K39" s="27">
        <v>160</v>
      </c>
      <c r="L39" s="27">
        <v>158.80000000000001</v>
      </c>
      <c r="M39" s="27">
        <v>112.8</v>
      </c>
      <c r="N39" s="27">
        <v>164.2</v>
      </c>
      <c r="O39" s="8">
        <f t="shared" si="1"/>
        <v>155.94</v>
      </c>
      <c r="P39" s="33">
        <f t="shared" si="2"/>
        <v>-2.4216256804955911</v>
      </c>
      <c r="Q39" s="33">
        <f t="shared" si="3"/>
        <v>6.4073694984646785</v>
      </c>
    </row>
    <row r="40" spans="1:17">
      <c r="A40" s="21" t="s">
        <v>34</v>
      </c>
      <c r="B40" s="26">
        <v>2021</v>
      </c>
      <c r="C40" s="21" t="s">
        <v>36</v>
      </c>
      <c r="D40" s="52">
        <f t="shared" si="0"/>
        <v>44256</v>
      </c>
      <c r="E40" s="27">
        <v>144.1</v>
      </c>
      <c r="F40" s="27">
        <v>192.2</v>
      </c>
      <c r="G40" s="27">
        <v>163.80000000000001</v>
      </c>
      <c r="H40" s="27">
        <v>154.9</v>
      </c>
      <c r="I40" s="27">
        <v>163.9</v>
      </c>
      <c r="J40" s="27">
        <v>153.69999999999999</v>
      </c>
      <c r="K40" s="27">
        <v>149.5</v>
      </c>
      <c r="L40" s="27">
        <v>159.80000000000001</v>
      </c>
      <c r="M40" s="27">
        <v>112.6</v>
      </c>
      <c r="N40" s="27">
        <v>163.5</v>
      </c>
      <c r="O40" s="8">
        <f t="shared" si="1"/>
        <v>155.79999999999998</v>
      </c>
      <c r="P40" s="33">
        <f t="shared" si="2"/>
        <v>-8.9778119789672178E-2</v>
      </c>
      <c r="Q40" s="33">
        <f t="shared" si="3"/>
        <v>7.4334574541442366</v>
      </c>
    </row>
    <row r="41" spans="1:17">
      <c r="A41" s="21" t="s">
        <v>34</v>
      </c>
      <c r="B41" s="26">
        <v>2021</v>
      </c>
      <c r="C41" s="21" t="s">
        <v>37</v>
      </c>
      <c r="D41" s="52">
        <f t="shared" si="0"/>
        <v>44287</v>
      </c>
      <c r="E41" s="27">
        <v>144.30000000000001</v>
      </c>
      <c r="F41" s="27">
        <v>198</v>
      </c>
      <c r="G41" s="27">
        <v>164.6</v>
      </c>
      <c r="H41" s="27">
        <v>155.4</v>
      </c>
      <c r="I41" s="27">
        <v>170.1</v>
      </c>
      <c r="J41" s="27">
        <v>164.4</v>
      </c>
      <c r="K41" s="27">
        <v>144.1</v>
      </c>
      <c r="L41" s="27">
        <v>161.69999999999999</v>
      </c>
      <c r="M41" s="27">
        <v>113.1</v>
      </c>
      <c r="N41" s="27">
        <v>163.9</v>
      </c>
      <c r="O41" s="8">
        <f t="shared" si="1"/>
        <v>157.95999999999998</v>
      </c>
      <c r="P41" s="33">
        <f t="shared" si="2"/>
        <v>1.386392811296532</v>
      </c>
      <c r="Q41" s="33">
        <f t="shared" si="3"/>
        <v>6.529786436867731</v>
      </c>
    </row>
    <row r="42" spans="1:17">
      <c r="A42" s="21" t="s">
        <v>34</v>
      </c>
      <c r="B42" s="26">
        <v>2021</v>
      </c>
      <c r="C42" s="21" t="s">
        <v>38</v>
      </c>
      <c r="D42" s="52">
        <f t="shared" si="0"/>
        <v>44317</v>
      </c>
      <c r="E42" s="27">
        <v>146.30000000000001</v>
      </c>
      <c r="F42" s="27">
        <v>200.5</v>
      </c>
      <c r="G42" s="27">
        <v>170.3</v>
      </c>
      <c r="H42" s="27">
        <v>156.1</v>
      </c>
      <c r="I42" s="27">
        <v>178.7</v>
      </c>
      <c r="J42" s="27">
        <v>167.1</v>
      </c>
      <c r="K42" s="27">
        <v>147.9</v>
      </c>
      <c r="L42" s="27">
        <v>165.4</v>
      </c>
      <c r="M42" s="27">
        <v>114.8</v>
      </c>
      <c r="N42" s="27">
        <v>168.2</v>
      </c>
      <c r="O42" s="8">
        <f t="shared" si="1"/>
        <v>161.53000000000003</v>
      </c>
      <c r="P42" s="33">
        <f t="shared" si="2"/>
        <v>2.2600658394530582</v>
      </c>
      <c r="Q42" s="33" t="str">
        <f t="shared" si="3"/>
        <v>NA</v>
      </c>
    </row>
    <row r="43" spans="1:17">
      <c r="A43" s="21" t="s">
        <v>34</v>
      </c>
      <c r="B43" s="26">
        <v>2021</v>
      </c>
      <c r="C43" s="21" t="s">
        <v>39</v>
      </c>
      <c r="D43" s="52">
        <f t="shared" si="0"/>
        <v>44348</v>
      </c>
      <c r="E43" s="27">
        <v>146.69999999999999</v>
      </c>
      <c r="F43" s="27">
        <v>202</v>
      </c>
      <c r="G43" s="27">
        <v>180.7</v>
      </c>
      <c r="H43" s="27">
        <v>156.19999999999999</v>
      </c>
      <c r="I43" s="27">
        <v>183.7</v>
      </c>
      <c r="J43" s="27">
        <v>164.6</v>
      </c>
      <c r="K43" s="27">
        <v>155.4</v>
      </c>
      <c r="L43" s="27">
        <v>166</v>
      </c>
      <c r="M43" s="27">
        <v>115.1</v>
      </c>
      <c r="N43" s="27">
        <v>168.5</v>
      </c>
      <c r="O43" s="8">
        <f t="shared" si="1"/>
        <v>163.89</v>
      </c>
      <c r="P43" s="33">
        <f t="shared" si="2"/>
        <v>1.4610289110381702</v>
      </c>
      <c r="Q43" s="33">
        <f t="shared" si="3"/>
        <v>8.4215400899708648</v>
      </c>
    </row>
    <row r="44" spans="1:17">
      <c r="A44" s="21" t="s">
        <v>34</v>
      </c>
      <c r="B44" s="26">
        <v>2021</v>
      </c>
      <c r="C44" s="21" t="s">
        <v>40</v>
      </c>
      <c r="D44" s="52">
        <f t="shared" si="0"/>
        <v>44378</v>
      </c>
      <c r="E44" s="27">
        <v>146.4</v>
      </c>
      <c r="F44" s="27">
        <v>206.8</v>
      </c>
      <c r="G44" s="27">
        <v>182.2</v>
      </c>
      <c r="H44" s="27">
        <v>157.5</v>
      </c>
      <c r="I44" s="27">
        <v>182.1</v>
      </c>
      <c r="J44" s="27">
        <v>163.9</v>
      </c>
      <c r="K44" s="27">
        <v>164.2</v>
      </c>
      <c r="L44" s="27">
        <v>164</v>
      </c>
      <c r="M44" s="27">
        <v>114.5</v>
      </c>
      <c r="N44" s="27">
        <v>168.3</v>
      </c>
      <c r="O44" s="8">
        <f t="shared" si="1"/>
        <v>164.99</v>
      </c>
      <c r="P44" s="33">
        <f t="shared" si="2"/>
        <v>0.67118189029228315</v>
      </c>
      <c r="Q44" s="33">
        <f t="shared" si="3"/>
        <v>9.1492458322307382</v>
      </c>
    </row>
    <row r="45" spans="1:17">
      <c r="A45" s="21" t="s">
        <v>34</v>
      </c>
      <c r="B45" s="26">
        <v>2021</v>
      </c>
      <c r="C45" s="21" t="s">
        <v>41</v>
      </c>
      <c r="D45" s="52">
        <f t="shared" si="0"/>
        <v>44409</v>
      </c>
      <c r="E45" s="27">
        <v>146.6</v>
      </c>
      <c r="F45" s="27">
        <v>204</v>
      </c>
      <c r="G45" s="27">
        <v>172.8</v>
      </c>
      <c r="H45" s="27">
        <v>158.4</v>
      </c>
      <c r="I45" s="27">
        <v>188</v>
      </c>
      <c r="J45" s="27">
        <v>156.80000000000001</v>
      </c>
      <c r="K45" s="27">
        <v>162.19999999999999</v>
      </c>
      <c r="L45" s="27">
        <v>164.1</v>
      </c>
      <c r="M45" s="27">
        <v>119.7</v>
      </c>
      <c r="N45" s="27">
        <v>168.8</v>
      </c>
      <c r="O45" s="8">
        <f t="shared" si="1"/>
        <v>164.14000000000001</v>
      </c>
      <c r="P45" s="33">
        <f t="shared" si="2"/>
        <v>-0.51518273834777517</v>
      </c>
      <c r="Q45" s="33">
        <f t="shared" si="3"/>
        <v>6.9107014915651757</v>
      </c>
    </row>
    <row r="46" spans="1:17">
      <c r="A46" s="21" t="s">
        <v>34</v>
      </c>
      <c r="B46" s="26">
        <v>2021</v>
      </c>
      <c r="C46" s="21" t="s">
        <v>42</v>
      </c>
      <c r="D46" s="52">
        <f t="shared" si="0"/>
        <v>44440</v>
      </c>
      <c r="E46" s="27">
        <v>146.6</v>
      </c>
      <c r="F46" s="27">
        <v>204</v>
      </c>
      <c r="G46" s="27">
        <v>172.8</v>
      </c>
      <c r="H46" s="27">
        <v>158.4</v>
      </c>
      <c r="I46" s="27">
        <v>188</v>
      </c>
      <c r="J46" s="27">
        <v>156.69999999999999</v>
      </c>
      <c r="K46" s="27">
        <v>162.30000000000001</v>
      </c>
      <c r="L46" s="27">
        <v>164.1</v>
      </c>
      <c r="M46" s="27">
        <v>119.7</v>
      </c>
      <c r="N46" s="27">
        <v>168.8</v>
      </c>
      <c r="O46" s="8">
        <f t="shared" si="1"/>
        <v>164.14</v>
      </c>
      <c r="P46" s="33">
        <f t="shared" si="2"/>
        <v>-1.7315529079081273E-14</v>
      </c>
      <c r="Q46" s="33">
        <f t="shared" si="3"/>
        <v>6.3151758533583795</v>
      </c>
    </row>
    <row r="47" spans="1:17">
      <c r="A47" s="21" t="s">
        <v>34</v>
      </c>
      <c r="B47" s="26">
        <v>2021</v>
      </c>
      <c r="C47" s="21" t="s">
        <v>43</v>
      </c>
      <c r="D47" s="52">
        <f t="shared" si="0"/>
        <v>44470</v>
      </c>
      <c r="E47" s="27">
        <v>147.4</v>
      </c>
      <c r="F47" s="27">
        <v>204.6</v>
      </c>
      <c r="G47" s="27">
        <v>171.2</v>
      </c>
      <c r="H47" s="27">
        <v>158.69999999999999</v>
      </c>
      <c r="I47" s="27">
        <v>190.6</v>
      </c>
      <c r="J47" s="27">
        <v>155.69999999999999</v>
      </c>
      <c r="K47" s="27">
        <v>185.3</v>
      </c>
      <c r="L47" s="27">
        <v>165.2</v>
      </c>
      <c r="M47" s="27">
        <v>121.9</v>
      </c>
      <c r="N47" s="27">
        <v>169.3</v>
      </c>
      <c r="O47" s="8">
        <f t="shared" si="1"/>
        <v>166.99</v>
      </c>
      <c r="P47" s="33">
        <f t="shared" si="2"/>
        <v>1.7363226513951644</v>
      </c>
      <c r="Q47" s="33">
        <f t="shared" si="3"/>
        <v>5.6898734177215058</v>
      </c>
    </row>
    <row r="48" spans="1:17">
      <c r="A48" s="21" t="s">
        <v>34</v>
      </c>
      <c r="B48" s="26">
        <v>2021</v>
      </c>
      <c r="C48" s="21" t="s">
        <v>45</v>
      </c>
      <c r="D48" s="52">
        <f t="shared" si="0"/>
        <v>44501</v>
      </c>
      <c r="E48" s="27">
        <v>148.19999999999999</v>
      </c>
      <c r="F48" s="27">
        <v>201.6</v>
      </c>
      <c r="G48" s="27">
        <v>173</v>
      </c>
      <c r="H48" s="27">
        <v>159.30000000000001</v>
      </c>
      <c r="I48" s="27">
        <v>190.1</v>
      </c>
      <c r="J48" s="27">
        <v>156.5</v>
      </c>
      <c r="K48" s="27">
        <v>199.2</v>
      </c>
      <c r="L48" s="27">
        <v>165.3</v>
      </c>
      <c r="M48" s="27">
        <v>122.4</v>
      </c>
      <c r="N48" s="27">
        <v>169.6</v>
      </c>
      <c r="O48" s="8">
        <f t="shared" si="1"/>
        <v>168.51999999999998</v>
      </c>
      <c r="P48" s="33">
        <f t="shared" si="2"/>
        <v>0.9162225282950911</v>
      </c>
      <c r="Q48" s="33">
        <f t="shared" si="3"/>
        <v>3.986177958780686</v>
      </c>
    </row>
    <row r="49" spans="1:17">
      <c r="A49" s="21" t="s">
        <v>34</v>
      </c>
      <c r="B49" s="26">
        <v>2021</v>
      </c>
      <c r="C49" s="21" t="s">
        <v>46</v>
      </c>
      <c r="D49" s="52">
        <f t="shared" si="0"/>
        <v>44531</v>
      </c>
      <c r="E49" s="27">
        <v>148.69999999999999</v>
      </c>
      <c r="F49" s="27">
        <v>198.8</v>
      </c>
      <c r="G49" s="27">
        <v>177.9</v>
      </c>
      <c r="H49" s="27">
        <v>159.9</v>
      </c>
      <c r="I49" s="27">
        <v>187.6</v>
      </c>
      <c r="J49" s="27">
        <v>154.9</v>
      </c>
      <c r="K49" s="27">
        <v>188.3</v>
      </c>
      <c r="L49" s="27">
        <v>164.4</v>
      </c>
      <c r="M49" s="27">
        <v>121</v>
      </c>
      <c r="N49" s="27">
        <v>170.5</v>
      </c>
      <c r="O49" s="8">
        <f t="shared" si="1"/>
        <v>167.2</v>
      </c>
      <c r="P49" s="33">
        <f t="shared" si="2"/>
        <v>-0.78328981723237212</v>
      </c>
      <c r="Q49" s="33">
        <f t="shared" si="3"/>
        <v>2.595569736761361</v>
      </c>
    </row>
    <row r="50" spans="1:17" ht="15.6">
      <c r="A50" s="117" t="s">
        <v>49</v>
      </c>
    </row>
    <row r="51" spans="1:17">
      <c r="A51" s="56" t="s">
        <v>118</v>
      </c>
      <c r="B51" s="57" t="s">
        <v>120</v>
      </c>
      <c r="C51" s="56" t="s">
        <v>121</v>
      </c>
      <c r="D51" s="56" t="s">
        <v>122</v>
      </c>
      <c r="E51" s="59" t="s">
        <v>123</v>
      </c>
      <c r="F51" s="59" t="s">
        <v>124</v>
      </c>
    </row>
    <row r="52" spans="1:17" ht="28.8">
      <c r="A52" s="56" t="s">
        <v>119</v>
      </c>
      <c r="B52" s="53" t="s">
        <v>115</v>
      </c>
      <c r="C52" s="8">
        <f>AVERAGEIFS($Q$3:$Q$49,$D$3:$D$49,"&gt;=2019-03-01",$D$3:$D$49,"&lt;=2020-02-01")</f>
        <v>5.6993896324093791</v>
      </c>
      <c r="D52" s="8">
        <f>AVERAGEIFS($P$3:$P$49,$D$3:$D$49,"&gt;=2019-03-01",$D$3:$D$49,"&lt;=2020-02-01")</f>
        <v>0.88446947483838689</v>
      </c>
      <c r="E52" s="134">
        <f>C53-C52</f>
        <v>3.0063372229865992</v>
      </c>
      <c r="F52" s="134">
        <f>D53-D52</f>
        <v>-0.34512710567081539</v>
      </c>
    </row>
    <row r="53" spans="1:17" ht="28.8">
      <c r="A53" s="50" t="s">
        <v>116</v>
      </c>
      <c r="B53" s="54" t="s">
        <v>117</v>
      </c>
      <c r="C53" s="8">
        <f>AVERAGEIFS($Q$3:$Q$49,$D$3:$D$49,"&gt;=2020-04-01",$D$3:$D$49,"&lt;=2021-03-01")</f>
        <v>8.7057268553959783</v>
      </c>
      <c r="D53" s="8">
        <f>AVERAGEIFS($P$3:$P$49,$D$3:$D$49,"&gt;=2020-04-01",$D$3:$D$49,"&lt;=2021-03-01")</f>
        <v>0.5393423691675715</v>
      </c>
      <c r="E53" s="135"/>
      <c r="F53" s="135"/>
    </row>
    <row r="54" spans="1:17" s="113" customFormat="1">
      <c r="A54" s="109"/>
      <c r="B54" s="110"/>
      <c r="C54" s="111"/>
      <c r="D54" s="111"/>
      <c r="E54" s="112"/>
      <c r="F54" s="112"/>
    </row>
    <row r="55" spans="1:17" s="113" customFormat="1">
      <c r="A55" s="109"/>
      <c r="B55" s="110"/>
      <c r="C55" s="111"/>
      <c r="D55" s="111"/>
      <c r="E55" s="112"/>
      <c r="F55" s="112"/>
    </row>
    <row r="56" spans="1:17">
      <c r="A56" s="12" t="s">
        <v>0</v>
      </c>
      <c r="B56" s="12" t="s">
        <v>1</v>
      </c>
      <c r="C56" s="12" t="s">
        <v>2</v>
      </c>
      <c r="D56" s="50" t="s">
        <v>100</v>
      </c>
      <c r="E56" s="12" t="s">
        <v>20</v>
      </c>
      <c r="F56" s="12" t="s">
        <v>22</v>
      </c>
      <c r="G56" s="34" t="s">
        <v>136</v>
      </c>
      <c r="H56" s="50" t="s">
        <v>113</v>
      </c>
      <c r="I56" s="12" t="s">
        <v>114</v>
      </c>
    </row>
    <row r="57" spans="1:17" ht="15.6">
      <c r="A57" s="21" t="s">
        <v>34</v>
      </c>
      <c r="B57" s="26">
        <v>2018</v>
      </c>
      <c r="C57" s="21" t="s">
        <v>31</v>
      </c>
      <c r="D57" s="52">
        <f t="shared" ref="D57:D103" si="4">DATE(B57,MONTH(1&amp;C57),1)</f>
        <v>43101</v>
      </c>
      <c r="E57" s="12">
        <v>140.4</v>
      </c>
      <c r="F57" s="12">
        <v>134.9</v>
      </c>
      <c r="G57" s="12">
        <f>IFERROR(AVERAGE(E57:F57),"NA")</f>
        <v>137.65</v>
      </c>
      <c r="H57" s="12"/>
      <c r="I57" s="12"/>
      <c r="K57" s="16" t="s">
        <v>138</v>
      </c>
    </row>
    <row r="58" spans="1:17">
      <c r="A58" s="21" t="s">
        <v>34</v>
      </c>
      <c r="B58" s="26">
        <v>2018</v>
      </c>
      <c r="C58" s="21" t="s">
        <v>35</v>
      </c>
      <c r="D58" s="52">
        <f t="shared" si="4"/>
        <v>43132</v>
      </c>
      <c r="E58" s="12">
        <v>141.30000000000001</v>
      </c>
      <c r="F58" s="12">
        <v>135.19999999999999</v>
      </c>
      <c r="G58" s="12">
        <f t="shared" ref="G58:G103" si="5">IFERROR(AVERAGE(E58:F58),"NA")</f>
        <v>138.25</v>
      </c>
      <c r="H58" s="12">
        <f>IFERROR(IF(G57=0,"",(G58-G57)/G57*100),"NA")</f>
        <v>0.43588812204867</v>
      </c>
      <c r="I58" s="12"/>
      <c r="K58" s="57" t="s">
        <v>120</v>
      </c>
      <c r="L58" s="56" t="s">
        <v>121</v>
      </c>
      <c r="M58" s="56" t="s">
        <v>122</v>
      </c>
      <c r="N58" s="59" t="s">
        <v>123</v>
      </c>
      <c r="O58" s="59" t="s">
        <v>124</v>
      </c>
    </row>
    <row r="59" spans="1:17" ht="28.8">
      <c r="A59" s="21" t="s">
        <v>34</v>
      </c>
      <c r="B59" s="26">
        <v>2018</v>
      </c>
      <c r="C59" s="21" t="s">
        <v>36</v>
      </c>
      <c r="D59" s="52">
        <f t="shared" si="4"/>
        <v>43160</v>
      </c>
      <c r="E59" s="12">
        <v>142</v>
      </c>
      <c r="F59" s="12">
        <v>135.6</v>
      </c>
      <c r="G59" s="12">
        <f t="shared" si="5"/>
        <v>138.80000000000001</v>
      </c>
      <c r="H59" s="12">
        <f t="shared" ref="H59:H103" si="6">IFERROR(IF(G58=0,"",(G59-G58)/G58*100),"NA")</f>
        <v>0.39783001808319091</v>
      </c>
      <c r="I59" s="12"/>
      <c r="K59" s="53" t="s">
        <v>115</v>
      </c>
      <c r="L59" s="8">
        <f>AVERAGEIFS(I57:I103,$D$57:$D$103,"&gt;=2019-03-01",$D$57:$D$103,"&lt;=2020-02-01")</f>
        <v>4.3492265160183976</v>
      </c>
      <c r="M59" s="8">
        <f>AVERAGEIFS(H57:H103,$D$57:$D$103,"&gt;=2019-03-01",$D$57:$D$103,"&lt;=2020-02-01")</f>
        <v>0.27640525899358254</v>
      </c>
      <c r="N59" s="134">
        <f>L60-L59</f>
        <v>-1.950038012614399</v>
      </c>
      <c r="O59" s="134">
        <f>M60-M59</f>
        <v>8.2751225548208573E-2</v>
      </c>
    </row>
    <row r="60" spans="1:17" ht="28.8">
      <c r="A60" s="21" t="s">
        <v>34</v>
      </c>
      <c r="B60" s="26">
        <v>2018</v>
      </c>
      <c r="C60" s="21" t="s">
        <v>37</v>
      </c>
      <c r="D60" s="52">
        <f t="shared" si="4"/>
        <v>43191</v>
      </c>
      <c r="E60" s="12">
        <v>142.9</v>
      </c>
      <c r="F60" s="12">
        <v>136.6</v>
      </c>
      <c r="G60" s="12">
        <f t="shared" si="5"/>
        <v>139.75</v>
      </c>
      <c r="H60" s="12">
        <f t="shared" si="6"/>
        <v>0.68443804034581313</v>
      </c>
      <c r="I60" s="12"/>
      <c r="K60" s="54" t="s">
        <v>117</v>
      </c>
      <c r="L60" s="8">
        <f>AVERAGEIFS(I57:I103,$D$57:$D$103,"&gt;=2020-04-01",$D$57:$D$103,"&lt;=2021-03-01")</f>
        <v>2.3991885034039986</v>
      </c>
      <c r="M60" s="8">
        <f>AVERAGEIFS(H57:H103,$D$57:$D$103,"&gt;=2020-04-01",$D$57:$D$103,"&lt;=2021-03-01")</f>
        <v>0.35915648454179111</v>
      </c>
      <c r="N60" s="135"/>
      <c r="O60" s="135"/>
    </row>
    <row r="61" spans="1:17">
      <c r="A61" s="21" t="s">
        <v>34</v>
      </c>
      <c r="B61" s="26">
        <v>2018</v>
      </c>
      <c r="C61" s="21" t="s">
        <v>38</v>
      </c>
      <c r="D61" s="52">
        <f t="shared" si="4"/>
        <v>43221</v>
      </c>
      <c r="E61" s="12">
        <v>143.19999999999999</v>
      </c>
      <c r="F61" s="12">
        <v>137.4</v>
      </c>
      <c r="G61" s="12">
        <f t="shared" si="5"/>
        <v>140.30000000000001</v>
      </c>
      <c r="H61" s="12">
        <f t="shared" si="6"/>
        <v>0.39355992844365745</v>
      </c>
      <c r="I61" s="12"/>
    </row>
    <row r="62" spans="1:17">
      <c r="A62" s="21" t="s">
        <v>34</v>
      </c>
      <c r="B62" s="26">
        <v>2018</v>
      </c>
      <c r="C62" s="21" t="s">
        <v>39</v>
      </c>
      <c r="D62" s="52">
        <f t="shared" si="4"/>
        <v>43252</v>
      </c>
      <c r="E62" s="12">
        <v>142.5</v>
      </c>
      <c r="F62" s="12">
        <v>137.9</v>
      </c>
      <c r="G62" s="12">
        <f t="shared" si="5"/>
        <v>140.19999999999999</v>
      </c>
      <c r="H62" s="12">
        <f t="shared" si="6"/>
        <v>-7.1275837491106719E-2</v>
      </c>
      <c r="I62" s="12"/>
    </row>
    <row r="63" spans="1:17">
      <c r="A63" s="21" t="s">
        <v>34</v>
      </c>
      <c r="B63" s="26">
        <v>2018</v>
      </c>
      <c r="C63" s="21" t="s">
        <v>40</v>
      </c>
      <c r="D63" s="52">
        <f t="shared" si="4"/>
        <v>43282</v>
      </c>
      <c r="E63" s="12">
        <v>143.6</v>
      </c>
      <c r="F63" s="12">
        <v>138.6</v>
      </c>
      <c r="G63" s="12">
        <f t="shared" si="5"/>
        <v>141.1</v>
      </c>
      <c r="H63" s="12">
        <f t="shared" si="6"/>
        <v>0.64194008559201554</v>
      </c>
      <c r="I63" s="12"/>
    </row>
    <row r="64" spans="1:17">
      <c r="A64" s="21" t="s">
        <v>34</v>
      </c>
      <c r="B64" s="26">
        <v>2018</v>
      </c>
      <c r="C64" s="21" t="s">
        <v>41</v>
      </c>
      <c r="D64" s="52">
        <f t="shared" si="4"/>
        <v>43313</v>
      </c>
      <c r="E64" s="12">
        <v>144.6</v>
      </c>
      <c r="F64" s="12">
        <v>139.4</v>
      </c>
      <c r="G64" s="12">
        <f t="shared" si="5"/>
        <v>142</v>
      </c>
      <c r="H64" s="12">
        <f t="shared" si="6"/>
        <v>0.63784549964564541</v>
      </c>
      <c r="I64" s="12"/>
    </row>
    <row r="65" spans="1:9">
      <c r="A65" s="21" t="s">
        <v>34</v>
      </c>
      <c r="B65" s="26">
        <v>2018</v>
      </c>
      <c r="C65" s="21" t="s">
        <v>42</v>
      </c>
      <c r="D65" s="52">
        <f t="shared" si="4"/>
        <v>43344</v>
      </c>
      <c r="E65" s="12">
        <v>145.30000000000001</v>
      </c>
      <c r="F65" s="12">
        <v>139.69999999999999</v>
      </c>
      <c r="G65" s="12">
        <f t="shared" si="5"/>
        <v>142.5</v>
      </c>
      <c r="H65" s="12">
        <f t="shared" si="6"/>
        <v>0.35211267605633806</v>
      </c>
      <c r="I65" s="12"/>
    </row>
    <row r="66" spans="1:9">
      <c r="A66" s="21" t="s">
        <v>34</v>
      </c>
      <c r="B66" s="26">
        <v>2018</v>
      </c>
      <c r="C66" s="21" t="s">
        <v>43</v>
      </c>
      <c r="D66" s="52">
        <f t="shared" si="4"/>
        <v>43374</v>
      </c>
      <c r="E66" s="12">
        <v>146.9</v>
      </c>
      <c r="F66" s="12">
        <v>142.19999999999999</v>
      </c>
      <c r="G66" s="12">
        <f t="shared" si="5"/>
        <v>144.55000000000001</v>
      </c>
      <c r="H66" s="12">
        <f t="shared" si="6"/>
        <v>1.4385964912280782</v>
      </c>
      <c r="I66" s="12"/>
    </row>
    <row r="67" spans="1:9">
      <c r="A67" s="21" t="s">
        <v>34</v>
      </c>
      <c r="B67" s="26">
        <v>2018</v>
      </c>
      <c r="C67" s="21" t="s">
        <v>45</v>
      </c>
      <c r="D67" s="52">
        <f t="shared" si="4"/>
        <v>43405</v>
      </c>
      <c r="E67" s="12">
        <v>146.9</v>
      </c>
      <c r="F67" s="12">
        <v>142.19999999999999</v>
      </c>
      <c r="G67" s="12">
        <f t="shared" si="5"/>
        <v>144.55000000000001</v>
      </c>
      <c r="H67" s="12">
        <f t="shared" si="6"/>
        <v>0</v>
      </c>
      <c r="I67" s="12"/>
    </row>
    <row r="68" spans="1:9">
      <c r="A68" s="21" t="s">
        <v>34</v>
      </c>
      <c r="B68" s="26">
        <v>2018</v>
      </c>
      <c r="C68" s="21" t="s">
        <v>46</v>
      </c>
      <c r="D68" s="52">
        <f t="shared" si="4"/>
        <v>43435</v>
      </c>
      <c r="E68" s="12">
        <v>146.5</v>
      </c>
      <c r="F68" s="12">
        <v>143.19999999999999</v>
      </c>
      <c r="G68" s="12">
        <f t="shared" si="5"/>
        <v>144.85</v>
      </c>
      <c r="H68" s="12">
        <f t="shared" si="6"/>
        <v>0.20754064337598263</v>
      </c>
      <c r="I68" s="12"/>
    </row>
    <row r="69" spans="1:9">
      <c r="A69" s="21" t="s">
        <v>34</v>
      </c>
      <c r="B69" s="26">
        <v>2019</v>
      </c>
      <c r="C69" s="21" t="s">
        <v>31</v>
      </c>
      <c r="D69" s="52">
        <f t="shared" si="4"/>
        <v>43466</v>
      </c>
      <c r="E69" s="12">
        <v>147.69999999999999</v>
      </c>
      <c r="F69" s="12">
        <v>143.6</v>
      </c>
      <c r="G69" s="12">
        <f t="shared" si="5"/>
        <v>145.64999999999998</v>
      </c>
      <c r="H69" s="12">
        <f t="shared" si="6"/>
        <v>0.55229547808076151</v>
      </c>
      <c r="I69" s="12">
        <f>IFERROR(IF(G57=0,"",(G69-G57)/G57*100),"NA")</f>
        <v>5.8118416273156353</v>
      </c>
    </row>
    <row r="70" spans="1:9">
      <c r="A70" s="21" t="s">
        <v>34</v>
      </c>
      <c r="B70" s="26">
        <v>2019</v>
      </c>
      <c r="C70" s="21" t="s">
        <v>35</v>
      </c>
      <c r="D70" s="52">
        <f t="shared" si="4"/>
        <v>43497</v>
      </c>
      <c r="E70" s="12">
        <v>148.5</v>
      </c>
      <c r="F70" s="12">
        <v>143.69999999999999</v>
      </c>
      <c r="G70" s="12">
        <f t="shared" si="5"/>
        <v>146.1</v>
      </c>
      <c r="H70" s="12">
        <f t="shared" si="6"/>
        <v>0.30895983522143294</v>
      </c>
      <c r="I70" s="12">
        <f t="shared" ref="I70:I103" si="7">IFERROR(IF(G58=0,"",(G70-G58)/G58*100),"NA")</f>
        <v>5.6781193490054207</v>
      </c>
    </row>
    <row r="71" spans="1:9">
      <c r="A71" s="21" t="s">
        <v>34</v>
      </c>
      <c r="B71" s="26">
        <v>2019</v>
      </c>
      <c r="C71" s="21" t="s">
        <v>36</v>
      </c>
      <c r="D71" s="52">
        <f t="shared" si="4"/>
        <v>43525</v>
      </c>
      <c r="E71" s="12">
        <v>149</v>
      </c>
      <c r="F71" s="12">
        <v>143.80000000000001</v>
      </c>
      <c r="G71" s="12">
        <f t="shared" si="5"/>
        <v>146.4</v>
      </c>
      <c r="H71" s="12">
        <f t="shared" si="6"/>
        <v>0.20533880903491536</v>
      </c>
      <c r="I71" s="12">
        <f t="shared" si="7"/>
        <v>5.4755043227665663</v>
      </c>
    </row>
    <row r="72" spans="1:9">
      <c r="A72" s="21" t="s">
        <v>34</v>
      </c>
      <c r="B72" s="26">
        <v>2019</v>
      </c>
      <c r="C72" s="21" t="s">
        <v>38</v>
      </c>
      <c r="D72" s="52">
        <f t="shared" si="4"/>
        <v>43586</v>
      </c>
      <c r="E72" s="12">
        <v>150.1</v>
      </c>
      <c r="F72" s="12">
        <v>143.69999999999999</v>
      </c>
      <c r="G72" s="12">
        <f t="shared" si="5"/>
        <v>146.89999999999998</v>
      </c>
      <c r="H72" s="12">
        <f t="shared" si="6"/>
        <v>0.3415300546447893</v>
      </c>
      <c r="I72" s="12">
        <f t="shared" si="7"/>
        <v>5.1162790697674261</v>
      </c>
    </row>
    <row r="73" spans="1:9">
      <c r="A73" s="21" t="s">
        <v>34</v>
      </c>
      <c r="B73" s="26">
        <v>2019</v>
      </c>
      <c r="C73" s="21" t="s">
        <v>39</v>
      </c>
      <c r="D73" s="52">
        <f t="shared" si="4"/>
        <v>43617</v>
      </c>
      <c r="E73" s="12">
        <v>149.4</v>
      </c>
      <c r="F73" s="12">
        <v>143.80000000000001</v>
      </c>
      <c r="G73" s="12">
        <f t="shared" si="5"/>
        <v>146.60000000000002</v>
      </c>
      <c r="H73" s="12">
        <f t="shared" si="6"/>
        <v>-0.20422055820282814</v>
      </c>
      <c r="I73" s="12">
        <f t="shared" si="7"/>
        <v>4.49037776193871</v>
      </c>
    </row>
    <row r="74" spans="1:9">
      <c r="A74" s="21" t="s">
        <v>34</v>
      </c>
      <c r="B74" s="26">
        <v>2019</v>
      </c>
      <c r="C74" s="21" t="s">
        <v>40</v>
      </c>
      <c r="D74" s="52">
        <f t="shared" si="4"/>
        <v>43647</v>
      </c>
      <c r="E74" s="12">
        <v>150.6</v>
      </c>
      <c r="F74" s="12">
        <v>144.19999999999999</v>
      </c>
      <c r="G74" s="12">
        <f t="shared" si="5"/>
        <v>147.39999999999998</v>
      </c>
      <c r="H74" s="12">
        <f t="shared" si="6"/>
        <v>0.54570259208728134</v>
      </c>
      <c r="I74" s="12">
        <f t="shared" si="7"/>
        <v>5.1355206847360835</v>
      </c>
    </row>
    <row r="75" spans="1:9">
      <c r="A75" s="21" t="s">
        <v>34</v>
      </c>
      <c r="B75" s="26">
        <v>2019</v>
      </c>
      <c r="C75" s="21" t="s">
        <v>41</v>
      </c>
      <c r="D75" s="52">
        <f t="shared" si="4"/>
        <v>43678</v>
      </c>
      <c r="E75" s="12">
        <v>151.6</v>
      </c>
      <c r="F75" s="12">
        <v>144.5</v>
      </c>
      <c r="G75" s="12">
        <f t="shared" si="5"/>
        <v>148.05000000000001</v>
      </c>
      <c r="H75" s="12">
        <f t="shared" si="6"/>
        <v>0.4409769335142702</v>
      </c>
      <c r="I75" s="12">
        <f t="shared" si="7"/>
        <v>4.9255846917080213</v>
      </c>
    </row>
    <row r="76" spans="1:9">
      <c r="A76" s="21" t="s">
        <v>34</v>
      </c>
      <c r="B76" s="26">
        <v>2019</v>
      </c>
      <c r="C76" s="21" t="s">
        <v>42</v>
      </c>
      <c r="D76" s="52">
        <f t="shared" si="4"/>
        <v>43709</v>
      </c>
      <c r="E76" s="12">
        <v>152.19999999999999</v>
      </c>
      <c r="F76" s="12">
        <v>144.6</v>
      </c>
      <c r="G76" s="12">
        <f t="shared" si="5"/>
        <v>148.39999999999998</v>
      </c>
      <c r="H76" s="12">
        <f t="shared" si="6"/>
        <v>0.23640661938531976</v>
      </c>
      <c r="I76" s="12">
        <f t="shared" si="7"/>
        <v>4.507042253521111</v>
      </c>
    </row>
    <row r="77" spans="1:9">
      <c r="A77" s="21" t="s">
        <v>34</v>
      </c>
      <c r="B77" s="26">
        <v>2019</v>
      </c>
      <c r="C77" s="21" t="s">
        <v>43</v>
      </c>
      <c r="D77" s="52">
        <f t="shared" si="4"/>
        <v>43739</v>
      </c>
      <c r="E77" s="12">
        <v>153</v>
      </c>
      <c r="F77" s="12">
        <v>145</v>
      </c>
      <c r="G77" s="12">
        <f t="shared" si="5"/>
        <v>149</v>
      </c>
      <c r="H77" s="12">
        <f t="shared" si="6"/>
        <v>0.40431266846362723</v>
      </c>
      <c r="I77" s="12">
        <f t="shared" si="7"/>
        <v>4.5614035087719298</v>
      </c>
    </row>
    <row r="78" spans="1:9">
      <c r="A78" s="21" t="s">
        <v>34</v>
      </c>
      <c r="B78" s="26">
        <v>2019</v>
      </c>
      <c r="C78" s="21" t="s">
        <v>45</v>
      </c>
      <c r="D78" s="52">
        <f t="shared" si="4"/>
        <v>43770</v>
      </c>
      <c r="E78" s="12">
        <v>153.5</v>
      </c>
      <c r="F78" s="12">
        <v>145.30000000000001</v>
      </c>
      <c r="G78" s="12">
        <f t="shared" si="5"/>
        <v>149.4</v>
      </c>
      <c r="H78" s="12">
        <f t="shared" si="6"/>
        <v>0.26845637583892995</v>
      </c>
      <c r="I78" s="12">
        <f t="shared" si="7"/>
        <v>3.3552404012452395</v>
      </c>
    </row>
    <row r="79" spans="1:9">
      <c r="A79" s="21" t="s">
        <v>34</v>
      </c>
      <c r="B79" s="26">
        <v>2019</v>
      </c>
      <c r="C79" s="21" t="s">
        <v>46</v>
      </c>
      <c r="D79" s="52">
        <f t="shared" si="4"/>
        <v>43800</v>
      </c>
      <c r="E79" s="12">
        <v>152.80000000000001</v>
      </c>
      <c r="F79" s="12">
        <v>145.80000000000001</v>
      </c>
      <c r="G79" s="12">
        <f t="shared" si="5"/>
        <v>149.30000000000001</v>
      </c>
      <c r="H79" s="12">
        <f t="shared" si="6"/>
        <v>-6.6934404283798071E-2</v>
      </c>
      <c r="I79" s="12">
        <f t="shared" si="7"/>
        <v>3.2860601867865791</v>
      </c>
    </row>
    <row r="80" spans="1:9">
      <c r="A80" s="21" t="s">
        <v>34</v>
      </c>
      <c r="B80" s="26">
        <v>2020</v>
      </c>
      <c r="C80" s="21" t="s">
        <v>31</v>
      </c>
      <c r="D80" s="52">
        <f t="shared" si="4"/>
        <v>43831</v>
      </c>
      <c r="E80" s="12">
        <v>153.9</v>
      </c>
      <c r="F80" s="12">
        <v>146.19999999999999</v>
      </c>
      <c r="G80" s="12">
        <f t="shared" si="5"/>
        <v>150.05000000000001</v>
      </c>
      <c r="H80" s="12">
        <f t="shared" si="6"/>
        <v>0.50234427327528464</v>
      </c>
      <c r="I80" s="12">
        <f t="shared" si="7"/>
        <v>3.5899206075250376</v>
      </c>
    </row>
    <row r="81" spans="1:9">
      <c r="A81" s="21" t="s">
        <v>34</v>
      </c>
      <c r="B81" s="26">
        <v>2020</v>
      </c>
      <c r="C81" s="21" t="s">
        <v>35</v>
      </c>
      <c r="D81" s="52">
        <f t="shared" si="4"/>
        <v>43862</v>
      </c>
      <c r="E81" s="12">
        <v>154.80000000000001</v>
      </c>
      <c r="F81" s="12">
        <v>146.4</v>
      </c>
      <c r="G81" s="12">
        <f t="shared" si="5"/>
        <v>150.60000000000002</v>
      </c>
      <c r="H81" s="12">
        <f t="shared" si="6"/>
        <v>0.36654448517161703</v>
      </c>
      <c r="I81" s="12">
        <f t="shared" si="7"/>
        <v>3.3985581874356652</v>
      </c>
    </row>
    <row r="82" spans="1:9">
      <c r="A82" s="21" t="s">
        <v>34</v>
      </c>
      <c r="B82" s="26">
        <v>2020</v>
      </c>
      <c r="C82" s="21" t="s">
        <v>36</v>
      </c>
      <c r="D82" s="52">
        <f t="shared" si="4"/>
        <v>43891</v>
      </c>
      <c r="E82" s="12">
        <v>154.5</v>
      </c>
      <c r="F82" s="12">
        <v>146.4</v>
      </c>
      <c r="G82" s="12">
        <f t="shared" si="5"/>
        <v>150.44999999999999</v>
      </c>
      <c r="H82" s="12">
        <f t="shared" si="6"/>
        <v>-9.9601593625520651E-2</v>
      </c>
      <c r="I82" s="12">
        <f t="shared" si="7"/>
        <v>2.9774127310061562</v>
      </c>
    </row>
    <row r="83" spans="1:9">
      <c r="A83" s="21" t="s">
        <v>34</v>
      </c>
      <c r="B83" s="26">
        <v>2020</v>
      </c>
      <c r="C83" s="21" t="s">
        <v>37</v>
      </c>
      <c r="D83" s="52">
        <f t="shared" si="4"/>
        <v>43922</v>
      </c>
      <c r="E83" s="12">
        <v>155.6</v>
      </c>
      <c r="F83" s="12" t="s">
        <v>32</v>
      </c>
      <c r="G83" s="12">
        <f t="shared" si="5"/>
        <v>155.6</v>
      </c>
      <c r="H83" s="12">
        <f t="shared" si="6"/>
        <v>3.4230641409106055</v>
      </c>
      <c r="I83" s="12">
        <f t="shared" si="7"/>
        <v>6.2841530054644723</v>
      </c>
    </row>
    <row r="84" spans="1:9">
      <c r="A84" s="21" t="s">
        <v>34</v>
      </c>
      <c r="B84" s="26">
        <v>2020</v>
      </c>
      <c r="C84" s="21" t="s">
        <v>38</v>
      </c>
      <c r="D84" s="52">
        <f t="shared" si="4"/>
        <v>43952</v>
      </c>
      <c r="E84" s="12">
        <v>139.25</v>
      </c>
      <c r="F84" s="12" t="s">
        <v>32</v>
      </c>
      <c r="G84" s="12">
        <f t="shared" si="5"/>
        <v>139.25</v>
      </c>
      <c r="H84" s="12">
        <f t="shared" si="6"/>
        <v>-10.507712082262207</v>
      </c>
      <c r="I84" s="12">
        <f t="shared" si="7"/>
        <v>-5.2076242341728918</v>
      </c>
    </row>
    <row r="85" spans="1:9">
      <c r="A85" s="21" t="s">
        <v>34</v>
      </c>
      <c r="B85" s="26">
        <v>2020</v>
      </c>
      <c r="C85" s="21" t="s">
        <v>39</v>
      </c>
      <c r="D85" s="52">
        <f t="shared" si="4"/>
        <v>43983</v>
      </c>
      <c r="E85" s="12">
        <v>154.69999999999999</v>
      </c>
      <c r="F85" s="12">
        <v>146.4</v>
      </c>
      <c r="G85" s="12">
        <f t="shared" si="5"/>
        <v>150.55000000000001</v>
      </c>
      <c r="H85" s="12">
        <f t="shared" si="6"/>
        <v>8.1149012567325034</v>
      </c>
      <c r="I85" s="12">
        <f t="shared" si="7"/>
        <v>2.6944065484310968</v>
      </c>
    </row>
    <row r="86" spans="1:9">
      <c r="A86" s="21" t="s">
        <v>34</v>
      </c>
      <c r="B86" s="26">
        <v>2020</v>
      </c>
      <c r="C86" s="21" t="s">
        <v>40</v>
      </c>
      <c r="D86" s="52">
        <f t="shared" si="4"/>
        <v>44013</v>
      </c>
      <c r="E86" s="12">
        <v>154.69999999999999</v>
      </c>
      <c r="F86" s="12">
        <v>146.4</v>
      </c>
      <c r="G86" s="12">
        <f t="shared" si="5"/>
        <v>150.55000000000001</v>
      </c>
      <c r="H86" s="12">
        <f t="shared" si="6"/>
        <v>0</v>
      </c>
      <c r="I86" s="12">
        <f t="shared" si="7"/>
        <v>2.1370420624152202</v>
      </c>
    </row>
    <row r="87" spans="1:9">
      <c r="A87" s="21" t="s">
        <v>34</v>
      </c>
      <c r="B87" s="26">
        <v>2020</v>
      </c>
      <c r="C87" s="21" t="s">
        <v>41</v>
      </c>
      <c r="D87" s="52">
        <f t="shared" si="4"/>
        <v>44044</v>
      </c>
      <c r="E87" s="12">
        <v>155.5</v>
      </c>
      <c r="F87" s="12">
        <v>148.4</v>
      </c>
      <c r="G87" s="12">
        <f t="shared" si="5"/>
        <v>151.94999999999999</v>
      </c>
      <c r="H87" s="12">
        <f t="shared" si="6"/>
        <v>0.92992361341745422</v>
      </c>
      <c r="I87" s="12">
        <f t="shared" si="7"/>
        <v>2.6342451874366613</v>
      </c>
    </row>
    <row r="88" spans="1:9">
      <c r="A88" s="21" t="s">
        <v>34</v>
      </c>
      <c r="B88" s="26">
        <v>2020</v>
      </c>
      <c r="C88" s="21" t="s">
        <v>42</v>
      </c>
      <c r="D88" s="52">
        <f t="shared" si="4"/>
        <v>44075</v>
      </c>
      <c r="E88" s="12">
        <v>156.30000000000001</v>
      </c>
      <c r="F88" s="12">
        <v>148.69999999999999</v>
      </c>
      <c r="G88" s="12">
        <f t="shared" si="5"/>
        <v>152.5</v>
      </c>
      <c r="H88" s="12">
        <f t="shared" si="6"/>
        <v>0.36196117143798051</v>
      </c>
      <c r="I88" s="12">
        <f t="shared" si="7"/>
        <v>2.7628032345013636</v>
      </c>
    </row>
    <row r="89" spans="1:9">
      <c r="A89" s="21" t="s">
        <v>34</v>
      </c>
      <c r="B89" s="26">
        <v>2020</v>
      </c>
      <c r="C89" s="21" t="s">
        <v>43</v>
      </c>
      <c r="D89" s="52">
        <f t="shared" si="4"/>
        <v>44105</v>
      </c>
      <c r="E89" s="12">
        <v>156.5</v>
      </c>
      <c r="F89" s="12">
        <v>148.69999999999999</v>
      </c>
      <c r="G89" s="12">
        <f t="shared" si="5"/>
        <v>152.6</v>
      </c>
      <c r="H89" s="12">
        <f t="shared" si="6"/>
        <v>6.5573770491799549E-2</v>
      </c>
      <c r="I89" s="12">
        <f t="shared" si="7"/>
        <v>2.4161073825503316</v>
      </c>
    </row>
    <row r="90" spans="1:9">
      <c r="A90" s="21" t="s">
        <v>34</v>
      </c>
      <c r="B90" s="26">
        <v>2020</v>
      </c>
      <c r="C90" s="21" t="s">
        <v>45</v>
      </c>
      <c r="D90" s="52">
        <f t="shared" si="4"/>
        <v>44136</v>
      </c>
      <c r="E90" s="12">
        <v>158</v>
      </c>
      <c r="F90" s="12">
        <v>149.19999999999999</v>
      </c>
      <c r="G90" s="12">
        <f t="shared" si="5"/>
        <v>153.6</v>
      </c>
      <c r="H90" s="12">
        <f t="shared" si="6"/>
        <v>0.65530799475753609</v>
      </c>
      <c r="I90" s="12">
        <f t="shared" si="7"/>
        <v>2.811244979919671</v>
      </c>
    </row>
    <row r="91" spans="1:9">
      <c r="A91" s="21" t="s">
        <v>34</v>
      </c>
      <c r="B91" s="26">
        <v>2020</v>
      </c>
      <c r="C91" s="21" t="s">
        <v>46</v>
      </c>
      <c r="D91" s="52">
        <f t="shared" si="4"/>
        <v>44166</v>
      </c>
      <c r="E91" s="12">
        <v>158.4</v>
      </c>
      <c r="F91" s="12">
        <v>149.69999999999999</v>
      </c>
      <c r="G91" s="12">
        <f t="shared" si="5"/>
        <v>154.05000000000001</v>
      </c>
      <c r="H91" s="12">
        <f t="shared" si="6"/>
        <v>0.2929687500000111</v>
      </c>
      <c r="I91" s="12">
        <f t="shared" si="7"/>
        <v>3.1815137307434695</v>
      </c>
    </row>
    <row r="92" spans="1:9">
      <c r="A92" s="21" t="s">
        <v>34</v>
      </c>
      <c r="B92" s="26">
        <v>2021</v>
      </c>
      <c r="C92" s="21" t="s">
        <v>31</v>
      </c>
      <c r="D92" s="52">
        <f t="shared" si="4"/>
        <v>44197</v>
      </c>
      <c r="E92" s="12">
        <v>157.69999999999999</v>
      </c>
      <c r="F92" s="12">
        <v>150</v>
      </c>
      <c r="G92" s="12">
        <f t="shared" si="5"/>
        <v>153.85</v>
      </c>
      <c r="H92" s="12">
        <f t="shared" si="6"/>
        <v>-0.1298279779292548</v>
      </c>
      <c r="I92" s="12">
        <f t="shared" si="7"/>
        <v>2.5324891702765631</v>
      </c>
    </row>
    <row r="93" spans="1:9">
      <c r="A93" s="21" t="s">
        <v>34</v>
      </c>
      <c r="B93" s="26">
        <v>2021</v>
      </c>
      <c r="C93" s="21" t="s">
        <v>35</v>
      </c>
      <c r="D93" s="52">
        <f t="shared" si="4"/>
        <v>44228</v>
      </c>
      <c r="E93" s="12">
        <v>159.80000000000001</v>
      </c>
      <c r="F93" s="12">
        <v>150.9</v>
      </c>
      <c r="G93" s="12">
        <f t="shared" si="5"/>
        <v>155.35000000000002</v>
      </c>
      <c r="H93" s="12">
        <f t="shared" si="6"/>
        <v>0.97497562560937834</v>
      </c>
      <c r="I93" s="12">
        <f t="shared" si="7"/>
        <v>3.1540504648074363</v>
      </c>
    </row>
    <row r="94" spans="1:9">
      <c r="A94" s="21" t="s">
        <v>34</v>
      </c>
      <c r="B94" s="26">
        <v>2021</v>
      </c>
      <c r="C94" s="21" t="s">
        <v>36</v>
      </c>
      <c r="D94" s="52">
        <f t="shared" si="4"/>
        <v>44256</v>
      </c>
      <c r="E94" s="12">
        <v>159.9</v>
      </c>
      <c r="F94" s="12">
        <v>151.19999999999999</v>
      </c>
      <c r="G94" s="12">
        <f t="shared" si="5"/>
        <v>155.55000000000001</v>
      </c>
      <c r="H94" s="12">
        <f t="shared" si="6"/>
        <v>0.12874155133568627</v>
      </c>
      <c r="I94" s="12">
        <f t="shared" si="7"/>
        <v>3.3898305084745917</v>
      </c>
    </row>
    <row r="95" spans="1:9">
      <c r="A95" s="21" t="s">
        <v>34</v>
      </c>
      <c r="B95" s="26">
        <v>2021</v>
      </c>
      <c r="C95" s="21" t="s">
        <v>37</v>
      </c>
      <c r="D95" s="52">
        <f t="shared" si="4"/>
        <v>44287</v>
      </c>
      <c r="E95" s="12">
        <v>161.4</v>
      </c>
      <c r="F95" s="12">
        <v>151.80000000000001</v>
      </c>
      <c r="G95" s="12">
        <f t="shared" si="5"/>
        <v>156.60000000000002</v>
      </c>
      <c r="H95" s="12">
        <f t="shared" si="6"/>
        <v>0.67502410800386459</v>
      </c>
      <c r="I95" s="12">
        <f t="shared" si="7"/>
        <v>0.64267352185091808</v>
      </c>
    </row>
    <row r="96" spans="1:9">
      <c r="A96" s="21" t="s">
        <v>34</v>
      </c>
      <c r="B96" s="26">
        <v>2021</v>
      </c>
      <c r="C96" s="21" t="s">
        <v>38</v>
      </c>
      <c r="D96" s="52">
        <f t="shared" si="4"/>
        <v>44317</v>
      </c>
      <c r="E96" s="12">
        <v>161.6</v>
      </c>
      <c r="F96" s="12">
        <v>154.69999999999999</v>
      </c>
      <c r="G96" s="12">
        <f t="shared" si="5"/>
        <v>158.14999999999998</v>
      </c>
      <c r="H96" s="12">
        <f t="shared" si="6"/>
        <v>0.98978288633458122</v>
      </c>
      <c r="I96" s="12">
        <f t="shared" si="7"/>
        <v>13.572710951526016</v>
      </c>
    </row>
    <row r="97" spans="1:13">
      <c r="A97" s="21" t="s">
        <v>34</v>
      </c>
      <c r="B97" s="26">
        <v>2021</v>
      </c>
      <c r="C97" s="21" t="s">
        <v>39</v>
      </c>
      <c r="D97" s="52">
        <f t="shared" si="4"/>
        <v>44348</v>
      </c>
      <c r="E97" s="12">
        <v>160.5</v>
      </c>
      <c r="F97" s="12">
        <v>154.80000000000001</v>
      </c>
      <c r="G97" s="12">
        <f t="shared" si="5"/>
        <v>157.65</v>
      </c>
      <c r="H97" s="12">
        <f t="shared" si="6"/>
        <v>-0.31615554852985878</v>
      </c>
      <c r="I97" s="12">
        <f t="shared" si="7"/>
        <v>4.7160411823314474</v>
      </c>
    </row>
    <row r="98" spans="1:13">
      <c r="A98" s="21" t="s">
        <v>34</v>
      </c>
      <c r="B98" s="26">
        <v>2021</v>
      </c>
      <c r="C98" s="21" t="s">
        <v>40</v>
      </c>
      <c r="D98" s="52">
        <f t="shared" si="4"/>
        <v>44378</v>
      </c>
      <c r="E98" s="12">
        <v>161.5</v>
      </c>
      <c r="F98" s="12">
        <v>155.80000000000001</v>
      </c>
      <c r="G98" s="12">
        <f t="shared" si="5"/>
        <v>158.65</v>
      </c>
      <c r="H98" s="12">
        <f t="shared" si="6"/>
        <v>0.6343165239454488</v>
      </c>
      <c r="I98" s="12">
        <f t="shared" si="7"/>
        <v>5.3802723347724966</v>
      </c>
    </row>
    <row r="99" spans="1:13">
      <c r="A99" s="21" t="s">
        <v>34</v>
      </c>
      <c r="B99" s="26">
        <v>2021</v>
      </c>
      <c r="C99" s="21" t="s">
        <v>41</v>
      </c>
      <c r="D99" s="52">
        <f t="shared" si="4"/>
        <v>44409</v>
      </c>
      <c r="E99" s="12">
        <v>162.1</v>
      </c>
      <c r="F99" s="12">
        <v>157.5</v>
      </c>
      <c r="G99" s="12">
        <f t="shared" si="5"/>
        <v>159.80000000000001</v>
      </c>
      <c r="H99" s="12">
        <f t="shared" si="6"/>
        <v>0.72486605735896981</v>
      </c>
      <c r="I99" s="12">
        <f t="shared" si="7"/>
        <v>5.1661730832510848</v>
      </c>
    </row>
    <row r="100" spans="1:13">
      <c r="A100" s="21" t="s">
        <v>34</v>
      </c>
      <c r="B100" s="26">
        <v>2021</v>
      </c>
      <c r="C100" s="21" t="s">
        <v>42</v>
      </c>
      <c r="D100" s="52">
        <f t="shared" si="4"/>
        <v>44440</v>
      </c>
      <c r="E100" s="12">
        <v>162.1</v>
      </c>
      <c r="F100" s="12">
        <v>157.5</v>
      </c>
      <c r="G100" s="12">
        <f t="shared" si="5"/>
        <v>159.80000000000001</v>
      </c>
      <c r="H100" s="12">
        <f t="shared" si="6"/>
        <v>0</v>
      </c>
      <c r="I100" s="12">
        <f t="shared" si="7"/>
        <v>4.7868852459016464</v>
      </c>
    </row>
    <row r="101" spans="1:13">
      <c r="A101" s="21" t="s">
        <v>34</v>
      </c>
      <c r="B101" s="26">
        <v>2021</v>
      </c>
      <c r="C101" s="21" t="s">
        <v>43</v>
      </c>
      <c r="D101" s="52">
        <f t="shared" si="4"/>
        <v>44470</v>
      </c>
      <c r="E101" s="12">
        <v>163.6</v>
      </c>
      <c r="F101" s="12">
        <v>158.4</v>
      </c>
      <c r="G101" s="12">
        <f t="shared" si="5"/>
        <v>161</v>
      </c>
      <c r="H101" s="12">
        <f t="shared" si="6"/>
        <v>0.75093867334166997</v>
      </c>
      <c r="I101" s="12">
        <f t="shared" si="7"/>
        <v>5.5045871559633062</v>
      </c>
    </row>
    <row r="102" spans="1:13">
      <c r="A102" s="21" t="s">
        <v>34</v>
      </c>
      <c r="B102" s="26">
        <v>2021</v>
      </c>
      <c r="C102" s="21" t="s">
        <v>45</v>
      </c>
      <c r="D102" s="52">
        <f t="shared" si="4"/>
        <v>44501</v>
      </c>
      <c r="E102" s="12">
        <v>164.2</v>
      </c>
      <c r="F102" s="12">
        <v>159.30000000000001</v>
      </c>
      <c r="G102" s="12">
        <f t="shared" si="5"/>
        <v>161.75</v>
      </c>
      <c r="H102" s="12">
        <f t="shared" si="6"/>
        <v>0.46583850931677018</v>
      </c>
      <c r="I102" s="12">
        <f t="shared" si="7"/>
        <v>5.3059895833333375</v>
      </c>
    </row>
    <row r="103" spans="1:13">
      <c r="A103" s="21" t="s">
        <v>34</v>
      </c>
      <c r="B103" s="26">
        <v>2021</v>
      </c>
      <c r="C103" s="21" t="s">
        <v>46</v>
      </c>
      <c r="D103" s="52">
        <f t="shared" si="4"/>
        <v>44531</v>
      </c>
      <c r="E103" s="12">
        <v>163.4</v>
      </c>
      <c r="F103" s="12">
        <v>160.19999999999999</v>
      </c>
      <c r="G103" s="12">
        <f t="shared" si="5"/>
        <v>161.80000000000001</v>
      </c>
      <c r="H103" s="12">
        <f t="shared" si="6"/>
        <v>3.0911901081923564E-2</v>
      </c>
      <c r="I103" s="12">
        <f t="shared" si="7"/>
        <v>5.0308341447581952</v>
      </c>
    </row>
    <row r="104" spans="1:13" s="113" customFormat="1">
      <c r="A104" s="109"/>
      <c r="B104" s="110"/>
      <c r="C104" s="111"/>
      <c r="D104" s="111"/>
      <c r="E104" s="112"/>
      <c r="F104" s="112"/>
    </row>
    <row r="105" spans="1:13" s="113" customFormat="1">
      <c r="A105" s="109"/>
      <c r="B105" s="110"/>
      <c r="C105" s="111"/>
      <c r="D105" s="111"/>
      <c r="E105" s="112"/>
      <c r="F105" s="112"/>
    </row>
    <row r="106" spans="1:13" ht="15.6">
      <c r="A106" s="16" t="s">
        <v>23</v>
      </c>
      <c r="B106" s="106"/>
      <c r="C106" s="32"/>
      <c r="D106" s="32"/>
      <c r="E106" s="107"/>
      <c r="F106" s="107"/>
    </row>
    <row r="107" spans="1:13">
      <c r="A107" s="12" t="s">
        <v>0</v>
      </c>
      <c r="B107" s="12" t="s">
        <v>1</v>
      </c>
      <c r="C107" s="12" t="s">
        <v>2</v>
      </c>
      <c r="D107" s="50" t="s">
        <v>100</v>
      </c>
      <c r="E107" s="116" t="s">
        <v>137</v>
      </c>
      <c r="F107" s="50" t="s">
        <v>113</v>
      </c>
      <c r="G107" s="12" t="s">
        <v>114</v>
      </c>
    </row>
    <row r="108" spans="1:13" ht="15.6">
      <c r="A108" s="21" t="s">
        <v>34</v>
      </c>
      <c r="B108" s="26">
        <v>2018</v>
      </c>
      <c r="C108" s="21" t="s">
        <v>31</v>
      </c>
      <c r="D108" s="52">
        <f t="shared" ref="D108:D154" si="8">DATE(B108,MONTH(1&amp;C108),1)</f>
        <v>43101</v>
      </c>
      <c r="E108" s="12">
        <v>133.30000000000001</v>
      </c>
      <c r="F108" s="114"/>
      <c r="G108" s="12"/>
      <c r="I108" s="16" t="s">
        <v>23</v>
      </c>
    </row>
    <row r="109" spans="1:13">
      <c r="A109" s="21" t="s">
        <v>34</v>
      </c>
      <c r="B109" s="26">
        <v>2018</v>
      </c>
      <c r="C109" s="21" t="s">
        <v>35</v>
      </c>
      <c r="D109" s="52">
        <f t="shared" si="8"/>
        <v>43132</v>
      </c>
      <c r="E109" s="12">
        <v>133.80000000000001</v>
      </c>
      <c r="F109" s="114">
        <f>IFERROR((E109-E108)/E108*100,"NA")</f>
        <v>0.37509377344336081</v>
      </c>
      <c r="G109" s="12"/>
      <c r="I109" s="57" t="s">
        <v>120</v>
      </c>
      <c r="J109" s="56" t="s">
        <v>121</v>
      </c>
      <c r="K109" s="56" t="s">
        <v>122</v>
      </c>
      <c r="L109" s="59" t="s">
        <v>123</v>
      </c>
      <c r="M109" s="59" t="s">
        <v>124</v>
      </c>
    </row>
    <row r="110" spans="1:13" ht="28.8">
      <c r="A110" s="21" t="s">
        <v>34</v>
      </c>
      <c r="B110" s="26">
        <v>2018</v>
      </c>
      <c r="C110" s="21" t="s">
        <v>36</v>
      </c>
      <c r="D110" s="52">
        <f t="shared" si="8"/>
        <v>43160</v>
      </c>
      <c r="E110" s="12">
        <v>134.30000000000001</v>
      </c>
      <c r="F110" s="114">
        <f t="shared" ref="F110:F154" si="9">IFERROR((E110-E109)/E109*100,"NA")</f>
        <v>0.37369207772795215</v>
      </c>
      <c r="G110" s="12"/>
      <c r="I110" s="53" t="s">
        <v>115</v>
      </c>
      <c r="J110" s="8">
        <f>AVERAGEIFS(G108:G154,$D$108:$D$154,"&gt;=2019-03-01",$D$108:$D$154,"&lt;=2020-02-01")</f>
        <v>7.205646582884901</v>
      </c>
      <c r="K110" s="8">
        <f>AVERAGEIFS(F108:F154,$D$108:$D$154,"&gt;=2019-03-01",$D$108:$D$154,"&lt;=2020-02-01")</f>
        <v>0.3738301254321591</v>
      </c>
      <c r="L110" s="134">
        <f>J111-J110</f>
        <v>-2.3304691555695554</v>
      </c>
      <c r="M110" s="134">
        <f>K111-K110</f>
        <v>-1.5253896035617887E-2</v>
      </c>
    </row>
    <row r="111" spans="1:13" ht="28.8">
      <c r="A111" s="21" t="s">
        <v>34</v>
      </c>
      <c r="B111" s="26">
        <v>2018</v>
      </c>
      <c r="C111" s="21" t="s">
        <v>37</v>
      </c>
      <c r="D111" s="52">
        <f t="shared" si="8"/>
        <v>43191</v>
      </c>
      <c r="E111" s="12">
        <v>135.19999999999999</v>
      </c>
      <c r="F111" s="114">
        <f t="shared" si="9"/>
        <v>0.6701414743112265</v>
      </c>
      <c r="G111" s="12"/>
      <c r="I111" s="54" t="s">
        <v>117</v>
      </c>
      <c r="J111" s="8">
        <f>AVERAGEIFS(G108:G154,$D$108:$D$154,"&gt;=2020-04-01",$D$108:$D$154,"&lt;=2021-03-01")</f>
        <v>4.8751774273153456</v>
      </c>
      <c r="K111" s="8">
        <f>AVERAGEIFS(F108:F154,$D$108:$D$154,"&gt;=2020-04-01",$D$108:$D$154,"&lt;=2021-03-01")</f>
        <v>0.35857622939654121</v>
      </c>
      <c r="L111" s="135"/>
      <c r="M111" s="135"/>
    </row>
    <row r="112" spans="1:13">
      <c r="A112" s="21" t="s">
        <v>34</v>
      </c>
      <c r="B112" s="26">
        <v>2018</v>
      </c>
      <c r="C112" s="21" t="s">
        <v>38</v>
      </c>
      <c r="D112" s="52">
        <f t="shared" si="8"/>
        <v>43221</v>
      </c>
      <c r="E112" s="12">
        <v>136</v>
      </c>
      <c r="F112" s="114">
        <f t="shared" si="9"/>
        <v>0.59171597633136941</v>
      </c>
      <c r="G112" s="12"/>
    </row>
    <row r="113" spans="1:7">
      <c r="A113" s="21" t="s">
        <v>34</v>
      </c>
      <c r="B113" s="26">
        <v>2018</v>
      </c>
      <c r="C113" s="21" t="s">
        <v>39</v>
      </c>
      <c r="D113" s="52">
        <f t="shared" si="8"/>
        <v>43252</v>
      </c>
      <c r="E113" s="12">
        <v>136.19999999999999</v>
      </c>
      <c r="F113" s="114">
        <f t="shared" si="9"/>
        <v>0.14705882352940342</v>
      </c>
      <c r="G113" s="12"/>
    </row>
    <row r="114" spans="1:7">
      <c r="A114" s="21" t="s">
        <v>34</v>
      </c>
      <c r="B114" s="26">
        <v>2018</v>
      </c>
      <c r="C114" s="21" t="s">
        <v>40</v>
      </c>
      <c r="D114" s="52">
        <f t="shared" si="8"/>
        <v>43282</v>
      </c>
      <c r="E114" s="12">
        <v>137</v>
      </c>
      <c r="F114" s="114">
        <f t="shared" si="9"/>
        <v>0.58737151248165298</v>
      </c>
      <c r="G114" s="12"/>
    </row>
    <row r="115" spans="1:7">
      <c r="A115" s="21" t="s">
        <v>34</v>
      </c>
      <c r="B115" s="26">
        <v>2018</v>
      </c>
      <c r="C115" s="21" t="s">
        <v>41</v>
      </c>
      <c r="D115" s="52">
        <f t="shared" si="8"/>
        <v>43313</v>
      </c>
      <c r="E115" s="12">
        <v>137.69999999999999</v>
      </c>
      <c r="F115" s="114">
        <f t="shared" si="9"/>
        <v>0.51094890510948077</v>
      </c>
      <c r="G115" s="12"/>
    </row>
    <row r="116" spans="1:7">
      <c r="A116" s="21" t="s">
        <v>34</v>
      </c>
      <c r="B116" s="26">
        <v>2018</v>
      </c>
      <c r="C116" s="21" t="s">
        <v>42</v>
      </c>
      <c r="D116" s="52">
        <f t="shared" si="8"/>
        <v>43344</v>
      </c>
      <c r="E116" s="12">
        <v>138.4</v>
      </c>
      <c r="F116" s="114">
        <f t="shared" si="9"/>
        <v>0.5083514887436581</v>
      </c>
      <c r="G116" s="12"/>
    </row>
    <row r="117" spans="1:7">
      <c r="A117" s="21" t="s">
        <v>34</v>
      </c>
      <c r="B117" s="26">
        <v>2018</v>
      </c>
      <c r="C117" s="21" t="s">
        <v>43</v>
      </c>
      <c r="D117" s="52">
        <f t="shared" si="8"/>
        <v>43374</v>
      </c>
      <c r="E117" s="12">
        <v>142.1</v>
      </c>
      <c r="F117" s="114">
        <f t="shared" si="9"/>
        <v>2.6734104046242693</v>
      </c>
      <c r="G117" s="12"/>
    </row>
    <row r="118" spans="1:7">
      <c r="A118" s="21" t="s">
        <v>34</v>
      </c>
      <c r="B118" s="26">
        <v>2018</v>
      </c>
      <c r="C118" s="21" t="s">
        <v>45</v>
      </c>
      <c r="D118" s="52">
        <f t="shared" si="8"/>
        <v>43405</v>
      </c>
      <c r="E118" s="12">
        <v>142.1</v>
      </c>
      <c r="F118" s="114">
        <f t="shared" si="9"/>
        <v>0</v>
      </c>
      <c r="G118" s="12"/>
    </row>
    <row r="119" spans="1:7">
      <c r="A119" s="21" t="s">
        <v>34</v>
      </c>
      <c r="B119" s="26">
        <v>2018</v>
      </c>
      <c r="C119" s="21" t="s">
        <v>46</v>
      </c>
      <c r="D119" s="52">
        <f t="shared" si="8"/>
        <v>43435</v>
      </c>
      <c r="E119" s="12">
        <v>144.9</v>
      </c>
      <c r="F119" s="114">
        <f t="shared" si="9"/>
        <v>1.9704433497537026</v>
      </c>
      <c r="G119" s="12"/>
    </row>
    <row r="120" spans="1:7">
      <c r="A120" s="21" t="s">
        <v>34</v>
      </c>
      <c r="B120" s="26">
        <v>2019</v>
      </c>
      <c r="C120" s="21" t="s">
        <v>31</v>
      </c>
      <c r="D120" s="52">
        <f t="shared" si="8"/>
        <v>43466</v>
      </c>
      <c r="E120" s="12">
        <v>145.1</v>
      </c>
      <c r="F120" s="114">
        <f t="shared" si="9"/>
        <v>0.13802622498273887</v>
      </c>
      <c r="G120" s="12">
        <f>IFERROR((E120-E108)/E108*100,"NA")</f>
        <v>8.8522130532633021</v>
      </c>
    </row>
    <row r="121" spans="1:7">
      <c r="A121" s="21" t="s">
        <v>34</v>
      </c>
      <c r="B121" s="26">
        <v>2019</v>
      </c>
      <c r="C121" s="21" t="s">
        <v>35</v>
      </c>
      <c r="D121" s="52">
        <f t="shared" si="8"/>
        <v>43497</v>
      </c>
      <c r="E121" s="12">
        <v>145.6</v>
      </c>
      <c r="F121" s="114">
        <f t="shared" si="9"/>
        <v>0.34458993797381116</v>
      </c>
      <c r="G121" s="12">
        <f t="shared" ref="G121:G154" si="10">IFERROR((E121-E109)/E109*100,"NA")</f>
        <v>8.8191330343796572</v>
      </c>
    </row>
    <row r="122" spans="1:7">
      <c r="A122" s="21" t="s">
        <v>34</v>
      </c>
      <c r="B122" s="26">
        <v>2019</v>
      </c>
      <c r="C122" s="21" t="s">
        <v>36</v>
      </c>
      <c r="D122" s="52">
        <f t="shared" si="8"/>
        <v>43525</v>
      </c>
      <c r="E122" s="12">
        <v>146.19999999999999</v>
      </c>
      <c r="F122" s="114">
        <f t="shared" si="9"/>
        <v>0.41208791208790818</v>
      </c>
      <c r="G122" s="12">
        <f t="shared" si="10"/>
        <v>8.8607594936708676</v>
      </c>
    </row>
    <row r="123" spans="1:7">
      <c r="A123" s="21" t="s">
        <v>34</v>
      </c>
      <c r="B123" s="26">
        <v>2019</v>
      </c>
      <c r="C123" s="21" t="s">
        <v>38</v>
      </c>
      <c r="D123" s="52">
        <f t="shared" si="8"/>
        <v>43586</v>
      </c>
      <c r="E123" s="12">
        <v>146.9</v>
      </c>
      <c r="F123" s="114">
        <f t="shared" si="9"/>
        <v>0.47879616963065463</v>
      </c>
      <c r="G123" s="12">
        <f t="shared" si="10"/>
        <v>8.6538461538461675</v>
      </c>
    </row>
    <row r="124" spans="1:7">
      <c r="A124" s="21" t="s">
        <v>34</v>
      </c>
      <c r="B124" s="26">
        <v>2019</v>
      </c>
      <c r="C124" s="21" t="s">
        <v>39</v>
      </c>
      <c r="D124" s="52">
        <f t="shared" si="8"/>
        <v>43617</v>
      </c>
      <c r="E124" s="12">
        <v>147.4</v>
      </c>
      <c r="F124" s="114">
        <f t="shared" si="9"/>
        <v>0.3403675970047651</v>
      </c>
      <c r="G124" s="12">
        <f t="shared" si="10"/>
        <v>8.3823529411764746</v>
      </c>
    </row>
    <row r="125" spans="1:7">
      <c r="A125" s="21" t="s">
        <v>34</v>
      </c>
      <c r="B125" s="26">
        <v>2019</v>
      </c>
      <c r="C125" s="21" t="s">
        <v>40</v>
      </c>
      <c r="D125" s="52">
        <f t="shared" si="8"/>
        <v>43647</v>
      </c>
      <c r="E125" s="12">
        <v>147.9</v>
      </c>
      <c r="F125" s="114">
        <f t="shared" si="9"/>
        <v>0.33921302578018991</v>
      </c>
      <c r="G125" s="12">
        <f t="shared" si="10"/>
        <v>8.590308370044065</v>
      </c>
    </row>
    <row r="126" spans="1:7">
      <c r="A126" s="21" t="s">
        <v>34</v>
      </c>
      <c r="B126" s="26">
        <v>2019</v>
      </c>
      <c r="C126" s="21" t="s">
        <v>41</v>
      </c>
      <c r="D126" s="52">
        <f t="shared" si="8"/>
        <v>43678</v>
      </c>
      <c r="E126" s="12">
        <v>148.5</v>
      </c>
      <c r="F126" s="114">
        <f t="shared" si="9"/>
        <v>0.40567951318458034</v>
      </c>
      <c r="G126" s="12">
        <f t="shared" si="10"/>
        <v>8.3941605839416056</v>
      </c>
    </row>
    <row r="127" spans="1:7">
      <c r="A127" s="21" t="s">
        <v>34</v>
      </c>
      <c r="B127" s="26">
        <v>2019</v>
      </c>
      <c r="C127" s="21" t="s">
        <v>42</v>
      </c>
      <c r="D127" s="52">
        <f t="shared" si="8"/>
        <v>43709</v>
      </c>
      <c r="E127" s="12">
        <v>149</v>
      </c>
      <c r="F127" s="114">
        <f t="shared" si="9"/>
        <v>0.33670033670033667</v>
      </c>
      <c r="G127" s="12">
        <f t="shared" si="10"/>
        <v>8.2062454611474305</v>
      </c>
    </row>
    <row r="128" spans="1:7">
      <c r="A128" s="21" t="s">
        <v>34</v>
      </c>
      <c r="B128" s="26">
        <v>2019</v>
      </c>
      <c r="C128" s="21" t="s">
        <v>43</v>
      </c>
      <c r="D128" s="52">
        <f t="shared" si="8"/>
        <v>43739</v>
      </c>
      <c r="E128" s="12">
        <v>149.4</v>
      </c>
      <c r="F128" s="114">
        <f t="shared" si="9"/>
        <v>0.26845637583892995</v>
      </c>
      <c r="G128" s="12">
        <f t="shared" si="10"/>
        <v>7.9479768786127174</v>
      </c>
    </row>
    <row r="129" spans="1:12">
      <c r="A129" s="21" t="s">
        <v>34</v>
      </c>
      <c r="B129" s="26">
        <v>2019</v>
      </c>
      <c r="C129" s="21" t="s">
        <v>45</v>
      </c>
      <c r="D129" s="52">
        <f t="shared" si="8"/>
        <v>43770</v>
      </c>
      <c r="E129" s="12">
        <v>149.9</v>
      </c>
      <c r="F129" s="114">
        <f t="shared" si="9"/>
        <v>0.33467202141900937</v>
      </c>
      <c r="G129" s="12">
        <f t="shared" si="10"/>
        <v>5.489092188599586</v>
      </c>
    </row>
    <row r="130" spans="1:12">
      <c r="A130" s="21" t="s">
        <v>34</v>
      </c>
      <c r="B130" s="26">
        <v>2019</v>
      </c>
      <c r="C130" s="21" t="s">
        <v>46</v>
      </c>
      <c r="D130" s="52">
        <f t="shared" si="8"/>
        <v>43800</v>
      </c>
      <c r="E130" s="12">
        <v>150.4</v>
      </c>
      <c r="F130" s="114">
        <f t="shared" si="9"/>
        <v>0.33355570380253502</v>
      </c>
      <c r="G130" s="12">
        <f t="shared" si="10"/>
        <v>5.8409570724841746</v>
      </c>
    </row>
    <row r="131" spans="1:12">
      <c r="A131" s="21" t="s">
        <v>34</v>
      </c>
      <c r="B131" s="26">
        <v>2020</v>
      </c>
      <c r="C131" s="21" t="s">
        <v>31</v>
      </c>
      <c r="D131" s="52">
        <f t="shared" si="8"/>
        <v>43831</v>
      </c>
      <c r="E131" s="12">
        <v>151.19999999999999</v>
      </c>
      <c r="F131" s="114">
        <f t="shared" si="9"/>
        <v>0.53191489361700994</v>
      </c>
      <c r="G131" s="12">
        <f t="shared" si="10"/>
        <v>4.34782608695651</v>
      </c>
    </row>
    <row r="132" spans="1:12">
      <c r="A132" s="21" t="s">
        <v>34</v>
      </c>
      <c r="B132" s="26">
        <v>2020</v>
      </c>
      <c r="C132" s="21" t="s">
        <v>35</v>
      </c>
      <c r="D132" s="52">
        <f t="shared" si="8"/>
        <v>43862</v>
      </c>
      <c r="E132" s="12">
        <v>151.69999999999999</v>
      </c>
      <c r="F132" s="114">
        <f t="shared" si="9"/>
        <v>0.3306878306878307</v>
      </c>
      <c r="G132" s="12">
        <f t="shared" si="10"/>
        <v>4.5485871812543035</v>
      </c>
    </row>
    <row r="133" spans="1:12">
      <c r="A133" s="21" t="s">
        <v>34</v>
      </c>
      <c r="B133" s="26">
        <v>2020</v>
      </c>
      <c r="C133" s="21" t="s">
        <v>36</v>
      </c>
      <c r="D133" s="52">
        <f t="shared" si="8"/>
        <v>43891</v>
      </c>
      <c r="E133" s="12">
        <v>152.30000000000001</v>
      </c>
      <c r="F133" s="114">
        <f t="shared" si="9"/>
        <v>0.39551746868821541</v>
      </c>
      <c r="G133" s="12">
        <f t="shared" si="10"/>
        <v>4.6016483516483637</v>
      </c>
      <c r="L133">
        <v>1</v>
      </c>
    </row>
    <row r="134" spans="1:12">
      <c r="A134" s="21" t="s">
        <v>34</v>
      </c>
      <c r="B134" s="26">
        <v>2020</v>
      </c>
      <c r="C134" s="21" t="s">
        <v>37</v>
      </c>
      <c r="D134" s="52">
        <f t="shared" si="8"/>
        <v>43922</v>
      </c>
      <c r="E134" s="12">
        <v>150.69999999999999</v>
      </c>
      <c r="F134" s="114">
        <f t="shared" si="9"/>
        <v>-1.0505581089954186</v>
      </c>
      <c r="G134" s="12">
        <f t="shared" si="10"/>
        <v>3.0779753761969908</v>
      </c>
    </row>
    <row r="135" spans="1:12">
      <c r="A135" s="21" t="s">
        <v>34</v>
      </c>
      <c r="B135" s="26">
        <v>2020</v>
      </c>
      <c r="C135" s="21" t="s">
        <v>38</v>
      </c>
      <c r="D135" s="52">
        <f t="shared" si="8"/>
        <v>43952</v>
      </c>
      <c r="E135" s="12" t="s">
        <v>32</v>
      </c>
      <c r="F135" s="114" t="str">
        <f t="shared" si="9"/>
        <v>NA</v>
      </c>
      <c r="G135" s="12" t="str">
        <f t="shared" si="10"/>
        <v>NA</v>
      </c>
    </row>
    <row r="136" spans="1:12">
      <c r="A136" s="21" t="s">
        <v>34</v>
      </c>
      <c r="B136" s="26">
        <v>2020</v>
      </c>
      <c r="C136" s="21" t="s">
        <v>39</v>
      </c>
      <c r="D136" s="52">
        <f t="shared" si="8"/>
        <v>43983</v>
      </c>
      <c r="E136" s="12">
        <v>154.4</v>
      </c>
      <c r="F136" s="114" t="str">
        <f t="shared" si="9"/>
        <v>NA</v>
      </c>
      <c r="G136" s="12">
        <f t="shared" si="10"/>
        <v>4.7489823609226596</v>
      </c>
    </row>
    <row r="137" spans="1:12">
      <c r="A137" s="21" t="s">
        <v>34</v>
      </c>
      <c r="B137" s="26">
        <v>2020</v>
      </c>
      <c r="C137" s="21" t="s">
        <v>40</v>
      </c>
      <c r="D137" s="52">
        <f t="shared" si="8"/>
        <v>44013</v>
      </c>
      <c r="E137" s="12">
        <v>154.4</v>
      </c>
      <c r="F137" s="114">
        <f t="shared" si="9"/>
        <v>0</v>
      </c>
      <c r="G137" s="12">
        <f t="shared" si="10"/>
        <v>4.3948613928329952</v>
      </c>
    </row>
    <row r="138" spans="1:12">
      <c r="A138" s="21" t="s">
        <v>34</v>
      </c>
      <c r="B138" s="26">
        <v>2020</v>
      </c>
      <c r="C138" s="21" t="s">
        <v>41</v>
      </c>
      <c r="D138" s="52">
        <f t="shared" si="8"/>
        <v>44044</v>
      </c>
      <c r="E138" s="12">
        <v>155</v>
      </c>
      <c r="F138" s="114">
        <f t="shared" si="9"/>
        <v>0.38860103626942638</v>
      </c>
      <c r="G138" s="12">
        <f t="shared" si="10"/>
        <v>4.3771043771043772</v>
      </c>
    </row>
    <row r="139" spans="1:12">
      <c r="A139" s="21" t="s">
        <v>34</v>
      </c>
      <c r="B139" s="26">
        <v>2020</v>
      </c>
      <c r="C139" s="21" t="s">
        <v>42</v>
      </c>
      <c r="D139" s="52">
        <f t="shared" si="8"/>
        <v>44075</v>
      </c>
      <c r="E139" s="12">
        <v>155.6</v>
      </c>
      <c r="F139" s="114">
        <f t="shared" si="9"/>
        <v>0.38709677419354471</v>
      </c>
      <c r="G139" s="12">
        <f t="shared" si="10"/>
        <v>4.4295302013422777</v>
      </c>
    </row>
    <row r="140" spans="1:12">
      <c r="A140" s="21" t="s">
        <v>34</v>
      </c>
      <c r="B140" s="26">
        <v>2020</v>
      </c>
      <c r="C140" s="21" t="s">
        <v>43</v>
      </c>
      <c r="D140" s="52">
        <f t="shared" si="8"/>
        <v>44105</v>
      </c>
      <c r="E140" s="12">
        <v>156.30000000000001</v>
      </c>
      <c r="F140" s="114">
        <f t="shared" si="9"/>
        <v>0.44987146529564076</v>
      </c>
      <c r="G140" s="12">
        <f t="shared" si="10"/>
        <v>4.6184738955823326</v>
      </c>
    </row>
    <row r="141" spans="1:12">
      <c r="A141" s="21" t="s">
        <v>34</v>
      </c>
      <c r="B141" s="26">
        <v>2020</v>
      </c>
      <c r="C141" s="21" t="s">
        <v>45</v>
      </c>
      <c r="D141" s="52">
        <f t="shared" si="8"/>
        <v>44136</v>
      </c>
      <c r="E141" s="12">
        <v>157.19999999999999</v>
      </c>
      <c r="F141" s="114">
        <f t="shared" si="9"/>
        <v>0.57581573896351712</v>
      </c>
      <c r="G141" s="12">
        <f t="shared" si="10"/>
        <v>4.8699132755169998</v>
      </c>
    </row>
    <row r="142" spans="1:12">
      <c r="A142" s="21" t="s">
        <v>34</v>
      </c>
      <c r="B142" s="26">
        <v>2020</v>
      </c>
      <c r="C142" s="21" t="s">
        <v>46</v>
      </c>
      <c r="D142" s="52">
        <f t="shared" si="8"/>
        <v>44166</v>
      </c>
      <c r="E142" s="12">
        <v>158.30000000000001</v>
      </c>
      <c r="F142" s="114">
        <f t="shared" si="9"/>
        <v>0.69974554707380587</v>
      </c>
      <c r="G142" s="12">
        <f t="shared" si="10"/>
        <v>5.2526595744680886</v>
      </c>
    </row>
    <row r="143" spans="1:12">
      <c r="A143" s="21" t="s">
        <v>34</v>
      </c>
      <c r="B143" s="26">
        <v>2021</v>
      </c>
      <c r="C143" s="21" t="s">
        <v>31</v>
      </c>
      <c r="D143" s="52">
        <f t="shared" si="8"/>
        <v>44197</v>
      </c>
      <c r="E143" s="12">
        <v>159.30000000000001</v>
      </c>
      <c r="F143" s="114">
        <f t="shared" si="9"/>
        <v>0.63171193935565373</v>
      </c>
      <c r="G143" s="12">
        <f t="shared" si="10"/>
        <v>5.3571428571428727</v>
      </c>
    </row>
    <row r="144" spans="1:12">
      <c r="A144" s="21" t="s">
        <v>34</v>
      </c>
      <c r="B144" s="26">
        <v>2021</v>
      </c>
      <c r="C144" s="21" t="s">
        <v>35</v>
      </c>
      <c r="D144" s="52">
        <f t="shared" si="8"/>
        <v>44228</v>
      </c>
      <c r="E144" s="12">
        <v>161.30000000000001</v>
      </c>
      <c r="F144" s="114">
        <f t="shared" si="9"/>
        <v>1.2554927809165097</v>
      </c>
      <c r="G144" s="12">
        <f t="shared" si="10"/>
        <v>6.3282794990112219</v>
      </c>
    </row>
    <row r="145" spans="1:13">
      <c r="A145" s="21" t="s">
        <v>34</v>
      </c>
      <c r="B145" s="26">
        <v>2021</v>
      </c>
      <c r="C145" s="21" t="s">
        <v>36</v>
      </c>
      <c r="D145" s="52">
        <f t="shared" si="8"/>
        <v>44256</v>
      </c>
      <c r="E145" s="12">
        <v>161.69999999999999</v>
      </c>
      <c r="F145" s="114">
        <f t="shared" si="9"/>
        <v>0.24798512089273234</v>
      </c>
      <c r="G145" s="12">
        <f t="shared" si="10"/>
        <v>6.1720288903479821</v>
      </c>
    </row>
    <row r="146" spans="1:13">
      <c r="A146" s="21" t="s">
        <v>34</v>
      </c>
      <c r="B146" s="26">
        <v>2021</v>
      </c>
      <c r="C146" s="21" t="s">
        <v>37</v>
      </c>
      <c r="D146" s="52">
        <f t="shared" si="8"/>
        <v>44287</v>
      </c>
      <c r="E146" s="12">
        <v>162.30000000000001</v>
      </c>
      <c r="F146" s="114">
        <f t="shared" si="9"/>
        <v>0.3710575139146709</v>
      </c>
      <c r="G146" s="12">
        <f t="shared" si="10"/>
        <v>7.6974120769741363</v>
      </c>
    </row>
    <row r="147" spans="1:13">
      <c r="A147" s="21" t="s">
        <v>34</v>
      </c>
      <c r="B147" s="26">
        <v>2021</v>
      </c>
      <c r="C147" s="21" t="s">
        <v>38</v>
      </c>
      <c r="D147" s="52">
        <f t="shared" si="8"/>
        <v>44317</v>
      </c>
      <c r="E147" s="12">
        <v>165.8</v>
      </c>
      <c r="F147" s="114">
        <f t="shared" si="9"/>
        <v>2.1565003080714726</v>
      </c>
      <c r="G147" s="12" t="str">
        <f t="shared" si="10"/>
        <v>NA</v>
      </c>
    </row>
    <row r="148" spans="1:13">
      <c r="A148" s="21" t="s">
        <v>34</v>
      </c>
      <c r="B148" s="26">
        <v>2021</v>
      </c>
      <c r="C148" s="21" t="s">
        <v>39</v>
      </c>
      <c r="D148" s="52">
        <f t="shared" si="8"/>
        <v>44348</v>
      </c>
      <c r="E148" s="12">
        <v>166.3</v>
      </c>
      <c r="F148" s="114">
        <f t="shared" si="9"/>
        <v>0.30156815440289503</v>
      </c>
      <c r="G148" s="12">
        <f t="shared" si="10"/>
        <v>7.7072538860103661</v>
      </c>
    </row>
    <row r="149" spans="1:13">
      <c r="A149" s="21" t="s">
        <v>34</v>
      </c>
      <c r="B149" s="26">
        <v>2021</v>
      </c>
      <c r="C149" s="21" t="s">
        <v>40</v>
      </c>
      <c r="D149" s="52">
        <f t="shared" si="8"/>
        <v>44378</v>
      </c>
      <c r="E149" s="12">
        <v>167</v>
      </c>
      <c r="F149" s="114">
        <f t="shared" si="9"/>
        <v>0.42092603728201361</v>
      </c>
      <c r="G149" s="12">
        <f t="shared" si="10"/>
        <v>8.1606217616580263</v>
      </c>
    </row>
    <row r="150" spans="1:13">
      <c r="A150" s="21" t="s">
        <v>34</v>
      </c>
      <c r="B150" s="26">
        <v>2021</v>
      </c>
      <c r="C150" s="21" t="s">
        <v>41</v>
      </c>
      <c r="D150" s="52">
        <f t="shared" si="8"/>
        <v>44409</v>
      </c>
      <c r="E150" s="12">
        <v>168.4</v>
      </c>
      <c r="F150" s="114">
        <f t="shared" si="9"/>
        <v>0.83832335329341656</v>
      </c>
      <c r="G150" s="12">
        <f t="shared" si="10"/>
        <v>8.6451612903225836</v>
      </c>
    </row>
    <row r="151" spans="1:13">
      <c r="A151" s="21" t="s">
        <v>34</v>
      </c>
      <c r="B151" s="26">
        <v>2021</v>
      </c>
      <c r="C151" s="21" t="s">
        <v>42</v>
      </c>
      <c r="D151" s="52">
        <f t="shared" si="8"/>
        <v>44440</v>
      </c>
      <c r="E151" s="12">
        <v>168.4</v>
      </c>
      <c r="F151" s="114">
        <f t="shared" si="9"/>
        <v>0</v>
      </c>
      <c r="G151" s="12">
        <f t="shared" si="10"/>
        <v>8.2262210796915252</v>
      </c>
    </row>
    <row r="152" spans="1:13">
      <c r="A152" s="21" t="s">
        <v>34</v>
      </c>
      <c r="B152" s="26">
        <v>2021</v>
      </c>
      <c r="C152" s="21" t="s">
        <v>43</v>
      </c>
      <c r="D152" s="52">
        <f t="shared" si="8"/>
        <v>44470</v>
      </c>
      <c r="E152" s="12">
        <v>169.1</v>
      </c>
      <c r="F152" s="114">
        <f t="shared" si="9"/>
        <v>0.41567695961994572</v>
      </c>
      <c r="G152" s="12">
        <f t="shared" si="10"/>
        <v>8.1893793985924397</v>
      </c>
    </row>
    <row r="153" spans="1:13">
      <c r="A153" s="21" t="s">
        <v>34</v>
      </c>
      <c r="B153" s="26">
        <v>2021</v>
      </c>
      <c r="C153" s="21" t="s">
        <v>45</v>
      </c>
      <c r="D153" s="52">
        <f t="shared" si="8"/>
        <v>44501</v>
      </c>
      <c r="E153" s="12">
        <v>169.9</v>
      </c>
      <c r="F153" s="114">
        <f t="shared" si="9"/>
        <v>0.47309284447073408</v>
      </c>
      <c r="G153" s="12">
        <f t="shared" si="10"/>
        <v>8.0788804071246929</v>
      </c>
    </row>
    <row r="154" spans="1:13">
      <c r="A154" s="21" t="s">
        <v>34</v>
      </c>
      <c r="B154" s="26">
        <v>2021</v>
      </c>
      <c r="C154" s="21" t="s">
        <v>46</v>
      </c>
      <c r="D154" s="52">
        <f t="shared" si="8"/>
        <v>44531</v>
      </c>
      <c r="E154" s="12">
        <v>170.6</v>
      </c>
      <c r="F154" s="114">
        <f t="shared" si="9"/>
        <v>0.41200706297821577</v>
      </c>
      <c r="G154" s="12">
        <f t="shared" si="10"/>
        <v>7.7700568540745305</v>
      </c>
    </row>
    <row r="155" spans="1:13" s="113" customFormat="1">
      <c r="A155" s="109"/>
      <c r="B155" s="110"/>
      <c r="C155" s="111"/>
      <c r="D155" s="111"/>
      <c r="E155" s="112"/>
      <c r="F155" s="112"/>
    </row>
    <row r="156" spans="1:13" s="113" customFormat="1">
      <c r="A156" s="109"/>
      <c r="B156" s="110"/>
      <c r="C156" s="111"/>
      <c r="D156" s="111"/>
      <c r="E156" s="112"/>
      <c r="F156" s="112"/>
    </row>
    <row r="157" spans="1:13" ht="31.2">
      <c r="A157" s="115" t="s">
        <v>24</v>
      </c>
      <c r="B157" s="106"/>
      <c r="C157" s="32"/>
      <c r="D157" s="32"/>
      <c r="E157" s="107"/>
      <c r="F157" s="107"/>
    </row>
    <row r="158" spans="1:13">
      <c r="A158" s="12" t="s">
        <v>0</v>
      </c>
      <c r="B158" s="12" t="s">
        <v>1</v>
      </c>
      <c r="C158" s="12" t="s">
        <v>2</v>
      </c>
      <c r="D158" s="50" t="s">
        <v>100</v>
      </c>
      <c r="E158" s="12" t="s">
        <v>24</v>
      </c>
      <c r="F158" s="50" t="s">
        <v>113</v>
      </c>
      <c r="G158" s="12" t="s">
        <v>114</v>
      </c>
    </row>
    <row r="159" spans="1:13" ht="31.2">
      <c r="A159" s="21" t="s">
        <v>34</v>
      </c>
      <c r="B159" s="26">
        <v>2018</v>
      </c>
      <c r="C159" s="21" t="s">
        <v>31</v>
      </c>
      <c r="D159" s="52">
        <f t="shared" ref="D159:D205" si="11">DATE(B159,MONTH(1&amp;C159),1)</f>
        <v>43101</v>
      </c>
      <c r="E159" s="12">
        <v>119.3</v>
      </c>
      <c r="F159" s="114"/>
      <c r="G159" s="12"/>
      <c r="I159" s="115" t="s">
        <v>24</v>
      </c>
    </row>
    <row r="160" spans="1:13">
      <c r="A160" s="21" t="s">
        <v>34</v>
      </c>
      <c r="B160" s="26">
        <v>2018</v>
      </c>
      <c r="C160" s="21" t="s">
        <v>35</v>
      </c>
      <c r="D160" s="52">
        <f t="shared" si="11"/>
        <v>43132</v>
      </c>
      <c r="E160" s="12">
        <v>120.2</v>
      </c>
      <c r="F160" s="114">
        <f>IFERROR((E160-E159)/E159*100,"NA")</f>
        <v>0.75440067057837867</v>
      </c>
      <c r="G160" s="12"/>
      <c r="I160" s="57" t="s">
        <v>120</v>
      </c>
      <c r="J160" s="56" t="s">
        <v>121</v>
      </c>
      <c r="K160" s="56" t="s">
        <v>122</v>
      </c>
      <c r="L160" s="59" t="s">
        <v>123</v>
      </c>
      <c r="M160" s="59" t="s">
        <v>124</v>
      </c>
    </row>
    <row r="161" spans="1:13" ht="28.8">
      <c r="A161" s="21" t="s">
        <v>34</v>
      </c>
      <c r="B161" s="26">
        <v>2018</v>
      </c>
      <c r="C161" s="21" t="s">
        <v>36</v>
      </c>
      <c r="D161" s="52">
        <f t="shared" si="11"/>
        <v>43160</v>
      </c>
      <c r="E161" s="12">
        <v>121</v>
      </c>
      <c r="F161" s="114">
        <f t="shared" ref="F161:F205" si="12">IFERROR((E161-E160)/E160*100,"NA")</f>
        <v>0.66555740432612076</v>
      </c>
      <c r="G161" s="12"/>
      <c r="I161" s="53" t="s">
        <v>115</v>
      </c>
      <c r="J161" s="8">
        <f>AVERAGEIFS(G159:G205,$D$159:$D$205,"&gt;=2019-03-01",$D$159:$D$205,"&lt;=2020-02-01")</f>
        <v>2.5188854978600848</v>
      </c>
      <c r="K161" s="8">
        <f>AVERAGEIFS(F159:F205,$D$159:$D$205,"&gt;=2019-03-01",$D$108:$D$154,"&lt;=2020-02-01")</f>
        <v>0.46170002582663039</v>
      </c>
      <c r="L161" s="134">
        <f>J162-J161</f>
        <v>7.4373245667204007</v>
      </c>
      <c r="M161" s="134">
        <f>K162-K161</f>
        <v>0.43170686981249162</v>
      </c>
    </row>
    <row r="162" spans="1:13" ht="28.8">
      <c r="A162" s="21" t="s">
        <v>34</v>
      </c>
      <c r="B162" s="26">
        <v>2018</v>
      </c>
      <c r="C162" s="21" t="s">
        <v>37</v>
      </c>
      <c r="D162" s="52">
        <f t="shared" si="11"/>
        <v>43191</v>
      </c>
      <c r="E162" s="12">
        <v>121.9</v>
      </c>
      <c r="F162" s="114">
        <f t="shared" si="12"/>
        <v>0.74380165289256672</v>
      </c>
      <c r="G162" s="12"/>
      <c r="I162" s="54" t="s">
        <v>117</v>
      </c>
      <c r="J162" s="8">
        <f>AVERAGEIFS(G159:G205,$D$108:$D$154,"&gt;=2020-04-01",$D$108:$D$154,"&lt;=2021-03-01")</f>
        <v>9.9562100645804854</v>
      </c>
      <c r="K162" s="8">
        <f>AVERAGEIFS(F159:F205,$D$108:$D$154,"&gt;=2020-04-01",$D$108:$D$154,"&lt;=2021-03-01")</f>
        <v>0.89340689563912201</v>
      </c>
      <c r="L162" s="135"/>
      <c r="M162" s="135"/>
    </row>
    <row r="163" spans="1:13">
      <c r="A163" s="21" t="s">
        <v>34</v>
      </c>
      <c r="B163" s="26">
        <v>2018</v>
      </c>
      <c r="C163" s="21" t="s">
        <v>38</v>
      </c>
      <c r="D163" s="52">
        <f t="shared" si="11"/>
        <v>43221</v>
      </c>
      <c r="E163" s="12">
        <v>122.9</v>
      </c>
      <c r="F163" s="114">
        <f t="shared" si="12"/>
        <v>0.82034454470877771</v>
      </c>
      <c r="G163" s="12"/>
    </row>
    <row r="164" spans="1:13">
      <c r="A164" s="21" t="s">
        <v>34</v>
      </c>
      <c r="B164" s="26">
        <v>2018</v>
      </c>
      <c r="C164" s="21" t="s">
        <v>39</v>
      </c>
      <c r="D164" s="52">
        <f t="shared" si="11"/>
        <v>43252</v>
      </c>
      <c r="E164" s="12">
        <v>123.7</v>
      </c>
      <c r="F164" s="114">
        <f t="shared" si="12"/>
        <v>0.650935720097638</v>
      </c>
      <c r="G164" s="12"/>
    </row>
    <row r="165" spans="1:13">
      <c r="A165" s="21" t="s">
        <v>34</v>
      </c>
      <c r="B165" s="26">
        <v>2018</v>
      </c>
      <c r="C165" s="21" t="s">
        <v>40</v>
      </c>
      <c r="D165" s="52">
        <f t="shared" si="11"/>
        <v>43282</v>
      </c>
      <c r="E165" s="12">
        <v>123.6</v>
      </c>
      <c r="F165" s="114">
        <f t="shared" si="12"/>
        <v>-8.0840743734849257E-2</v>
      </c>
      <c r="G165" s="12"/>
    </row>
    <row r="166" spans="1:13">
      <c r="A166" s="21" t="s">
        <v>34</v>
      </c>
      <c r="B166" s="26">
        <v>2018</v>
      </c>
      <c r="C166" s="21" t="s">
        <v>41</v>
      </c>
      <c r="D166" s="52">
        <f t="shared" si="11"/>
        <v>43313</v>
      </c>
      <c r="E166" s="12">
        <v>124.3</v>
      </c>
      <c r="F166" s="114">
        <f t="shared" si="12"/>
        <v>0.56634304207119968</v>
      </c>
      <c r="G166" s="12"/>
    </row>
    <row r="167" spans="1:13">
      <c r="A167" s="21" t="s">
        <v>34</v>
      </c>
      <c r="B167" s="26">
        <v>2018</v>
      </c>
      <c r="C167" s="21" t="s">
        <v>42</v>
      </c>
      <c r="D167" s="52">
        <f t="shared" si="11"/>
        <v>43344</v>
      </c>
      <c r="E167" s="12">
        <v>126</v>
      </c>
      <c r="F167" s="114">
        <f t="shared" si="12"/>
        <v>1.3676588897827859</v>
      </c>
      <c r="G167" s="12"/>
    </row>
    <row r="168" spans="1:13">
      <c r="A168" s="21" t="s">
        <v>34</v>
      </c>
      <c r="B168" s="26">
        <v>2018</v>
      </c>
      <c r="C168" s="21" t="s">
        <v>43</v>
      </c>
      <c r="D168" s="52">
        <f t="shared" si="11"/>
        <v>43374</v>
      </c>
      <c r="E168" s="12">
        <v>125.5</v>
      </c>
      <c r="F168" s="114">
        <f t="shared" si="12"/>
        <v>-0.3968253968253968</v>
      </c>
      <c r="G168" s="12"/>
    </row>
    <row r="169" spans="1:13">
      <c r="A169" s="21" t="s">
        <v>34</v>
      </c>
      <c r="B169" s="26">
        <v>2018</v>
      </c>
      <c r="C169" s="21" t="s">
        <v>45</v>
      </c>
      <c r="D169" s="52">
        <f t="shared" si="11"/>
        <v>43405</v>
      </c>
      <c r="E169" s="12">
        <v>125.5</v>
      </c>
      <c r="F169" s="114">
        <f t="shared" si="12"/>
        <v>0</v>
      </c>
      <c r="G169" s="12"/>
    </row>
    <row r="170" spans="1:13">
      <c r="A170" s="21" t="s">
        <v>34</v>
      </c>
      <c r="B170" s="26">
        <v>2018</v>
      </c>
      <c r="C170" s="21" t="s">
        <v>46</v>
      </c>
      <c r="D170" s="52">
        <f t="shared" si="11"/>
        <v>43435</v>
      </c>
      <c r="E170" s="12">
        <v>123.6</v>
      </c>
      <c r="F170" s="114">
        <f t="shared" si="12"/>
        <v>-1.5139442231075744</v>
      </c>
      <c r="G170" s="12"/>
    </row>
    <row r="171" spans="1:13">
      <c r="A171" s="21" t="s">
        <v>34</v>
      </c>
      <c r="B171" s="26">
        <v>2019</v>
      </c>
      <c r="C171" s="21" t="s">
        <v>31</v>
      </c>
      <c r="D171" s="52">
        <f t="shared" si="11"/>
        <v>43466</v>
      </c>
      <c r="E171" s="12">
        <v>123.3</v>
      </c>
      <c r="F171" s="114">
        <f t="shared" si="12"/>
        <v>-0.24271844660193947</v>
      </c>
      <c r="G171" s="12">
        <f>IFERROR((E171-E159)/E159*100,"NA")</f>
        <v>3.3528918692372169</v>
      </c>
    </row>
    <row r="172" spans="1:13">
      <c r="A172" s="21" t="s">
        <v>34</v>
      </c>
      <c r="B172" s="26">
        <v>2019</v>
      </c>
      <c r="C172" s="21" t="s">
        <v>35</v>
      </c>
      <c r="D172" s="52">
        <f t="shared" si="11"/>
        <v>43497</v>
      </c>
      <c r="E172" s="12">
        <v>123.9</v>
      </c>
      <c r="F172" s="114">
        <f t="shared" si="12"/>
        <v>0.486618004866187</v>
      </c>
      <c r="G172" s="12">
        <f t="shared" ref="G172:G205" si="13">IFERROR((E172-E160)/E160*100,"NA")</f>
        <v>3.0782029950083216</v>
      </c>
    </row>
    <row r="173" spans="1:13">
      <c r="A173" s="21" t="s">
        <v>34</v>
      </c>
      <c r="B173" s="26">
        <v>2019</v>
      </c>
      <c r="C173" s="21" t="s">
        <v>36</v>
      </c>
      <c r="D173" s="52">
        <f t="shared" si="11"/>
        <v>43525</v>
      </c>
      <c r="E173" s="12">
        <v>124.6</v>
      </c>
      <c r="F173" s="114">
        <f t="shared" si="12"/>
        <v>0.56497175141242018</v>
      </c>
      <c r="G173" s="12">
        <f t="shared" si="13"/>
        <v>2.9752066115702429</v>
      </c>
    </row>
    <row r="174" spans="1:13">
      <c r="A174" s="21" t="s">
        <v>34</v>
      </c>
      <c r="B174" s="26">
        <v>2019</v>
      </c>
      <c r="C174" s="21" t="s">
        <v>38</v>
      </c>
      <c r="D174" s="52">
        <f t="shared" si="11"/>
        <v>43586</v>
      </c>
      <c r="E174" s="12">
        <v>124.9</v>
      </c>
      <c r="F174" s="114">
        <f t="shared" si="12"/>
        <v>0.24077046548957576</v>
      </c>
      <c r="G174" s="12">
        <f t="shared" si="13"/>
        <v>2.4610336341263328</v>
      </c>
    </row>
    <row r="175" spans="1:13">
      <c r="A175" s="21" t="s">
        <v>34</v>
      </c>
      <c r="B175" s="26">
        <v>2019</v>
      </c>
      <c r="C175" s="21" t="s">
        <v>39</v>
      </c>
      <c r="D175" s="52">
        <f t="shared" si="11"/>
        <v>43617</v>
      </c>
      <c r="E175" s="12">
        <v>124.6</v>
      </c>
      <c r="F175" s="114">
        <f t="shared" si="12"/>
        <v>-0.24019215372298747</v>
      </c>
      <c r="G175" s="12">
        <f t="shared" si="13"/>
        <v>1.3832384052074764</v>
      </c>
    </row>
    <row r="176" spans="1:13">
      <c r="A176" s="21" t="s">
        <v>34</v>
      </c>
      <c r="B176" s="26">
        <v>2019</v>
      </c>
      <c r="C176" s="21" t="s">
        <v>40</v>
      </c>
      <c r="D176" s="52">
        <f t="shared" si="11"/>
        <v>43647</v>
      </c>
      <c r="E176" s="12">
        <v>125.6</v>
      </c>
      <c r="F176" s="114">
        <f t="shared" si="12"/>
        <v>0.80256821829855551</v>
      </c>
      <c r="G176" s="12">
        <f t="shared" si="13"/>
        <v>1.5359741309619979</v>
      </c>
    </row>
    <row r="177" spans="1:7">
      <c r="A177" s="21" t="s">
        <v>34</v>
      </c>
      <c r="B177" s="26">
        <v>2019</v>
      </c>
      <c r="C177" s="21" t="s">
        <v>41</v>
      </c>
      <c r="D177" s="52">
        <f t="shared" si="11"/>
        <v>43678</v>
      </c>
      <c r="E177" s="12">
        <v>125.8</v>
      </c>
      <c r="F177" s="114">
        <f t="shared" si="12"/>
        <v>0.15923566878981119</v>
      </c>
      <c r="G177" s="12">
        <f t="shared" si="13"/>
        <v>1.7799352750809085</v>
      </c>
    </row>
    <row r="178" spans="1:7">
      <c r="A178" s="21" t="s">
        <v>34</v>
      </c>
      <c r="B178" s="26">
        <v>2019</v>
      </c>
      <c r="C178" s="21" t="s">
        <v>42</v>
      </c>
      <c r="D178" s="52">
        <f t="shared" si="11"/>
        <v>43709</v>
      </c>
      <c r="E178" s="12">
        <v>126.1</v>
      </c>
      <c r="F178" s="114">
        <f t="shared" si="12"/>
        <v>0.23847376788553032</v>
      </c>
      <c r="G178" s="12">
        <f t="shared" si="13"/>
        <v>1.4481094127111804</v>
      </c>
    </row>
    <row r="179" spans="1:7">
      <c r="A179" s="21" t="s">
        <v>34</v>
      </c>
      <c r="B179" s="26">
        <v>2019</v>
      </c>
      <c r="C179" s="21" t="s">
        <v>43</v>
      </c>
      <c r="D179" s="52">
        <f t="shared" si="11"/>
        <v>43739</v>
      </c>
      <c r="E179" s="12">
        <v>126.3</v>
      </c>
      <c r="F179" s="114">
        <f t="shared" si="12"/>
        <v>0.15860428231562479</v>
      </c>
      <c r="G179" s="12">
        <f t="shared" si="13"/>
        <v>0.23809523809523581</v>
      </c>
    </row>
    <row r="180" spans="1:7">
      <c r="A180" s="21" t="s">
        <v>34</v>
      </c>
      <c r="B180" s="26">
        <v>2019</v>
      </c>
      <c r="C180" s="21" t="s">
        <v>45</v>
      </c>
      <c r="D180" s="52">
        <f t="shared" si="11"/>
        <v>43770</v>
      </c>
      <c r="E180" s="12">
        <v>126.6</v>
      </c>
      <c r="F180" s="114">
        <f t="shared" si="12"/>
        <v>0.23752969121139919</v>
      </c>
      <c r="G180" s="12">
        <f t="shared" si="13"/>
        <v>0.87649402390437803</v>
      </c>
    </row>
    <row r="181" spans="1:7">
      <c r="A181" s="21" t="s">
        <v>34</v>
      </c>
      <c r="B181" s="26">
        <v>2019</v>
      </c>
      <c r="C181" s="21" t="s">
        <v>46</v>
      </c>
      <c r="D181" s="52">
        <f t="shared" si="11"/>
        <v>43800</v>
      </c>
      <c r="E181" s="12">
        <v>129.80000000000001</v>
      </c>
      <c r="F181" s="114">
        <f t="shared" si="12"/>
        <v>2.5276461295418775</v>
      </c>
      <c r="G181" s="12">
        <f t="shared" si="13"/>
        <v>3.4262948207171409</v>
      </c>
    </row>
    <row r="182" spans="1:7">
      <c r="A182" s="21" t="s">
        <v>34</v>
      </c>
      <c r="B182" s="26">
        <v>2020</v>
      </c>
      <c r="C182" s="21" t="s">
        <v>31</v>
      </c>
      <c r="D182" s="52">
        <f t="shared" si="11"/>
        <v>43831</v>
      </c>
      <c r="E182" s="12">
        <v>130.9</v>
      </c>
      <c r="F182" s="114">
        <f t="shared" si="12"/>
        <v>0.84745762711863959</v>
      </c>
      <c r="G182" s="12">
        <f t="shared" si="13"/>
        <v>5.9061488673139255</v>
      </c>
    </row>
    <row r="183" spans="1:7">
      <c r="A183" s="21" t="s">
        <v>34</v>
      </c>
      <c r="B183" s="26">
        <v>2020</v>
      </c>
      <c r="C183" s="21" t="s">
        <v>35</v>
      </c>
      <c r="D183" s="52">
        <f t="shared" si="11"/>
        <v>43862</v>
      </c>
      <c r="E183" s="12">
        <v>130.30000000000001</v>
      </c>
      <c r="F183" s="114">
        <f t="shared" si="12"/>
        <v>-0.45836516424751278</v>
      </c>
      <c r="G183" s="12">
        <f t="shared" si="13"/>
        <v>5.677210056772112</v>
      </c>
    </row>
    <row r="184" spans="1:7">
      <c r="A184" s="21" t="s">
        <v>34</v>
      </c>
      <c r="B184" s="26">
        <v>2020</v>
      </c>
      <c r="C184" s="21" t="s">
        <v>36</v>
      </c>
      <c r="D184" s="52">
        <f t="shared" si="11"/>
        <v>43891</v>
      </c>
      <c r="E184" s="12">
        <v>129.9</v>
      </c>
      <c r="F184" s="114">
        <f t="shared" si="12"/>
        <v>-0.30698388334612864</v>
      </c>
      <c r="G184" s="12">
        <f t="shared" si="13"/>
        <v>4.8426150121065374</v>
      </c>
    </row>
    <row r="185" spans="1:7">
      <c r="A185" s="21" t="s">
        <v>34</v>
      </c>
      <c r="B185" s="26">
        <v>2020</v>
      </c>
      <c r="C185" s="21" t="s">
        <v>37</v>
      </c>
      <c r="D185" s="52">
        <f t="shared" si="11"/>
        <v>43922</v>
      </c>
      <c r="E185" s="12" t="s">
        <v>32</v>
      </c>
      <c r="F185" s="114" t="str">
        <f t="shared" si="12"/>
        <v>NA</v>
      </c>
      <c r="G185" s="12" t="str">
        <f t="shared" si="13"/>
        <v>NA</v>
      </c>
    </row>
    <row r="186" spans="1:7">
      <c r="A186" s="21" t="s">
        <v>34</v>
      </c>
      <c r="B186" s="26">
        <v>2020</v>
      </c>
      <c r="C186" s="21" t="s">
        <v>38</v>
      </c>
      <c r="D186" s="52">
        <f t="shared" si="11"/>
        <v>43952</v>
      </c>
      <c r="E186" s="12" t="s">
        <v>32</v>
      </c>
      <c r="F186" s="114" t="str">
        <f t="shared" si="12"/>
        <v>NA</v>
      </c>
      <c r="G186" s="12" t="str">
        <f t="shared" si="13"/>
        <v>NA</v>
      </c>
    </row>
    <row r="187" spans="1:7">
      <c r="A187" s="21" t="s">
        <v>34</v>
      </c>
      <c r="B187" s="26">
        <v>2020</v>
      </c>
      <c r="C187" s="21" t="s">
        <v>39</v>
      </c>
      <c r="D187" s="52">
        <f t="shared" si="11"/>
        <v>43983</v>
      </c>
      <c r="E187" s="12">
        <v>135</v>
      </c>
      <c r="F187" s="114" t="str">
        <f t="shared" si="12"/>
        <v>NA</v>
      </c>
      <c r="G187" s="12">
        <f t="shared" si="13"/>
        <v>8.3467094703049796</v>
      </c>
    </row>
    <row r="188" spans="1:7">
      <c r="A188" s="21" t="s">
        <v>34</v>
      </c>
      <c r="B188" s="26">
        <v>2020</v>
      </c>
      <c r="C188" s="21" t="s">
        <v>40</v>
      </c>
      <c r="D188" s="52">
        <f t="shared" si="11"/>
        <v>44013</v>
      </c>
      <c r="E188" s="12">
        <v>135</v>
      </c>
      <c r="F188" s="114">
        <f t="shared" si="12"/>
        <v>0</v>
      </c>
      <c r="G188" s="12">
        <f t="shared" si="13"/>
        <v>7.4840764331210243</v>
      </c>
    </row>
    <row r="189" spans="1:7">
      <c r="A189" s="21" t="s">
        <v>34</v>
      </c>
      <c r="B189" s="26">
        <v>2020</v>
      </c>
      <c r="C189" s="21" t="s">
        <v>41</v>
      </c>
      <c r="D189" s="52">
        <f t="shared" si="11"/>
        <v>44044</v>
      </c>
      <c r="E189" s="12">
        <v>138.5</v>
      </c>
      <c r="F189" s="114">
        <f t="shared" si="12"/>
        <v>2.5925925925925926</v>
      </c>
      <c r="G189" s="12">
        <f t="shared" si="13"/>
        <v>10.095389507154215</v>
      </c>
    </row>
    <row r="190" spans="1:7">
      <c r="A190" s="21" t="s">
        <v>34</v>
      </c>
      <c r="B190" s="26">
        <v>2020</v>
      </c>
      <c r="C190" s="21" t="s">
        <v>42</v>
      </c>
      <c r="D190" s="52">
        <f t="shared" si="11"/>
        <v>44075</v>
      </c>
      <c r="E190" s="12">
        <v>139.6</v>
      </c>
      <c r="F190" s="114">
        <f t="shared" si="12"/>
        <v>0.7942238267147973</v>
      </c>
      <c r="G190" s="12">
        <f t="shared" si="13"/>
        <v>10.705789056304521</v>
      </c>
    </row>
    <row r="191" spans="1:7">
      <c r="A191" s="21" t="s">
        <v>34</v>
      </c>
      <c r="B191" s="26">
        <v>2020</v>
      </c>
      <c r="C191" s="21" t="s">
        <v>43</v>
      </c>
      <c r="D191" s="52">
        <f t="shared" si="11"/>
        <v>44105</v>
      </c>
      <c r="E191" s="12">
        <v>140.6</v>
      </c>
      <c r="F191" s="114">
        <f t="shared" si="12"/>
        <v>0.71633237822349571</v>
      </c>
      <c r="G191" s="12">
        <f t="shared" si="13"/>
        <v>11.322248614410132</v>
      </c>
    </row>
    <row r="192" spans="1:7">
      <c r="A192" s="21" t="s">
        <v>34</v>
      </c>
      <c r="B192" s="26">
        <v>2020</v>
      </c>
      <c r="C192" s="21" t="s">
        <v>45</v>
      </c>
      <c r="D192" s="52">
        <f t="shared" si="11"/>
        <v>44136</v>
      </c>
      <c r="E192" s="12">
        <v>140.4</v>
      </c>
      <c r="F192" s="114">
        <f t="shared" si="12"/>
        <v>-0.14224751066855523</v>
      </c>
      <c r="G192" s="12">
        <f t="shared" si="13"/>
        <v>10.900473933649298</v>
      </c>
    </row>
    <row r="193" spans="1:7">
      <c r="A193" s="21" t="s">
        <v>34</v>
      </c>
      <c r="B193" s="26">
        <v>2020</v>
      </c>
      <c r="C193" s="21" t="s">
        <v>46</v>
      </c>
      <c r="D193" s="52">
        <f t="shared" si="11"/>
        <v>44166</v>
      </c>
      <c r="E193" s="12">
        <v>140.69999999999999</v>
      </c>
      <c r="F193" s="114">
        <f t="shared" si="12"/>
        <v>0.21367521367520151</v>
      </c>
      <c r="G193" s="12">
        <f t="shared" si="13"/>
        <v>8.3975346687210912</v>
      </c>
    </row>
    <row r="194" spans="1:7">
      <c r="A194" s="21" t="s">
        <v>34</v>
      </c>
      <c r="B194" s="26">
        <v>2021</v>
      </c>
      <c r="C194" s="21" t="s">
        <v>31</v>
      </c>
      <c r="D194" s="52">
        <f t="shared" si="11"/>
        <v>44197</v>
      </c>
      <c r="E194" s="12">
        <v>141.9</v>
      </c>
      <c r="F194" s="114">
        <f t="shared" si="12"/>
        <v>0.85287846481877549</v>
      </c>
      <c r="G194" s="12">
        <f t="shared" si="13"/>
        <v>8.4033613445378137</v>
      </c>
    </row>
    <row r="195" spans="1:7">
      <c r="A195" s="21" t="s">
        <v>34</v>
      </c>
      <c r="B195" s="26">
        <v>2021</v>
      </c>
      <c r="C195" s="21" t="s">
        <v>35</v>
      </c>
      <c r="D195" s="52">
        <f t="shared" si="11"/>
        <v>44228</v>
      </c>
      <c r="E195" s="12">
        <v>145.1</v>
      </c>
      <c r="F195" s="114">
        <f t="shared" si="12"/>
        <v>2.2551092318534098</v>
      </c>
      <c r="G195" s="12">
        <f t="shared" si="13"/>
        <v>11.358403683806587</v>
      </c>
    </row>
    <row r="196" spans="1:7">
      <c r="A196" s="21" t="s">
        <v>34</v>
      </c>
      <c r="B196" s="26">
        <v>2021</v>
      </c>
      <c r="C196" s="21" t="s">
        <v>36</v>
      </c>
      <c r="D196" s="52">
        <f t="shared" si="11"/>
        <v>44256</v>
      </c>
      <c r="E196" s="12">
        <v>146.19999999999999</v>
      </c>
      <c r="F196" s="114">
        <f t="shared" si="12"/>
        <v>0.75809786354238073</v>
      </c>
      <c r="G196" s="12">
        <f t="shared" si="13"/>
        <v>12.548113933795213</v>
      </c>
    </row>
    <row r="197" spans="1:7">
      <c r="A197" s="21" t="s">
        <v>34</v>
      </c>
      <c r="B197" s="26">
        <v>2021</v>
      </c>
      <c r="C197" s="21" t="s">
        <v>37</v>
      </c>
      <c r="D197" s="52">
        <f t="shared" si="11"/>
        <v>44287</v>
      </c>
      <c r="E197" s="12">
        <v>146.6</v>
      </c>
      <c r="F197" s="114">
        <f t="shared" si="12"/>
        <v>0.27359781121751414</v>
      </c>
      <c r="G197" s="12" t="str">
        <f t="shared" si="13"/>
        <v>NA</v>
      </c>
    </row>
    <row r="198" spans="1:7">
      <c r="A198" s="21" t="s">
        <v>34</v>
      </c>
      <c r="B198" s="26">
        <v>2021</v>
      </c>
      <c r="C198" s="21" t="s">
        <v>38</v>
      </c>
      <c r="D198" s="52">
        <f t="shared" si="11"/>
        <v>44317</v>
      </c>
      <c r="E198" s="12">
        <v>148.9</v>
      </c>
      <c r="F198" s="114">
        <f t="shared" si="12"/>
        <v>1.5688949522510309</v>
      </c>
      <c r="G198" s="12" t="str">
        <f t="shared" si="13"/>
        <v>NA</v>
      </c>
    </row>
    <row r="199" spans="1:7">
      <c r="A199" s="21" t="s">
        <v>34</v>
      </c>
      <c r="B199" s="26">
        <v>2021</v>
      </c>
      <c r="C199" s="21" t="s">
        <v>39</v>
      </c>
      <c r="D199" s="52">
        <f t="shared" si="11"/>
        <v>44348</v>
      </c>
      <c r="E199" s="12">
        <v>150.69999999999999</v>
      </c>
      <c r="F199" s="114">
        <f t="shared" si="12"/>
        <v>1.2088650100738636</v>
      </c>
      <c r="G199" s="12">
        <f t="shared" si="13"/>
        <v>11.629629629629621</v>
      </c>
    </row>
    <row r="200" spans="1:7">
      <c r="A200" s="21" t="s">
        <v>34</v>
      </c>
      <c r="B200" s="26">
        <v>2021</v>
      </c>
      <c r="C200" s="21" t="s">
        <v>40</v>
      </c>
      <c r="D200" s="52">
        <f t="shared" si="11"/>
        <v>44378</v>
      </c>
      <c r="E200" s="12">
        <v>153.1</v>
      </c>
      <c r="F200" s="114">
        <f t="shared" si="12"/>
        <v>1.5925680159256841</v>
      </c>
      <c r="G200" s="12">
        <f t="shared" si="13"/>
        <v>13.407407407407405</v>
      </c>
    </row>
    <row r="201" spans="1:7">
      <c r="A201" s="21" t="s">
        <v>34</v>
      </c>
      <c r="B201" s="26">
        <v>2021</v>
      </c>
      <c r="C201" s="21" t="s">
        <v>41</v>
      </c>
      <c r="D201" s="52">
        <f t="shared" si="11"/>
        <v>44409</v>
      </c>
      <c r="E201" s="12">
        <v>154</v>
      </c>
      <c r="F201" s="114">
        <f t="shared" si="12"/>
        <v>0.58785107772697953</v>
      </c>
      <c r="G201" s="12">
        <f t="shared" si="13"/>
        <v>11.191335740072201</v>
      </c>
    </row>
    <row r="202" spans="1:7">
      <c r="A202" s="21" t="s">
        <v>34</v>
      </c>
      <c r="B202" s="26">
        <v>2021</v>
      </c>
      <c r="C202" s="21" t="s">
        <v>42</v>
      </c>
      <c r="D202" s="52">
        <f t="shared" si="11"/>
        <v>44440</v>
      </c>
      <c r="E202" s="12">
        <v>154</v>
      </c>
      <c r="F202" s="114">
        <f t="shared" si="12"/>
        <v>0</v>
      </c>
      <c r="G202" s="12">
        <f t="shared" si="13"/>
        <v>10.315186246418342</v>
      </c>
    </row>
    <row r="203" spans="1:7">
      <c r="A203" s="21" t="s">
        <v>34</v>
      </c>
      <c r="B203" s="26">
        <v>2021</v>
      </c>
      <c r="C203" s="21" t="s">
        <v>43</v>
      </c>
      <c r="D203" s="52">
        <f t="shared" si="11"/>
        <v>44470</v>
      </c>
      <c r="E203" s="12">
        <v>155.69999999999999</v>
      </c>
      <c r="F203" s="114">
        <f t="shared" si="12"/>
        <v>1.1038961038960964</v>
      </c>
      <c r="G203" s="12">
        <f t="shared" si="13"/>
        <v>10.739687055476525</v>
      </c>
    </row>
    <row r="204" spans="1:7">
      <c r="A204" s="21" t="s">
        <v>34</v>
      </c>
      <c r="B204" s="26">
        <v>2021</v>
      </c>
      <c r="C204" s="21" t="s">
        <v>45</v>
      </c>
      <c r="D204" s="52">
        <f t="shared" si="11"/>
        <v>44501</v>
      </c>
      <c r="E204" s="12">
        <v>154.80000000000001</v>
      </c>
      <c r="F204" s="114">
        <f t="shared" si="12"/>
        <v>-0.57803468208091024</v>
      </c>
      <c r="G204" s="12">
        <f t="shared" si="13"/>
        <v>10.256410256410261</v>
      </c>
    </row>
    <row r="205" spans="1:7">
      <c r="A205" s="21" t="s">
        <v>34</v>
      </c>
      <c r="B205" s="26">
        <v>2021</v>
      </c>
      <c r="C205" s="21" t="s">
        <v>46</v>
      </c>
      <c r="D205" s="52">
        <f t="shared" si="11"/>
        <v>44531</v>
      </c>
      <c r="E205" s="12">
        <v>155.69999999999999</v>
      </c>
      <c r="F205" s="114">
        <f t="shared" si="12"/>
        <v>0.58139534883719457</v>
      </c>
      <c r="G205" s="12">
        <f t="shared" si="13"/>
        <v>10.660980810234543</v>
      </c>
    </row>
    <row r="206" spans="1:7">
      <c r="A206" s="105"/>
      <c r="B206" s="106"/>
      <c r="C206" s="32"/>
      <c r="D206" s="32"/>
      <c r="E206" s="107"/>
      <c r="F206" s="107"/>
    </row>
    <row r="207" spans="1:7">
      <c r="A207" s="105"/>
      <c r="B207" s="106"/>
      <c r="C207" s="32"/>
      <c r="D207" s="32"/>
      <c r="E207" s="107"/>
      <c r="F207" s="107"/>
    </row>
    <row r="208" spans="1:7">
      <c r="A208" s="105"/>
      <c r="B208" s="106"/>
      <c r="C208" s="32"/>
      <c r="D208" s="32"/>
      <c r="E208" s="107"/>
      <c r="F208" s="107"/>
    </row>
    <row r="209" spans="1:32">
      <c r="A209" s="105"/>
      <c r="B209" s="106"/>
      <c r="C209" s="32"/>
      <c r="D209" s="32"/>
      <c r="E209" s="107"/>
      <c r="F209" s="107"/>
    </row>
    <row r="210" spans="1:32">
      <c r="A210" s="105"/>
      <c r="B210" s="106"/>
      <c r="C210" s="32"/>
      <c r="D210" s="32"/>
      <c r="E210" s="107"/>
      <c r="F210" s="107"/>
    </row>
    <row r="211" spans="1:32">
      <c r="A211" s="105"/>
      <c r="B211" s="106"/>
      <c r="C211" s="32"/>
      <c r="D211" s="32"/>
      <c r="E211" s="107"/>
      <c r="F211" s="107"/>
    </row>
    <row r="212" spans="1:32">
      <c r="A212" s="105"/>
      <c r="B212" s="106"/>
      <c r="C212" s="32"/>
      <c r="D212" s="32"/>
      <c r="E212" s="107"/>
      <c r="F212" s="107"/>
    </row>
    <row r="213" spans="1:32">
      <c r="A213" s="105"/>
      <c r="B213" s="106"/>
      <c r="C213" s="32"/>
      <c r="D213" s="32"/>
      <c r="E213" s="107"/>
      <c r="F213" s="107"/>
    </row>
    <row r="214" spans="1:32">
      <c r="A214" s="105"/>
      <c r="B214" s="106"/>
      <c r="C214" s="32"/>
      <c r="D214" s="32"/>
      <c r="E214" s="107"/>
      <c r="F214" s="107"/>
    </row>
    <row r="215" spans="1:32">
      <c r="A215" s="105"/>
      <c r="B215" s="106"/>
      <c r="C215" s="32"/>
      <c r="D215" s="32"/>
      <c r="E215" s="107"/>
      <c r="F215" s="107"/>
    </row>
    <row r="216" spans="1:32">
      <c r="A216" s="105"/>
      <c r="B216" s="106"/>
      <c r="C216" s="32"/>
      <c r="D216" s="32"/>
      <c r="E216" s="107"/>
      <c r="F216" s="107"/>
    </row>
    <row r="218" spans="1:32" s="77" customFormat="1"/>
    <row r="219" spans="1:32" ht="18">
      <c r="A219" s="87" t="s">
        <v>133</v>
      </c>
      <c r="B219" s="64"/>
      <c r="C219" s="65"/>
    </row>
    <row r="220" spans="1:32">
      <c r="A220" s="21" t="s">
        <v>0</v>
      </c>
      <c r="B220" s="21" t="s">
        <v>1</v>
      </c>
      <c r="C220" s="21" t="s">
        <v>2</v>
      </c>
      <c r="D220" s="78" t="s">
        <v>100</v>
      </c>
      <c r="E220" s="21" t="s">
        <v>3</v>
      </c>
      <c r="F220" s="21" t="s">
        <v>4</v>
      </c>
      <c r="G220" s="21" t="s">
        <v>5</v>
      </c>
      <c r="H220" s="21" t="s">
        <v>6</v>
      </c>
      <c r="I220" s="21" t="s">
        <v>7</v>
      </c>
      <c r="J220" s="21" t="s">
        <v>8</v>
      </c>
      <c r="K220" s="21" t="s">
        <v>9</v>
      </c>
      <c r="L220" s="21" t="s">
        <v>10</v>
      </c>
      <c r="M220" s="21" t="s">
        <v>11</v>
      </c>
      <c r="N220" s="21" t="s">
        <v>12</v>
      </c>
      <c r="O220" s="50" t="s">
        <v>101</v>
      </c>
      <c r="P220" s="50" t="s">
        <v>113</v>
      </c>
      <c r="Q220" s="12" t="s">
        <v>114</v>
      </c>
      <c r="S220" s="21" t="s">
        <v>23</v>
      </c>
      <c r="T220" s="50" t="s">
        <v>113</v>
      </c>
      <c r="U220" s="12" t="s">
        <v>114</v>
      </c>
      <c r="W220" s="21" t="s">
        <v>24</v>
      </c>
      <c r="X220" s="50" t="s">
        <v>113</v>
      </c>
      <c r="Y220" s="12" t="s">
        <v>114</v>
      </c>
      <c r="AB220" s="21" t="s">
        <v>20</v>
      </c>
      <c r="AC220" s="21" t="s">
        <v>22</v>
      </c>
      <c r="AD220" s="124" t="s">
        <v>136</v>
      </c>
      <c r="AE220" s="50" t="s">
        <v>113</v>
      </c>
      <c r="AF220" s="12" t="s">
        <v>114</v>
      </c>
    </row>
    <row r="221" spans="1:32">
      <c r="A221" s="21" t="s">
        <v>30</v>
      </c>
      <c r="B221" s="26">
        <v>2018</v>
      </c>
      <c r="C221" s="21" t="s">
        <v>31</v>
      </c>
      <c r="D221" s="52">
        <v>43101</v>
      </c>
      <c r="E221" s="27">
        <v>136.6</v>
      </c>
      <c r="F221" s="27">
        <v>144.4</v>
      </c>
      <c r="G221" s="27">
        <v>143.80000000000001</v>
      </c>
      <c r="H221" s="27">
        <v>142</v>
      </c>
      <c r="I221" s="27">
        <v>123.2</v>
      </c>
      <c r="J221" s="27">
        <v>147.9</v>
      </c>
      <c r="K221" s="27">
        <v>152.1</v>
      </c>
      <c r="L221" s="27">
        <v>131.80000000000001</v>
      </c>
      <c r="M221" s="27">
        <v>119.5</v>
      </c>
      <c r="N221" s="27">
        <v>136</v>
      </c>
      <c r="O221" s="8">
        <f>IFERROR(AVERAGE(E221:N221),"NA")</f>
        <v>137.72999999999999</v>
      </c>
      <c r="P221" s="12"/>
      <c r="Q221" s="12"/>
      <c r="S221" s="21">
        <v>136</v>
      </c>
      <c r="T221" s="12"/>
      <c r="U221" s="12"/>
      <c r="W221" s="27">
        <v>122.7</v>
      </c>
      <c r="X221" s="12"/>
      <c r="Y221" s="12"/>
      <c r="AB221" s="22">
        <v>139.25</v>
      </c>
      <c r="AC221" s="21">
        <v>139.80000000000001</v>
      </c>
      <c r="AD221" s="8">
        <f>AVERAGE(AB221:AC221)</f>
        <v>139.52500000000001</v>
      </c>
      <c r="AE221" s="12"/>
      <c r="AF221" s="12"/>
    </row>
    <row r="222" spans="1:32">
      <c r="A222" s="21" t="s">
        <v>30</v>
      </c>
      <c r="B222" s="26">
        <v>2018</v>
      </c>
      <c r="C222" s="21" t="s">
        <v>35</v>
      </c>
      <c r="D222" s="52">
        <v>43132</v>
      </c>
      <c r="E222" s="27">
        <v>136.4</v>
      </c>
      <c r="F222" s="27">
        <v>143.69999999999999</v>
      </c>
      <c r="G222" s="27">
        <v>140.6</v>
      </c>
      <c r="H222" s="27">
        <v>141.5</v>
      </c>
      <c r="I222" s="27">
        <v>122.9</v>
      </c>
      <c r="J222" s="27">
        <v>149.4</v>
      </c>
      <c r="K222" s="27">
        <v>142.4</v>
      </c>
      <c r="L222" s="27">
        <v>130.19999999999999</v>
      </c>
      <c r="M222" s="27">
        <v>117.9</v>
      </c>
      <c r="N222" s="27">
        <v>135.6</v>
      </c>
      <c r="O222" s="8">
        <f t="shared" ref="O222:O267" si="14">IFERROR(AVERAGE(E222:N222),"NA")</f>
        <v>136.06</v>
      </c>
      <c r="P222" s="33">
        <f>IFERROR(IF(O221=0,"",(O222-O221)/O221*100),"NA")</f>
        <v>-1.2125172438829503</v>
      </c>
      <c r="Q222" s="12"/>
      <c r="S222" s="21">
        <v>136.19999999999999</v>
      </c>
      <c r="T222" s="33">
        <f>IFERROR(IF(S221=0,"",(S222-S221)/S221*100),"NA")</f>
        <v>0.14705882352940342</v>
      </c>
      <c r="U222" s="12"/>
      <c r="W222" s="27">
        <v>123.3</v>
      </c>
      <c r="X222" s="33">
        <f>IFERROR(IF(W221=0,"",(W222-W221)/W221*100),"NA")</f>
        <v>0.48899755501222025</v>
      </c>
      <c r="Y222" s="12"/>
      <c r="AB222" s="22">
        <v>139.25</v>
      </c>
      <c r="AC222" s="21">
        <v>139.9</v>
      </c>
      <c r="AD222" s="8">
        <f t="shared" ref="AD222:AD267" si="15">AVERAGE(AB222:AC222)</f>
        <v>139.57499999999999</v>
      </c>
      <c r="AE222" s="33">
        <f>IFERROR(IF(AD221=0,"",(AD222-AD221)/AD221*100),"NA")</f>
        <v>3.5835871707567066E-2</v>
      </c>
      <c r="AF222" s="12"/>
    </row>
    <row r="223" spans="1:32">
      <c r="A223" s="21" t="s">
        <v>30</v>
      </c>
      <c r="B223" s="26">
        <v>2018</v>
      </c>
      <c r="C223" s="21" t="s">
        <v>36</v>
      </c>
      <c r="D223" s="52">
        <v>43160</v>
      </c>
      <c r="E223" s="27">
        <v>136.80000000000001</v>
      </c>
      <c r="F223" s="27">
        <v>143.80000000000001</v>
      </c>
      <c r="G223" s="27">
        <v>140</v>
      </c>
      <c r="H223" s="27">
        <v>142</v>
      </c>
      <c r="I223" s="27">
        <v>123.2</v>
      </c>
      <c r="J223" s="27">
        <v>152.9</v>
      </c>
      <c r="K223" s="27">
        <v>138</v>
      </c>
      <c r="L223" s="27">
        <v>129.30000000000001</v>
      </c>
      <c r="M223" s="27">
        <v>117.1</v>
      </c>
      <c r="N223" s="27">
        <v>136.30000000000001</v>
      </c>
      <c r="O223" s="8">
        <f t="shared" si="14"/>
        <v>135.94</v>
      </c>
      <c r="P223" s="33">
        <f t="shared" ref="P223:P267" si="16">IFERROR(IF(O222=0,"",(O223-O222)/O222*100),"NA")</f>
        <v>-8.8196383948261459E-2</v>
      </c>
      <c r="Q223" s="12"/>
      <c r="S223" s="21">
        <v>136.69999999999999</v>
      </c>
      <c r="T223" s="33">
        <f t="shared" ref="T223:T267" si="17">IFERROR(IF(S222=0,"",(S223-S222)/S222*100),"NA")</f>
        <v>0.36710719530102792</v>
      </c>
      <c r="U223" s="12"/>
      <c r="W223" s="27">
        <v>124.6</v>
      </c>
      <c r="X223" s="33">
        <f t="shared" ref="X223:X267" si="18">IFERROR(IF(W222=0,"",(W223-W222)/W222*100),"NA")</f>
        <v>1.0543390105433879</v>
      </c>
      <c r="Y223" s="12"/>
      <c r="AB223" s="22">
        <v>139.25</v>
      </c>
      <c r="AC223" s="21">
        <v>139.9</v>
      </c>
      <c r="AD223" s="8">
        <f t="shared" si="15"/>
        <v>139.57499999999999</v>
      </c>
      <c r="AE223" s="33">
        <f t="shared" ref="AE223:AE267" si="19">IFERROR(IF(AD222=0,"",(AD223-AD222)/AD222*100),"NA")</f>
        <v>0</v>
      </c>
      <c r="AF223" s="12"/>
    </row>
    <row r="224" spans="1:32">
      <c r="A224" s="21" t="s">
        <v>30</v>
      </c>
      <c r="B224" s="26">
        <v>2018</v>
      </c>
      <c r="C224" s="21" t="s">
        <v>37</v>
      </c>
      <c r="D224" s="52">
        <v>43191</v>
      </c>
      <c r="E224" s="27">
        <v>137.1</v>
      </c>
      <c r="F224" s="27">
        <v>144.5</v>
      </c>
      <c r="G224" s="27">
        <v>135.9</v>
      </c>
      <c r="H224" s="27">
        <v>142.4</v>
      </c>
      <c r="I224" s="27">
        <v>123.5</v>
      </c>
      <c r="J224" s="27">
        <v>156.4</v>
      </c>
      <c r="K224" s="27">
        <v>135.1</v>
      </c>
      <c r="L224" s="27">
        <v>128.4</v>
      </c>
      <c r="M224" s="27">
        <v>115.2</v>
      </c>
      <c r="N224" s="27">
        <v>137.19999999999999</v>
      </c>
      <c r="O224" s="8">
        <f t="shared" si="14"/>
        <v>135.57</v>
      </c>
      <c r="P224" s="33">
        <f t="shared" si="16"/>
        <v>-0.27217890245696968</v>
      </c>
      <c r="Q224" s="12"/>
      <c r="S224" s="21">
        <v>137.6</v>
      </c>
      <c r="T224" s="33">
        <f t="shared" si="17"/>
        <v>0.65837600585223532</v>
      </c>
      <c r="U224" s="12"/>
      <c r="W224" s="27">
        <v>125.3</v>
      </c>
      <c r="X224" s="33">
        <f t="shared" si="18"/>
        <v>0.56179775280899114</v>
      </c>
      <c r="Y224" s="12"/>
      <c r="AB224" s="22">
        <v>139.25</v>
      </c>
      <c r="AC224" s="21">
        <v>140.9</v>
      </c>
      <c r="AD224" s="8">
        <f t="shared" si="15"/>
        <v>140.07499999999999</v>
      </c>
      <c r="AE224" s="33">
        <f t="shared" si="19"/>
        <v>0.35823034210997673</v>
      </c>
      <c r="AF224" s="12"/>
    </row>
    <row r="225" spans="1:32">
      <c r="A225" s="21" t="s">
        <v>30</v>
      </c>
      <c r="B225" s="26">
        <v>2018</v>
      </c>
      <c r="C225" s="21" t="s">
        <v>38</v>
      </c>
      <c r="D225" s="52">
        <v>43221</v>
      </c>
      <c r="E225" s="27">
        <v>137.4</v>
      </c>
      <c r="F225" s="27">
        <v>145.69999999999999</v>
      </c>
      <c r="G225" s="27">
        <v>135.5</v>
      </c>
      <c r="H225" s="27">
        <v>142.9</v>
      </c>
      <c r="I225" s="27">
        <v>123.6</v>
      </c>
      <c r="J225" s="27">
        <v>157.5</v>
      </c>
      <c r="K225" s="27">
        <v>137.80000000000001</v>
      </c>
      <c r="L225" s="27">
        <v>127.2</v>
      </c>
      <c r="M225" s="27">
        <v>111.8</v>
      </c>
      <c r="N225" s="27">
        <v>137.4</v>
      </c>
      <c r="O225" s="8">
        <f t="shared" si="14"/>
        <v>135.68</v>
      </c>
      <c r="P225" s="33">
        <f t="shared" si="16"/>
        <v>8.1138895035784947E-2</v>
      </c>
      <c r="Q225" s="12"/>
      <c r="S225" s="21">
        <v>138.4</v>
      </c>
      <c r="T225" s="33">
        <f t="shared" si="17"/>
        <v>0.58139534883721766</v>
      </c>
      <c r="U225" s="12"/>
      <c r="W225" s="27">
        <v>126.4</v>
      </c>
      <c r="X225" s="33">
        <f t="shared" si="18"/>
        <v>0.87789305666401318</v>
      </c>
      <c r="Y225" s="12"/>
      <c r="AB225" s="22">
        <v>139.25</v>
      </c>
      <c r="AC225" s="21">
        <v>141.80000000000001</v>
      </c>
      <c r="AD225" s="8">
        <f t="shared" si="15"/>
        <v>140.52500000000001</v>
      </c>
      <c r="AE225" s="33">
        <f t="shared" si="19"/>
        <v>0.32125646974836131</v>
      </c>
      <c r="AF225" s="12"/>
    </row>
    <row r="226" spans="1:32">
      <c r="A226" s="21" t="s">
        <v>30</v>
      </c>
      <c r="B226" s="26">
        <v>2018</v>
      </c>
      <c r="C226" s="21" t="s">
        <v>39</v>
      </c>
      <c r="D226" s="52">
        <v>43252</v>
      </c>
      <c r="E226" s="27">
        <v>137.6</v>
      </c>
      <c r="F226" s="27">
        <v>148.1</v>
      </c>
      <c r="G226" s="27">
        <v>136.69999999999999</v>
      </c>
      <c r="H226" s="27">
        <v>143.19999999999999</v>
      </c>
      <c r="I226" s="27">
        <v>124</v>
      </c>
      <c r="J226" s="27">
        <v>154.1</v>
      </c>
      <c r="K226" s="27">
        <v>143.5</v>
      </c>
      <c r="L226" s="27">
        <v>126</v>
      </c>
      <c r="M226" s="27">
        <v>112.4</v>
      </c>
      <c r="N226" s="27">
        <v>137.6</v>
      </c>
      <c r="O226" s="8">
        <f t="shared" si="14"/>
        <v>136.32</v>
      </c>
      <c r="P226" s="33">
        <f t="shared" si="16"/>
        <v>0.47169811320753707</v>
      </c>
      <c r="Q226" s="12"/>
      <c r="S226" s="21">
        <v>138.4</v>
      </c>
      <c r="T226" s="33">
        <f t="shared" si="17"/>
        <v>0</v>
      </c>
      <c r="U226" s="12"/>
      <c r="W226" s="27">
        <v>127.4</v>
      </c>
      <c r="X226" s="33">
        <f t="shared" si="18"/>
        <v>0.791139240506329</v>
      </c>
      <c r="Y226" s="12"/>
      <c r="AB226" s="22">
        <v>139.25</v>
      </c>
      <c r="AC226" s="21">
        <v>142.19999999999999</v>
      </c>
      <c r="AD226" s="8">
        <f t="shared" si="15"/>
        <v>140.72499999999999</v>
      </c>
      <c r="AE226" s="33">
        <f t="shared" si="19"/>
        <v>0.14232342999465478</v>
      </c>
      <c r="AF226" s="12"/>
    </row>
    <row r="227" spans="1:32">
      <c r="A227" s="21" t="s">
        <v>30</v>
      </c>
      <c r="B227" s="26">
        <v>2018</v>
      </c>
      <c r="C227" s="21" t="s">
        <v>40</v>
      </c>
      <c r="D227" s="52">
        <v>43282</v>
      </c>
      <c r="E227" s="27">
        <v>138.4</v>
      </c>
      <c r="F227" s="27">
        <v>149.30000000000001</v>
      </c>
      <c r="G227" s="27">
        <v>139.30000000000001</v>
      </c>
      <c r="H227" s="27">
        <v>143.4</v>
      </c>
      <c r="I227" s="27">
        <v>124.1</v>
      </c>
      <c r="J227" s="27">
        <v>153.30000000000001</v>
      </c>
      <c r="K227" s="27">
        <v>154.19999999999999</v>
      </c>
      <c r="L227" s="27">
        <v>126.4</v>
      </c>
      <c r="M227" s="27">
        <v>114.3</v>
      </c>
      <c r="N227" s="27">
        <v>138.19999999999999</v>
      </c>
      <c r="O227" s="8">
        <f t="shared" si="14"/>
        <v>138.09000000000003</v>
      </c>
      <c r="P227" s="33">
        <f t="shared" si="16"/>
        <v>1.2984154929577749</v>
      </c>
      <c r="Q227" s="12"/>
      <c r="S227" s="21">
        <v>139</v>
      </c>
      <c r="T227" s="33">
        <f t="shared" si="17"/>
        <v>0.43352601156068954</v>
      </c>
      <c r="U227" s="12"/>
      <c r="W227" s="27">
        <v>127.5</v>
      </c>
      <c r="X227" s="33">
        <f t="shared" si="18"/>
        <v>7.8492935635788311E-2</v>
      </c>
      <c r="Y227" s="12"/>
      <c r="AB227" s="22">
        <v>139.25</v>
      </c>
      <c r="AC227" s="21">
        <v>143.1</v>
      </c>
      <c r="AD227" s="8">
        <f t="shared" si="15"/>
        <v>141.17500000000001</v>
      </c>
      <c r="AE227" s="33">
        <f t="shared" si="19"/>
        <v>0.31977260614675224</v>
      </c>
      <c r="AF227" s="12"/>
    </row>
    <row r="228" spans="1:32">
      <c r="A228" s="21" t="s">
        <v>30</v>
      </c>
      <c r="B228" s="26">
        <v>2018</v>
      </c>
      <c r="C228" s="21" t="s">
        <v>41</v>
      </c>
      <c r="D228" s="52">
        <v>43313</v>
      </c>
      <c r="E228" s="27">
        <v>139.19999999999999</v>
      </c>
      <c r="F228" s="27">
        <v>148.80000000000001</v>
      </c>
      <c r="G228" s="27">
        <v>139.1</v>
      </c>
      <c r="H228" s="27">
        <v>143.5</v>
      </c>
      <c r="I228" s="27">
        <v>125</v>
      </c>
      <c r="J228" s="27">
        <v>154.4</v>
      </c>
      <c r="K228" s="27">
        <v>156.30000000000001</v>
      </c>
      <c r="L228" s="27">
        <v>126.8</v>
      </c>
      <c r="M228" s="27">
        <v>115.4</v>
      </c>
      <c r="N228" s="27">
        <v>138.6</v>
      </c>
      <c r="O228" s="8">
        <f t="shared" si="14"/>
        <v>138.70999999999998</v>
      </c>
      <c r="P228" s="33">
        <f t="shared" si="16"/>
        <v>0.44898254761383705</v>
      </c>
      <c r="Q228" s="12"/>
      <c r="S228" s="21">
        <v>139.4</v>
      </c>
      <c r="T228" s="33">
        <f t="shared" si="17"/>
        <v>0.28776978417266597</v>
      </c>
      <c r="U228" s="12"/>
      <c r="W228" s="27">
        <v>128.30000000000001</v>
      </c>
      <c r="X228" s="33">
        <f t="shared" si="18"/>
        <v>0.62745098039216574</v>
      </c>
      <c r="Y228" s="12"/>
      <c r="AB228" s="22">
        <v>139.25</v>
      </c>
      <c r="AC228" s="21">
        <v>143.80000000000001</v>
      </c>
      <c r="AD228" s="8">
        <f t="shared" si="15"/>
        <v>141.52500000000001</v>
      </c>
      <c r="AE228" s="33">
        <f t="shared" si="19"/>
        <v>0.24791924915884134</v>
      </c>
      <c r="AF228" s="12"/>
    </row>
    <row r="229" spans="1:32">
      <c r="A229" s="21" t="s">
        <v>30</v>
      </c>
      <c r="B229" s="26">
        <v>2018</v>
      </c>
      <c r="C229" s="21" t="s">
        <v>42</v>
      </c>
      <c r="D229" s="52">
        <v>43344</v>
      </c>
      <c r="E229" s="27">
        <v>139.4</v>
      </c>
      <c r="F229" s="27">
        <v>147.19999999999999</v>
      </c>
      <c r="G229" s="27">
        <v>136.6</v>
      </c>
      <c r="H229" s="27">
        <v>143.69999999999999</v>
      </c>
      <c r="I229" s="27">
        <v>124.6</v>
      </c>
      <c r="J229" s="27">
        <v>150.1</v>
      </c>
      <c r="K229" s="27">
        <v>149.4</v>
      </c>
      <c r="L229" s="27">
        <v>125.4</v>
      </c>
      <c r="M229" s="27">
        <v>114.4</v>
      </c>
      <c r="N229" s="27">
        <v>138.69999999999999</v>
      </c>
      <c r="O229" s="8">
        <f t="shared" si="14"/>
        <v>136.95000000000002</v>
      </c>
      <c r="P229" s="33">
        <f t="shared" si="16"/>
        <v>-1.2688342585249532</v>
      </c>
      <c r="Q229" s="12"/>
      <c r="S229" s="21">
        <v>140</v>
      </c>
      <c r="T229" s="33">
        <f t="shared" si="17"/>
        <v>0.43041606886656691</v>
      </c>
      <c r="U229" s="12"/>
      <c r="W229" s="27">
        <v>129.9</v>
      </c>
      <c r="X229" s="33">
        <f t="shared" si="18"/>
        <v>1.2470771628994499</v>
      </c>
      <c r="Y229" s="12"/>
      <c r="AB229" s="22">
        <v>139.25</v>
      </c>
      <c r="AC229" s="21">
        <v>144</v>
      </c>
      <c r="AD229" s="8">
        <f t="shared" si="15"/>
        <v>141.625</v>
      </c>
      <c r="AE229" s="33">
        <f t="shared" si="19"/>
        <v>7.0658894188301929E-2</v>
      </c>
      <c r="AF229" s="12"/>
    </row>
    <row r="230" spans="1:32">
      <c r="A230" s="21" t="s">
        <v>30</v>
      </c>
      <c r="B230" s="26">
        <v>2018</v>
      </c>
      <c r="C230" s="21" t="s">
        <v>43</v>
      </c>
      <c r="D230" s="52">
        <v>43374</v>
      </c>
      <c r="E230" s="27">
        <v>139.30000000000001</v>
      </c>
      <c r="F230" s="27">
        <v>147.6</v>
      </c>
      <c r="G230" s="27">
        <v>134.6</v>
      </c>
      <c r="H230" s="27">
        <v>141.9</v>
      </c>
      <c r="I230" s="27">
        <v>123.5</v>
      </c>
      <c r="J230" s="27">
        <v>144.5</v>
      </c>
      <c r="K230" s="27">
        <v>147.6</v>
      </c>
      <c r="L230" s="27">
        <v>121.4</v>
      </c>
      <c r="M230" s="27">
        <v>112.3</v>
      </c>
      <c r="N230" s="27">
        <v>139.5</v>
      </c>
      <c r="O230" s="8">
        <f t="shared" si="14"/>
        <v>135.22</v>
      </c>
      <c r="P230" s="33">
        <f t="shared" si="16"/>
        <v>-1.2632347572106739</v>
      </c>
      <c r="Q230" s="12"/>
      <c r="S230" s="21">
        <v>144.80000000000001</v>
      </c>
      <c r="T230" s="33">
        <f t="shared" si="17"/>
        <v>3.4285714285714364</v>
      </c>
      <c r="U230" s="12"/>
      <c r="W230" s="27">
        <v>130.80000000000001</v>
      </c>
      <c r="X230" s="33">
        <f t="shared" si="18"/>
        <v>0.69284064665127454</v>
      </c>
      <c r="Y230" s="12"/>
      <c r="AB230" s="22">
        <v>139.25</v>
      </c>
      <c r="AC230" s="21">
        <v>147.5</v>
      </c>
      <c r="AD230" s="8">
        <f t="shared" si="15"/>
        <v>143.375</v>
      </c>
      <c r="AE230" s="33">
        <f t="shared" si="19"/>
        <v>1.235657546337158</v>
      </c>
      <c r="AF230" s="12"/>
    </row>
    <row r="231" spans="1:32">
      <c r="A231" s="21" t="s">
        <v>30</v>
      </c>
      <c r="B231" s="26">
        <v>2018</v>
      </c>
      <c r="C231" s="21" t="s">
        <v>45</v>
      </c>
      <c r="D231" s="52">
        <v>43405</v>
      </c>
      <c r="E231" s="27">
        <v>137.1</v>
      </c>
      <c r="F231" s="27">
        <v>150.80000000000001</v>
      </c>
      <c r="G231" s="27">
        <v>136.69999999999999</v>
      </c>
      <c r="H231" s="27">
        <v>141.9</v>
      </c>
      <c r="I231" s="27">
        <v>122.8</v>
      </c>
      <c r="J231" s="27">
        <v>143.9</v>
      </c>
      <c r="K231" s="27">
        <v>147.5</v>
      </c>
      <c r="L231" s="27">
        <v>121</v>
      </c>
      <c r="M231" s="27">
        <v>111.6</v>
      </c>
      <c r="N231" s="27">
        <v>140.6</v>
      </c>
      <c r="O231" s="8">
        <f t="shared" si="14"/>
        <v>135.38999999999996</v>
      </c>
      <c r="P231" s="33">
        <f t="shared" si="16"/>
        <v>0.1257210471823392</v>
      </c>
      <c r="Q231" s="12"/>
      <c r="S231" s="21">
        <v>145.4</v>
      </c>
      <c r="T231" s="33">
        <f t="shared" si="17"/>
        <v>0.41436464088397396</v>
      </c>
      <c r="U231" s="12"/>
      <c r="W231" s="27">
        <v>130.30000000000001</v>
      </c>
      <c r="X231" s="33">
        <f t="shared" si="18"/>
        <v>-0.38226299694189597</v>
      </c>
      <c r="Y231" s="12"/>
      <c r="AB231" s="22">
        <v>139.25</v>
      </c>
      <c r="AC231" s="21">
        <v>148</v>
      </c>
      <c r="AD231" s="8">
        <f t="shared" si="15"/>
        <v>143.625</v>
      </c>
      <c r="AE231" s="33">
        <f t="shared" si="19"/>
        <v>0.17436791630340018</v>
      </c>
      <c r="AF231" s="12"/>
    </row>
    <row r="232" spans="1:32">
      <c r="A232" s="21" t="s">
        <v>30</v>
      </c>
      <c r="B232" s="26">
        <v>2018</v>
      </c>
      <c r="C232" s="21" t="s">
        <v>46</v>
      </c>
      <c r="D232" s="52">
        <v>43435</v>
      </c>
      <c r="E232" s="27">
        <v>137.1</v>
      </c>
      <c r="F232" s="27">
        <v>151.9</v>
      </c>
      <c r="G232" s="27">
        <v>137.4</v>
      </c>
      <c r="H232" s="27">
        <v>142.4</v>
      </c>
      <c r="I232" s="27">
        <v>124.2</v>
      </c>
      <c r="J232" s="27">
        <v>140.19999999999999</v>
      </c>
      <c r="K232" s="27">
        <v>136.6</v>
      </c>
      <c r="L232" s="27">
        <v>120.9</v>
      </c>
      <c r="M232" s="27">
        <v>109.9</v>
      </c>
      <c r="N232" s="27">
        <v>140.19999999999999</v>
      </c>
      <c r="O232" s="8">
        <f t="shared" si="14"/>
        <v>134.08000000000001</v>
      </c>
      <c r="P232" s="33">
        <f t="shared" si="16"/>
        <v>-0.96757515326090993</v>
      </c>
      <c r="Q232" s="12"/>
      <c r="S232" s="21">
        <v>149.6</v>
      </c>
      <c r="T232" s="33">
        <f t="shared" si="17"/>
        <v>2.8885832187070073</v>
      </c>
      <c r="U232" s="12"/>
      <c r="W232" s="27">
        <v>128.9</v>
      </c>
      <c r="X232" s="33">
        <f t="shared" si="18"/>
        <v>-1.0744435917114394</v>
      </c>
      <c r="Y232" s="12"/>
      <c r="AB232" s="22">
        <v>139.25</v>
      </c>
      <c r="AC232" s="21">
        <v>149.5</v>
      </c>
      <c r="AD232" s="8">
        <f t="shared" si="15"/>
        <v>144.375</v>
      </c>
      <c r="AE232" s="33">
        <f t="shared" si="19"/>
        <v>0.52219321148825071</v>
      </c>
      <c r="AF232" s="12"/>
    </row>
    <row r="233" spans="1:32">
      <c r="A233" s="21" t="s">
        <v>30</v>
      </c>
      <c r="B233" s="26">
        <v>2019</v>
      </c>
      <c r="C233" s="21" t="s">
        <v>31</v>
      </c>
      <c r="D233" s="52">
        <v>43466</v>
      </c>
      <c r="E233" s="27">
        <v>136.6</v>
      </c>
      <c r="F233" s="27">
        <v>152.5</v>
      </c>
      <c r="G233" s="27">
        <v>138.19999999999999</v>
      </c>
      <c r="H233" s="27">
        <v>142.4</v>
      </c>
      <c r="I233" s="27">
        <v>123.9</v>
      </c>
      <c r="J233" s="27">
        <v>135.5</v>
      </c>
      <c r="K233" s="27">
        <v>131.69999999999999</v>
      </c>
      <c r="L233" s="27">
        <v>121.3</v>
      </c>
      <c r="M233" s="27">
        <v>108.4</v>
      </c>
      <c r="N233" s="27">
        <v>138.9</v>
      </c>
      <c r="O233" s="8">
        <f t="shared" si="14"/>
        <v>132.94</v>
      </c>
      <c r="P233" s="33">
        <f t="shared" si="16"/>
        <v>-0.85023866348449773</v>
      </c>
      <c r="Q233" s="33">
        <f>IFERROR(IF(O221=0,"",(O233-O221)/O221*100),"NA")</f>
        <v>-3.477818921077465</v>
      </c>
      <c r="S233" s="21">
        <v>149.6</v>
      </c>
      <c r="T233" s="33">
        <f t="shared" si="17"/>
        <v>0</v>
      </c>
      <c r="U233" s="33">
        <f>IFERROR(IF(S221=0,"",(S233-S221)/S221*100),"NA")</f>
        <v>9.9999999999999964</v>
      </c>
      <c r="W233" s="27">
        <v>128.6</v>
      </c>
      <c r="X233" s="33">
        <f t="shared" si="18"/>
        <v>-0.23273855702095528</v>
      </c>
      <c r="Y233" s="33">
        <f>IFERROR(IF(W221=0,"",(W233-W221)/W221*100),"NA")</f>
        <v>4.808475957620205</v>
      </c>
      <c r="AB233" s="22">
        <v>139.25</v>
      </c>
      <c r="AC233" s="21">
        <v>150.1</v>
      </c>
      <c r="AD233" s="8">
        <f t="shared" si="15"/>
        <v>144.67500000000001</v>
      </c>
      <c r="AE233" s="33">
        <f t="shared" si="19"/>
        <v>0.20779220779221569</v>
      </c>
      <c r="AF233" s="33">
        <f>IFERROR(IF(AD221=0,"",(AD233-AD221)/AD221*100),"NA")</f>
        <v>3.6910947858806704</v>
      </c>
    </row>
    <row r="234" spans="1:32">
      <c r="A234" s="21" t="s">
        <v>30</v>
      </c>
      <c r="B234" s="26">
        <v>2019</v>
      </c>
      <c r="C234" s="21" t="s">
        <v>35</v>
      </c>
      <c r="D234" s="52">
        <v>43497</v>
      </c>
      <c r="E234" s="27">
        <v>136.80000000000001</v>
      </c>
      <c r="F234" s="27">
        <v>153</v>
      </c>
      <c r="G234" s="27">
        <v>139.1</v>
      </c>
      <c r="H234" s="27">
        <v>142.5</v>
      </c>
      <c r="I234" s="27">
        <v>124.1</v>
      </c>
      <c r="J234" s="27">
        <v>135.80000000000001</v>
      </c>
      <c r="K234" s="27">
        <v>128.69999999999999</v>
      </c>
      <c r="L234" s="27">
        <v>121.5</v>
      </c>
      <c r="M234" s="27">
        <v>108.3</v>
      </c>
      <c r="N234" s="27">
        <v>139.19999999999999</v>
      </c>
      <c r="O234" s="8">
        <f t="shared" si="14"/>
        <v>132.9</v>
      </c>
      <c r="P234" s="33">
        <f t="shared" si="16"/>
        <v>-3.0088761847443992E-2</v>
      </c>
      <c r="Q234" s="33">
        <f t="shared" ref="Q234:Q267" si="20">IFERROR(IF(O222=0,"",(O234-O222)/O222*100),"NA")</f>
        <v>-2.3225047773041281</v>
      </c>
      <c r="S234" s="21">
        <v>149.9</v>
      </c>
      <c r="T234" s="33">
        <f t="shared" si="17"/>
        <v>0.20053475935829637</v>
      </c>
      <c r="U234" s="33">
        <f t="shared" ref="U234:U267" si="21">IFERROR(IF(S222=0,"",(S234-S222)/S222*100),"NA")</f>
        <v>10.058737151248177</v>
      </c>
      <c r="W234" s="27">
        <v>129.19999999999999</v>
      </c>
      <c r="X234" s="33">
        <f t="shared" si="18"/>
        <v>0.46656298600310603</v>
      </c>
      <c r="Y234" s="33">
        <f t="shared" ref="Y234:Y267" si="22">IFERROR(IF(W222=0,"",(W234-W222)/W222*100),"NA")</f>
        <v>4.7850770478507636</v>
      </c>
      <c r="AB234" s="22">
        <v>139.25</v>
      </c>
      <c r="AC234" s="21">
        <v>150.1</v>
      </c>
      <c r="AD234" s="8">
        <f t="shared" si="15"/>
        <v>144.67500000000001</v>
      </c>
      <c r="AE234" s="33">
        <f t="shared" si="19"/>
        <v>0</v>
      </c>
      <c r="AF234" s="33">
        <f t="shared" ref="AF234:AF267" si="23">IFERROR(IF(AD222=0,"",(AD234-AD222)/AD222*100),"NA")</f>
        <v>3.6539494895217786</v>
      </c>
    </row>
    <row r="235" spans="1:32">
      <c r="A235" s="21" t="s">
        <v>30</v>
      </c>
      <c r="B235" s="26">
        <v>2019</v>
      </c>
      <c r="C235" s="21" t="s">
        <v>36</v>
      </c>
      <c r="D235" s="52">
        <v>43525</v>
      </c>
      <c r="E235" s="27">
        <v>136.9</v>
      </c>
      <c r="F235" s="27">
        <v>154.1</v>
      </c>
      <c r="G235" s="27">
        <v>138.69999999999999</v>
      </c>
      <c r="H235" s="27">
        <v>142.5</v>
      </c>
      <c r="I235" s="27">
        <v>124.1</v>
      </c>
      <c r="J235" s="27">
        <v>136.1</v>
      </c>
      <c r="K235" s="27">
        <v>128.19999999999999</v>
      </c>
      <c r="L235" s="27">
        <v>122.3</v>
      </c>
      <c r="M235" s="27">
        <v>108.3</v>
      </c>
      <c r="N235" s="27">
        <v>138.9</v>
      </c>
      <c r="O235" s="8">
        <f t="shared" si="14"/>
        <v>133.01000000000002</v>
      </c>
      <c r="P235" s="33">
        <f t="shared" si="16"/>
        <v>8.2768999247564812E-2</v>
      </c>
      <c r="Q235" s="33">
        <f t="shared" si="20"/>
        <v>-2.1553626599970417</v>
      </c>
      <c r="S235" s="21">
        <v>150.4</v>
      </c>
      <c r="T235" s="33">
        <f t="shared" si="17"/>
        <v>0.33355570380253502</v>
      </c>
      <c r="U235" s="33">
        <f t="shared" si="21"/>
        <v>10.021945866861754</v>
      </c>
      <c r="W235" s="27">
        <v>129.9</v>
      </c>
      <c r="X235" s="33">
        <f t="shared" si="18"/>
        <v>0.54179566563468817</v>
      </c>
      <c r="Y235" s="33">
        <f t="shared" si="22"/>
        <v>4.2536115569823529</v>
      </c>
      <c r="AB235" s="22">
        <v>139.25</v>
      </c>
      <c r="AC235" s="21">
        <v>150</v>
      </c>
      <c r="AD235" s="8">
        <f t="shared" si="15"/>
        <v>144.625</v>
      </c>
      <c r="AE235" s="33">
        <f t="shared" si="19"/>
        <v>-3.4560221185423443E-2</v>
      </c>
      <c r="AF235" s="33">
        <f t="shared" si="23"/>
        <v>3.6181264553107733</v>
      </c>
    </row>
    <row r="236" spans="1:32">
      <c r="A236" s="21" t="s">
        <v>30</v>
      </c>
      <c r="B236" s="26">
        <v>2019</v>
      </c>
      <c r="C236" s="21" t="s">
        <v>38</v>
      </c>
      <c r="D236" s="52">
        <v>43586</v>
      </c>
      <c r="E236" s="27">
        <v>137.4</v>
      </c>
      <c r="F236" s="27">
        <v>159.5</v>
      </c>
      <c r="G236" s="27">
        <v>134.5</v>
      </c>
      <c r="H236" s="27">
        <v>142.6</v>
      </c>
      <c r="I236" s="27">
        <v>124</v>
      </c>
      <c r="J236" s="27">
        <v>143.69999999999999</v>
      </c>
      <c r="K236" s="27">
        <v>133.4</v>
      </c>
      <c r="L236" s="27">
        <v>125.1</v>
      </c>
      <c r="M236" s="27">
        <v>109.3</v>
      </c>
      <c r="N236" s="27">
        <v>139.30000000000001</v>
      </c>
      <c r="O236" s="8">
        <f t="shared" si="14"/>
        <v>134.88</v>
      </c>
      <c r="P236" s="33">
        <f t="shared" si="16"/>
        <v>1.4059093301255363</v>
      </c>
      <c r="Q236" s="33">
        <f t="shared" si="20"/>
        <v>-0.50896215976985892</v>
      </c>
      <c r="S236" s="21">
        <v>151.30000000000001</v>
      </c>
      <c r="T236" s="33">
        <f t="shared" si="17"/>
        <v>0.59840425531915264</v>
      </c>
      <c r="U236" s="33">
        <f t="shared" si="21"/>
        <v>9.956395348837221</v>
      </c>
      <c r="W236" s="27">
        <v>130.19999999999999</v>
      </c>
      <c r="X236" s="33">
        <f t="shared" si="18"/>
        <v>0.23094688221707693</v>
      </c>
      <c r="Y236" s="33">
        <f t="shared" si="22"/>
        <v>3.9106145251396578</v>
      </c>
      <c r="AB236" s="22">
        <v>139.25</v>
      </c>
      <c r="AC236" s="21">
        <v>149.5</v>
      </c>
      <c r="AD236" s="8">
        <f t="shared" si="15"/>
        <v>144.375</v>
      </c>
      <c r="AE236" s="33">
        <f t="shared" si="19"/>
        <v>-0.17286084701815038</v>
      </c>
      <c r="AF236" s="33">
        <f t="shared" si="23"/>
        <v>3.0697840442620108</v>
      </c>
    </row>
    <row r="237" spans="1:32">
      <c r="A237" s="21" t="s">
        <v>30</v>
      </c>
      <c r="B237" s="26">
        <v>2019</v>
      </c>
      <c r="C237" s="21" t="s">
        <v>39</v>
      </c>
      <c r="D237" s="52">
        <v>43617</v>
      </c>
      <c r="E237" s="27">
        <v>137.80000000000001</v>
      </c>
      <c r="F237" s="27">
        <v>163.5</v>
      </c>
      <c r="G237" s="27">
        <v>136.19999999999999</v>
      </c>
      <c r="H237" s="27">
        <v>143.19999999999999</v>
      </c>
      <c r="I237" s="27">
        <v>124.3</v>
      </c>
      <c r="J237" s="27">
        <v>143.30000000000001</v>
      </c>
      <c r="K237" s="27">
        <v>140.6</v>
      </c>
      <c r="L237" s="27">
        <v>128.69999999999999</v>
      </c>
      <c r="M237" s="27">
        <v>110.6</v>
      </c>
      <c r="N237" s="27">
        <v>140.4</v>
      </c>
      <c r="O237" s="8">
        <f t="shared" si="14"/>
        <v>136.85999999999999</v>
      </c>
      <c r="P237" s="33">
        <f t="shared" si="16"/>
        <v>1.4679715302491028</v>
      </c>
      <c r="Q237" s="33">
        <f t="shared" si="20"/>
        <v>0.86969339622639907</v>
      </c>
      <c r="S237" s="21">
        <v>151.69999999999999</v>
      </c>
      <c r="T237" s="33">
        <f t="shared" si="17"/>
        <v>0.26437541308656787</v>
      </c>
      <c r="U237" s="33">
        <f t="shared" si="21"/>
        <v>9.6098265895953627</v>
      </c>
      <c r="W237" s="27">
        <v>130.19999999999999</v>
      </c>
      <c r="X237" s="33">
        <f t="shared" si="18"/>
        <v>0</v>
      </c>
      <c r="Y237" s="33">
        <f t="shared" si="22"/>
        <v>3.0063291139240373</v>
      </c>
      <c r="AB237" s="22">
        <v>139.25</v>
      </c>
      <c r="AC237" s="21">
        <v>149.6</v>
      </c>
      <c r="AD237" s="8">
        <f t="shared" si="15"/>
        <v>144.42500000000001</v>
      </c>
      <c r="AE237" s="33">
        <f t="shared" si="19"/>
        <v>3.4632034632042508E-2</v>
      </c>
      <c r="AF237" s="33">
        <f t="shared" si="23"/>
        <v>2.7753068848959299</v>
      </c>
    </row>
    <row r="238" spans="1:32">
      <c r="A238" s="21" t="s">
        <v>30</v>
      </c>
      <c r="B238" s="26">
        <v>2019</v>
      </c>
      <c r="C238" s="21" t="s">
        <v>40</v>
      </c>
      <c r="D238" s="52">
        <v>43647</v>
      </c>
      <c r="E238" s="27">
        <v>138.4</v>
      </c>
      <c r="F238" s="27">
        <v>164</v>
      </c>
      <c r="G238" s="27">
        <v>138.4</v>
      </c>
      <c r="H238" s="27">
        <v>143.9</v>
      </c>
      <c r="I238" s="27">
        <v>124.4</v>
      </c>
      <c r="J238" s="27">
        <v>146.4</v>
      </c>
      <c r="K238" s="27">
        <v>150.1</v>
      </c>
      <c r="L238" s="27">
        <v>130.6</v>
      </c>
      <c r="M238" s="27">
        <v>110.8</v>
      </c>
      <c r="N238" s="27">
        <v>141.69999999999999</v>
      </c>
      <c r="O238" s="8">
        <f t="shared" si="14"/>
        <v>138.86999999999998</v>
      </c>
      <c r="P238" s="33">
        <f t="shared" si="16"/>
        <v>1.4686540990793446</v>
      </c>
      <c r="Q238" s="33">
        <f t="shared" si="20"/>
        <v>1.8705985915492833</v>
      </c>
      <c r="S238" s="21">
        <v>152.19999999999999</v>
      </c>
      <c r="T238" s="33">
        <f t="shared" si="17"/>
        <v>0.32959789057350036</v>
      </c>
      <c r="U238" s="33">
        <f t="shared" si="21"/>
        <v>9.9710982658959413</v>
      </c>
      <c r="W238" s="27">
        <v>131.19999999999999</v>
      </c>
      <c r="X238" s="33">
        <f t="shared" si="18"/>
        <v>0.76804915514592942</v>
      </c>
      <c r="Y238" s="33">
        <f t="shared" si="22"/>
        <v>2.9827315541601123</v>
      </c>
      <c r="AB238" s="22">
        <v>139.25</v>
      </c>
      <c r="AC238" s="21">
        <v>150</v>
      </c>
      <c r="AD238" s="8">
        <f t="shared" si="15"/>
        <v>144.625</v>
      </c>
      <c r="AE238" s="33">
        <f t="shared" si="19"/>
        <v>0.13848018002422616</v>
      </c>
      <c r="AF238" s="33">
        <f t="shared" si="23"/>
        <v>2.7713625866050853</v>
      </c>
    </row>
    <row r="239" spans="1:32">
      <c r="A239" s="21" t="s">
        <v>30</v>
      </c>
      <c r="B239" s="26">
        <v>2019</v>
      </c>
      <c r="C239" s="21" t="s">
        <v>41</v>
      </c>
      <c r="D239" s="52">
        <v>43678</v>
      </c>
      <c r="E239" s="27">
        <v>139.19999999999999</v>
      </c>
      <c r="F239" s="27">
        <v>161.9</v>
      </c>
      <c r="G239" s="27">
        <v>137.1</v>
      </c>
      <c r="H239" s="27">
        <v>144.6</v>
      </c>
      <c r="I239" s="27">
        <v>124.7</v>
      </c>
      <c r="J239" s="27">
        <v>145.5</v>
      </c>
      <c r="K239" s="27">
        <v>156.19999999999999</v>
      </c>
      <c r="L239" s="27">
        <v>131.5</v>
      </c>
      <c r="M239" s="27">
        <v>111.7</v>
      </c>
      <c r="N239" s="27">
        <v>142.69999999999999</v>
      </c>
      <c r="O239" s="8">
        <f t="shared" si="14"/>
        <v>139.51000000000002</v>
      </c>
      <c r="P239" s="33">
        <f t="shared" si="16"/>
        <v>0.46086267732414726</v>
      </c>
      <c r="Q239" s="33">
        <f t="shared" si="20"/>
        <v>1.0283148671156399</v>
      </c>
      <c r="S239" s="21">
        <v>152.69999999999999</v>
      </c>
      <c r="T239" s="33">
        <f t="shared" si="17"/>
        <v>0.32851511169513803</v>
      </c>
      <c r="U239" s="33">
        <f t="shared" si="21"/>
        <v>9.8561151079136611</v>
      </c>
      <c r="W239" s="27">
        <v>131.4</v>
      </c>
      <c r="X239" s="33">
        <f t="shared" si="18"/>
        <v>0.15243902439025692</v>
      </c>
      <c r="Y239" s="33">
        <f t="shared" si="22"/>
        <v>3.0588235294117689</v>
      </c>
      <c r="AB239" s="22">
        <v>139.25</v>
      </c>
      <c r="AC239" s="21">
        <v>150.19999999999999</v>
      </c>
      <c r="AD239" s="8">
        <f t="shared" si="15"/>
        <v>144.72499999999999</v>
      </c>
      <c r="AE239" s="33">
        <f t="shared" si="19"/>
        <v>6.9144338807256234E-2</v>
      </c>
      <c r="AF239" s="33">
        <f t="shared" si="23"/>
        <v>2.5146095271825626</v>
      </c>
    </row>
    <row r="240" spans="1:32">
      <c r="A240" s="21" t="s">
        <v>30</v>
      </c>
      <c r="B240" s="26">
        <v>2019</v>
      </c>
      <c r="C240" s="21" t="s">
        <v>42</v>
      </c>
      <c r="D240" s="52">
        <v>43709</v>
      </c>
      <c r="E240" s="27">
        <v>140.1</v>
      </c>
      <c r="F240" s="27">
        <v>161.9</v>
      </c>
      <c r="G240" s="27">
        <v>138.30000000000001</v>
      </c>
      <c r="H240" s="27">
        <v>145.69999999999999</v>
      </c>
      <c r="I240" s="27">
        <v>125.1</v>
      </c>
      <c r="J240" s="27">
        <v>143.80000000000001</v>
      </c>
      <c r="K240" s="27">
        <v>163.4</v>
      </c>
      <c r="L240" s="27">
        <v>132.19999999999999</v>
      </c>
      <c r="M240" s="27">
        <v>112.8</v>
      </c>
      <c r="N240" s="27">
        <v>144.19999999999999</v>
      </c>
      <c r="O240" s="8">
        <f t="shared" si="14"/>
        <v>140.75</v>
      </c>
      <c r="P240" s="33">
        <f t="shared" si="16"/>
        <v>0.88882517382265114</v>
      </c>
      <c r="Q240" s="33">
        <f t="shared" si="20"/>
        <v>1.4706942541994239</v>
      </c>
      <c r="S240" s="21">
        <v>153.4</v>
      </c>
      <c r="T240" s="33">
        <f t="shared" si="17"/>
        <v>0.45841519318927121</v>
      </c>
      <c r="U240" s="33">
        <f t="shared" si="21"/>
        <v>10.043041606886657</v>
      </c>
      <c r="W240" s="27">
        <v>131.6</v>
      </c>
      <c r="X240" s="33">
        <f t="shared" si="18"/>
        <v>0.15220700152206135</v>
      </c>
      <c r="Y240" s="33">
        <f t="shared" si="22"/>
        <v>2.5720966484801111</v>
      </c>
      <c r="AB240" s="22">
        <v>139.25</v>
      </c>
      <c r="AC240" s="21">
        <v>150.30000000000001</v>
      </c>
      <c r="AD240" s="8">
        <f t="shared" si="15"/>
        <v>144.77500000000001</v>
      </c>
      <c r="AE240" s="33">
        <f t="shared" si="19"/>
        <v>3.4548281223017008E-2</v>
      </c>
      <c r="AF240" s="33">
        <f t="shared" si="23"/>
        <v>2.2964140611199433</v>
      </c>
    </row>
    <row r="241" spans="1:32">
      <c r="A241" s="21" t="s">
        <v>30</v>
      </c>
      <c r="B241" s="26">
        <v>2019</v>
      </c>
      <c r="C241" s="21" t="s">
        <v>43</v>
      </c>
      <c r="D241" s="52">
        <v>43739</v>
      </c>
      <c r="E241" s="27">
        <v>141</v>
      </c>
      <c r="F241" s="27">
        <v>161.6</v>
      </c>
      <c r="G241" s="27">
        <v>141.19999999999999</v>
      </c>
      <c r="H241" s="27">
        <v>146.5</v>
      </c>
      <c r="I241" s="27">
        <v>125.6</v>
      </c>
      <c r="J241" s="27">
        <v>145.69999999999999</v>
      </c>
      <c r="K241" s="27">
        <v>178.8</v>
      </c>
      <c r="L241" s="27">
        <v>133.1</v>
      </c>
      <c r="M241" s="27">
        <v>113.6</v>
      </c>
      <c r="N241" s="27">
        <v>145.5</v>
      </c>
      <c r="O241" s="8">
        <f t="shared" si="14"/>
        <v>143.25999999999996</v>
      </c>
      <c r="P241" s="33">
        <f t="shared" si="16"/>
        <v>1.7833037300177355</v>
      </c>
      <c r="Q241" s="33">
        <f t="shared" si="20"/>
        <v>4.6075209930631207</v>
      </c>
      <c r="S241" s="21">
        <v>153.69999999999999</v>
      </c>
      <c r="T241" s="33">
        <f t="shared" si="17"/>
        <v>0.19556714471967596</v>
      </c>
      <c r="U241" s="33">
        <f t="shared" si="21"/>
        <v>9.7857142857142776</v>
      </c>
      <c r="W241" s="27">
        <v>131.69999999999999</v>
      </c>
      <c r="X241" s="33">
        <f t="shared" si="18"/>
        <v>7.5987841945284434E-2</v>
      </c>
      <c r="Y241" s="33">
        <f t="shared" si="22"/>
        <v>1.3856812933025273</v>
      </c>
      <c r="AB241" s="22">
        <v>139.25</v>
      </c>
      <c r="AC241" s="21">
        <v>150.6</v>
      </c>
      <c r="AD241" s="8">
        <f t="shared" si="15"/>
        <v>144.92500000000001</v>
      </c>
      <c r="AE241" s="33">
        <f t="shared" si="19"/>
        <v>0.10360904852357497</v>
      </c>
      <c r="AF241" s="33">
        <f t="shared" si="23"/>
        <v>2.3300970873786486</v>
      </c>
    </row>
    <row r="242" spans="1:32">
      <c r="A242" s="21" t="s">
        <v>30</v>
      </c>
      <c r="B242" s="26">
        <v>2019</v>
      </c>
      <c r="C242" s="21" t="s">
        <v>45</v>
      </c>
      <c r="D242" s="52">
        <v>43770</v>
      </c>
      <c r="E242" s="27">
        <v>141.80000000000001</v>
      </c>
      <c r="F242" s="27">
        <v>163.69999999999999</v>
      </c>
      <c r="G242" s="27">
        <v>143.80000000000001</v>
      </c>
      <c r="H242" s="27">
        <v>147.1</v>
      </c>
      <c r="I242" s="27">
        <v>126</v>
      </c>
      <c r="J242" s="27">
        <v>146.19999999999999</v>
      </c>
      <c r="K242" s="27">
        <v>191.4</v>
      </c>
      <c r="L242" s="27">
        <v>136.19999999999999</v>
      </c>
      <c r="M242" s="27">
        <v>113.8</v>
      </c>
      <c r="N242" s="27">
        <v>147.30000000000001</v>
      </c>
      <c r="O242" s="8">
        <f t="shared" si="14"/>
        <v>145.72999999999999</v>
      </c>
      <c r="P242" s="33">
        <f t="shared" si="16"/>
        <v>1.7241379310345022</v>
      </c>
      <c r="Q242" s="33">
        <f t="shared" si="20"/>
        <v>7.7725188581570706</v>
      </c>
      <c r="S242" s="21">
        <v>154.30000000000001</v>
      </c>
      <c r="T242" s="33">
        <f t="shared" si="17"/>
        <v>0.39037085230970903</v>
      </c>
      <c r="U242" s="33">
        <f t="shared" si="21"/>
        <v>6.5607734806629834</v>
      </c>
      <c r="W242" s="27">
        <v>132.1</v>
      </c>
      <c r="X242" s="33">
        <f t="shared" si="18"/>
        <v>0.30372057706910077</v>
      </c>
      <c r="Y242" s="33">
        <f t="shared" si="22"/>
        <v>0.99388379204891653</v>
      </c>
      <c r="AB242" s="22">
        <v>139.25</v>
      </c>
      <c r="AC242" s="21">
        <v>150.9</v>
      </c>
      <c r="AD242" s="8">
        <f t="shared" si="15"/>
        <v>145.07499999999999</v>
      </c>
      <c r="AE242" s="33">
        <f t="shared" si="19"/>
        <v>0.10350181128168173</v>
      </c>
      <c r="AF242" s="33">
        <f t="shared" si="23"/>
        <v>1.1857018308631133</v>
      </c>
    </row>
    <row r="243" spans="1:32">
      <c r="A243" s="21" t="s">
        <v>30</v>
      </c>
      <c r="B243" s="26">
        <v>2019</v>
      </c>
      <c r="C243" s="21" t="s">
        <v>46</v>
      </c>
      <c r="D243" s="52">
        <v>43800</v>
      </c>
      <c r="E243" s="27">
        <v>142.80000000000001</v>
      </c>
      <c r="F243" s="27">
        <v>165.3</v>
      </c>
      <c r="G243" s="27">
        <v>149.5</v>
      </c>
      <c r="H243" s="27">
        <v>148.69999999999999</v>
      </c>
      <c r="I243" s="27">
        <v>127.5</v>
      </c>
      <c r="J243" s="27">
        <v>144.30000000000001</v>
      </c>
      <c r="K243" s="27">
        <v>209.5</v>
      </c>
      <c r="L243" s="27">
        <v>138.80000000000001</v>
      </c>
      <c r="M243" s="27">
        <v>113.6</v>
      </c>
      <c r="N243" s="27">
        <v>149.1</v>
      </c>
      <c r="O243" s="8">
        <f t="shared" si="14"/>
        <v>148.90999999999997</v>
      </c>
      <c r="P243" s="33">
        <f t="shared" si="16"/>
        <v>2.1821176147670203</v>
      </c>
      <c r="Q243" s="33">
        <f t="shared" si="20"/>
        <v>9.9859664672427897</v>
      </c>
      <c r="S243" s="21">
        <v>154.80000000000001</v>
      </c>
      <c r="T243" s="33">
        <f t="shared" si="17"/>
        <v>0.32404406999351909</v>
      </c>
      <c r="U243" s="33">
        <f t="shared" si="21"/>
        <v>6.4649243466299895</v>
      </c>
      <c r="W243" s="27">
        <v>135</v>
      </c>
      <c r="X243" s="33">
        <f t="shared" si="18"/>
        <v>2.195306585919762</v>
      </c>
      <c r="Y243" s="33">
        <f t="shared" si="22"/>
        <v>3.607060629316952</v>
      </c>
      <c r="AB243" s="22">
        <v>139.25</v>
      </c>
      <c r="AC243" s="21">
        <v>151.19999999999999</v>
      </c>
      <c r="AD243" s="8">
        <f t="shared" si="15"/>
        <v>145.22499999999999</v>
      </c>
      <c r="AE243" s="33">
        <f t="shared" si="19"/>
        <v>0.10339479579528223</v>
      </c>
      <c r="AF243" s="33">
        <f t="shared" si="23"/>
        <v>1.114012184508264</v>
      </c>
    </row>
    <row r="244" spans="1:32">
      <c r="A244" s="21" t="s">
        <v>30</v>
      </c>
      <c r="B244" s="26">
        <v>2020</v>
      </c>
      <c r="C244" s="21" t="s">
        <v>31</v>
      </c>
      <c r="D244" s="52">
        <v>43831</v>
      </c>
      <c r="E244" s="27">
        <v>143.69999999999999</v>
      </c>
      <c r="F244" s="27">
        <v>167.3</v>
      </c>
      <c r="G244" s="27">
        <v>153.5</v>
      </c>
      <c r="H244" s="27">
        <v>150.5</v>
      </c>
      <c r="I244" s="27">
        <v>132</v>
      </c>
      <c r="J244" s="27">
        <v>142.19999999999999</v>
      </c>
      <c r="K244" s="27">
        <v>191.5</v>
      </c>
      <c r="L244" s="27">
        <v>141.1</v>
      </c>
      <c r="M244" s="27">
        <v>113.8</v>
      </c>
      <c r="N244" s="27">
        <v>151.6</v>
      </c>
      <c r="O244" s="8">
        <f t="shared" si="14"/>
        <v>148.71999999999997</v>
      </c>
      <c r="P244" s="33">
        <f t="shared" si="16"/>
        <v>-0.12759384863340123</v>
      </c>
      <c r="Q244" s="33">
        <f t="shared" si="20"/>
        <v>10.91885441527443</v>
      </c>
      <c r="S244" s="21">
        <v>155.69999999999999</v>
      </c>
      <c r="T244" s="33">
        <f t="shared" si="17"/>
        <v>0.58139534883719457</v>
      </c>
      <c r="U244" s="33">
        <f t="shared" si="21"/>
        <v>4.0775401069518677</v>
      </c>
      <c r="W244" s="27">
        <v>136.30000000000001</v>
      </c>
      <c r="X244" s="33">
        <f t="shared" si="18"/>
        <v>0.96296296296297135</v>
      </c>
      <c r="Y244" s="33">
        <f t="shared" si="22"/>
        <v>5.7408844065166837</v>
      </c>
      <c r="AB244" s="22">
        <v>139.25</v>
      </c>
      <c r="AC244" s="21">
        <v>151.69999999999999</v>
      </c>
      <c r="AD244" s="8">
        <f t="shared" si="15"/>
        <v>145.47499999999999</v>
      </c>
      <c r="AE244" s="33">
        <f t="shared" si="19"/>
        <v>0.1721466689619556</v>
      </c>
      <c r="AF244" s="33">
        <f t="shared" si="23"/>
        <v>0.76190476190475798</v>
      </c>
    </row>
    <row r="245" spans="1:32">
      <c r="A245" s="21" t="s">
        <v>30</v>
      </c>
      <c r="B245" s="26">
        <v>2020</v>
      </c>
      <c r="C245" s="21" t="s">
        <v>35</v>
      </c>
      <c r="D245" s="52">
        <v>43862</v>
      </c>
      <c r="E245" s="27">
        <v>144.19999999999999</v>
      </c>
      <c r="F245" s="27">
        <v>167.5</v>
      </c>
      <c r="G245" s="27">
        <v>150.9</v>
      </c>
      <c r="H245" s="27">
        <v>150.9</v>
      </c>
      <c r="I245" s="27">
        <v>133.69999999999999</v>
      </c>
      <c r="J245" s="27">
        <v>140.69999999999999</v>
      </c>
      <c r="K245" s="27">
        <v>165.1</v>
      </c>
      <c r="L245" s="27">
        <v>141.80000000000001</v>
      </c>
      <c r="M245" s="27">
        <v>113.1</v>
      </c>
      <c r="N245" s="27">
        <v>152.80000000000001</v>
      </c>
      <c r="O245" s="8">
        <f t="shared" si="14"/>
        <v>146.07</v>
      </c>
      <c r="P245" s="33">
        <f t="shared" si="16"/>
        <v>-1.7818719741796516</v>
      </c>
      <c r="Q245" s="33">
        <f t="shared" si="20"/>
        <v>9.8766360764254522</v>
      </c>
      <c r="S245" s="21">
        <v>156.19999999999999</v>
      </c>
      <c r="T245" s="33">
        <f t="shared" si="17"/>
        <v>0.32113037893384716</v>
      </c>
      <c r="U245" s="33">
        <f t="shared" si="21"/>
        <v>4.4117647058823488</v>
      </c>
      <c r="W245" s="27">
        <v>136</v>
      </c>
      <c r="X245" s="33">
        <f t="shared" si="18"/>
        <v>-0.22010271460015507</v>
      </c>
      <c r="Y245" s="33">
        <f t="shared" si="22"/>
        <v>5.7542768273717</v>
      </c>
      <c r="AB245" s="22">
        <v>139.25</v>
      </c>
      <c r="AC245" s="21">
        <v>151.80000000000001</v>
      </c>
      <c r="AD245" s="8">
        <f t="shared" si="15"/>
        <v>145.52500000000001</v>
      </c>
      <c r="AE245" s="33">
        <f t="shared" si="19"/>
        <v>3.4370166695316284E-2</v>
      </c>
      <c r="AF245" s="33">
        <f t="shared" si="23"/>
        <v>0.58752376015206109</v>
      </c>
    </row>
    <row r="246" spans="1:32">
      <c r="A246" s="21" t="s">
        <v>30</v>
      </c>
      <c r="B246" s="26">
        <v>2020</v>
      </c>
      <c r="C246" s="21" t="s">
        <v>36</v>
      </c>
      <c r="D246" s="52">
        <v>43891</v>
      </c>
      <c r="E246" s="27">
        <v>144.4</v>
      </c>
      <c r="F246" s="27">
        <v>166.8</v>
      </c>
      <c r="G246" s="27">
        <v>147.6</v>
      </c>
      <c r="H246" s="27">
        <v>151.69999999999999</v>
      </c>
      <c r="I246" s="27">
        <v>133.30000000000001</v>
      </c>
      <c r="J246" s="27">
        <v>141.80000000000001</v>
      </c>
      <c r="K246" s="27">
        <v>152.30000000000001</v>
      </c>
      <c r="L246" s="27">
        <v>141.80000000000001</v>
      </c>
      <c r="M246" s="27">
        <v>112.6</v>
      </c>
      <c r="N246" s="27">
        <v>154</v>
      </c>
      <c r="O246" s="8">
        <f t="shared" si="14"/>
        <v>144.62999999999997</v>
      </c>
      <c r="P246" s="33">
        <f t="shared" si="16"/>
        <v>-0.98582871226126256</v>
      </c>
      <c r="Q246" s="33">
        <f t="shared" si="20"/>
        <v>8.8261851015801049</v>
      </c>
      <c r="S246" s="21">
        <v>156.69999999999999</v>
      </c>
      <c r="T246" s="33">
        <f t="shared" si="17"/>
        <v>0.32010243277848915</v>
      </c>
      <c r="U246" s="33">
        <f t="shared" si="21"/>
        <v>4.5363575717144649</v>
      </c>
      <c r="W246" s="27">
        <v>135.80000000000001</v>
      </c>
      <c r="X246" s="33">
        <f t="shared" si="18"/>
        <v>-0.14705882352940342</v>
      </c>
      <c r="Y246" s="33">
        <f t="shared" si="22"/>
        <v>5.1083591331269531</v>
      </c>
      <c r="AB246" s="22">
        <v>139.25</v>
      </c>
      <c r="AC246" s="21">
        <v>151.5</v>
      </c>
      <c r="AD246" s="8">
        <f t="shared" si="15"/>
        <v>145.375</v>
      </c>
      <c r="AE246" s="33">
        <f t="shared" si="19"/>
        <v>-0.10307507301151396</v>
      </c>
      <c r="AF246" s="33">
        <f t="shared" si="23"/>
        <v>0.48384309659581026</v>
      </c>
    </row>
    <row r="247" spans="1:32">
      <c r="A247" s="21" t="s">
        <v>30</v>
      </c>
      <c r="B247" s="26">
        <v>2020</v>
      </c>
      <c r="C247" s="21" t="s">
        <v>37</v>
      </c>
      <c r="D247" s="52">
        <v>43922</v>
      </c>
      <c r="E247" s="27">
        <v>147.19999999999999</v>
      </c>
      <c r="F247" s="27" t="s">
        <v>32</v>
      </c>
      <c r="G247" s="27">
        <v>146.9</v>
      </c>
      <c r="H247" s="27">
        <v>155.6</v>
      </c>
      <c r="I247" s="27">
        <v>137.1</v>
      </c>
      <c r="J247" s="27">
        <v>147.30000000000001</v>
      </c>
      <c r="K247" s="27">
        <v>162.69999999999999</v>
      </c>
      <c r="L247" s="27">
        <v>150.19999999999999</v>
      </c>
      <c r="M247" s="27">
        <v>119.8</v>
      </c>
      <c r="N247" s="27">
        <v>158.69999999999999</v>
      </c>
      <c r="O247" s="8">
        <f t="shared" si="14"/>
        <v>147.2777777777778</v>
      </c>
      <c r="P247" s="33">
        <f t="shared" si="16"/>
        <v>1.8307251453901912</v>
      </c>
      <c r="Q247" s="33">
        <f t="shared" si="20"/>
        <v>10.726845934725041</v>
      </c>
      <c r="S247" s="28">
        <v>154.30000000000001</v>
      </c>
      <c r="T247" s="33">
        <f t="shared" si="17"/>
        <v>-1.5315890236119831</v>
      </c>
      <c r="U247" s="33">
        <f t="shared" si="21"/>
        <v>2.5930851063829823</v>
      </c>
      <c r="W247" s="27" t="s">
        <v>32</v>
      </c>
      <c r="X247" s="33" t="str">
        <f t="shared" si="18"/>
        <v>NA</v>
      </c>
      <c r="Y247" s="33" t="str">
        <f t="shared" si="22"/>
        <v>NA</v>
      </c>
      <c r="AB247" s="28">
        <v>139.25</v>
      </c>
      <c r="AC247" s="28" t="s">
        <v>32</v>
      </c>
      <c r="AD247" s="8">
        <f t="shared" si="15"/>
        <v>139.25</v>
      </c>
      <c r="AE247" s="33">
        <f t="shared" si="19"/>
        <v>-4.2132416165090278</v>
      </c>
      <c r="AF247" s="33">
        <f t="shared" si="23"/>
        <v>-3.7165082108902334</v>
      </c>
    </row>
    <row r="248" spans="1:32">
      <c r="A248" s="21" t="s">
        <v>30</v>
      </c>
      <c r="B248" s="26">
        <v>2020</v>
      </c>
      <c r="C248" s="21" t="s">
        <v>38</v>
      </c>
      <c r="D248" s="52">
        <v>43952</v>
      </c>
      <c r="E248" s="27" t="s">
        <v>32</v>
      </c>
      <c r="F248" s="27" t="s">
        <v>32</v>
      </c>
      <c r="G248" s="27" t="s">
        <v>32</v>
      </c>
      <c r="H248" s="27" t="s">
        <v>32</v>
      </c>
      <c r="I248" s="27" t="s">
        <v>32</v>
      </c>
      <c r="J248" s="27" t="s">
        <v>32</v>
      </c>
      <c r="K248" s="27" t="s">
        <v>32</v>
      </c>
      <c r="L248" s="27" t="s">
        <v>32</v>
      </c>
      <c r="M248" s="27" t="s">
        <v>32</v>
      </c>
      <c r="N248" s="27" t="s">
        <v>32</v>
      </c>
      <c r="O248" s="8" t="str">
        <f t="shared" si="14"/>
        <v>NA</v>
      </c>
      <c r="P248" s="33" t="str">
        <f t="shared" si="16"/>
        <v>NA</v>
      </c>
      <c r="Q248" s="33" t="str">
        <f t="shared" si="20"/>
        <v>NA</v>
      </c>
      <c r="S248" s="28" t="s">
        <v>32</v>
      </c>
      <c r="T248" s="33" t="str">
        <f t="shared" si="17"/>
        <v>NA</v>
      </c>
      <c r="U248" s="33" t="str">
        <f t="shared" si="21"/>
        <v>NA</v>
      </c>
      <c r="W248" s="27" t="s">
        <v>32</v>
      </c>
      <c r="X248" s="33" t="str">
        <f t="shared" si="18"/>
        <v>NA</v>
      </c>
      <c r="Y248" s="33" t="str">
        <f t="shared" si="22"/>
        <v>NA</v>
      </c>
      <c r="AB248" s="28">
        <v>139.25</v>
      </c>
      <c r="AC248" s="28" t="s">
        <v>32</v>
      </c>
      <c r="AD248" s="8">
        <f t="shared" si="15"/>
        <v>139.25</v>
      </c>
      <c r="AE248" s="33">
        <f t="shared" si="19"/>
        <v>0</v>
      </c>
      <c r="AF248" s="33">
        <f t="shared" si="23"/>
        <v>-3.5497835497835499</v>
      </c>
    </row>
    <row r="249" spans="1:32">
      <c r="A249" s="21" t="s">
        <v>30</v>
      </c>
      <c r="B249" s="26">
        <v>2020</v>
      </c>
      <c r="C249" s="21" t="s">
        <v>39</v>
      </c>
      <c r="D249" s="52">
        <v>43983</v>
      </c>
      <c r="E249" s="27">
        <v>148.19999999999999</v>
      </c>
      <c r="F249" s="27">
        <v>190.3</v>
      </c>
      <c r="G249" s="27">
        <v>149.4</v>
      </c>
      <c r="H249" s="27">
        <v>153.30000000000001</v>
      </c>
      <c r="I249" s="27">
        <v>138.19999999999999</v>
      </c>
      <c r="J249" s="27">
        <v>143.19999999999999</v>
      </c>
      <c r="K249" s="27">
        <v>148.9</v>
      </c>
      <c r="L249" s="27">
        <v>150.30000000000001</v>
      </c>
      <c r="M249" s="27">
        <v>113.2</v>
      </c>
      <c r="N249" s="27">
        <v>159.80000000000001</v>
      </c>
      <c r="O249" s="8">
        <f t="shared" si="14"/>
        <v>149.48000000000002</v>
      </c>
      <c r="P249" s="33" t="str">
        <f t="shared" si="16"/>
        <v>NA</v>
      </c>
      <c r="Q249" s="33">
        <f t="shared" si="20"/>
        <v>9.2211018559111757</v>
      </c>
      <c r="S249" s="21">
        <v>158.19999999999999</v>
      </c>
      <c r="T249" s="33" t="str">
        <f t="shared" si="17"/>
        <v>NA</v>
      </c>
      <c r="U249" s="33">
        <f t="shared" si="21"/>
        <v>4.284772577455505</v>
      </c>
      <c r="W249" s="27">
        <v>141.4</v>
      </c>
      <c r="X249" s="33" t="str">
        <f t="shared" si="18"/>
        <v>NA</v>
      </c>
      <c r="Y249" s="33">
        <f t="shared" si="22"/>
        <v>8.6021505376344223</v>
      </c>
      <c r="AB249" s="22">
        <v>139.25</v>
      </c>
      <c r="AC249" s="21">
        <v>151.69999999999999</v>
      </c>
      <c r="AD249" s="8">
        <f t="shared" si="15"/>
        <v>145.47499999999999</v>
      </c>
      <c r="AE249" s="33">
        <f t="shared" si="19"/>
        <v>4.4703770197486499</v>
      </c>
      <c r="AF249" s="33">
        <f t="shared" si="23"/>
        <v>0.72702094512721682</v>
      </c>
    </row>
    <row r="250" spans="1:32">
      <c r="A250" s="21" t="s">
        <v>30</v>
      </c>
      <c r="B250" s="26">
        <v>2020</v>
      </c>
      <c r="C250" s="21" t="s">
        <v>40</v>
      </c>
      <c r="D250" s="52">
        <v>44013</v>
      </c>
      <c r="E250" s="27">
        <v>148.19999999999999</v>
      </c>
      <c r="F250" s="27">
        <v>190.3</v>
      </c>
      <c r="G250" s="27">
        <v>149.4</v>
      </c>
      <c r="H250" s="27">
        <v>153.30000000000001</v>
      </c>
      <c r="I250" s="27">
        <v>138.19999999999999</v>
      </c>
      <c r="J250" s="27">
        <v>143.19999999999999</v>
      </c>
      <c r="K250" s="27">
        <v>148.9</v>
      </c>
      <c r="L250" s="27">
        <v>150.30000000000001</v>
      </c>
      <c r="M250" s="27">
        <v>113.2</v>
      </c>
      <c r="N250" s="27">
        <v>159.80000000000001</v>
      </c>
      <c r="O250" s="8">
        <f t="shared" si="14"/>
        <v>149.48000000000002</v>
      </c>
      <c r="P250" s="33">
        <f t="shared" si="16"/>
        <v>0</v>
      </c>
      <c r="Q250" s="33">
        <f t="shared" si="20"/>
        <v>7.6402390725138938</v>
      </c>
      <c r="S250" s="21">
        <v>158.19999999999999</v>
      </c>
      <c r="T250" s="33">
        <f t="shared" si="17"/>
        <v>0</v>
      </c>
      <c r="U250" s="33">
        <f t="shared" si="21"/>
        <v>3.9421813403416559</v>
      </c>
      <c r="W250" s="27">
        <v>141.4</v>
      </c>
      <c r="X250" s="33">
        <f t="shared" si="18"/>
        <v>0</v>
      </c>
      <c r="Y250" s="33">
        <f t="shared" si="22"/>
        <v>7.7743902439024533</v>
      </c>
      <c r="AB250" s="22">
        <v>139.25</v>
      </c>
      <c r="AC250" s="21">
        <v>151.69999999999999</v>
      </c>
      <c r="AD250" s="8">
        <f t="shared" si="15"/>
        <v>145.47499999999999</v>
      </c>
      <c r="AE250" s="33">
        <f t="shared" si="19"/>
        <v>0</v>
      </c>
      <c r="AF250" s="33">
        <f t="shared" si="23"/>
        <v>0.58772687986170746</v>
      </c>
    </row>
    <row r="251" spans="1:32">
      <c r="A251" s="21" t="s">
        <v>30</v>
      </c>
      <c r="B251" s="26">
        <v>2020</v>
      </c>
      <c r="C251" s="21" t="s">
        <v>41</v>
      </c>
      <c r="D251" s="52">
        <v>44044</v>
      </c>
      <c r="E251" s="27">
        <v>147.6</v>
      </c>
      <c r="F251" s="27">
        <v>187.2</v>
      </c>
      <c r="G251" s="27">
        <v>148.4</v>
      </c>
      <c r="H251" s="27">
        <v>153.30000000000001</v>
      </c>
      <c r="I251" s="27">
        <v>139.80000000000001</v>
      </c>
      <c r="J251" s="27">
        <v>146.9</v>
      </c>
      <c r="K251" s="27">
        <v>171</v>
      </c>
      <c r="L251" s="27">
        <v>149.9</v>
      </c>
      <c r="M251" s="27">
        <v>114.2</v>
      </c>
      <c r="N251" s="27">
        <v>160</v>
      </c>
      <c r="O251" s="8">
        <f t="shared" si="14"/>
        <v>151.82999999999998</v>
      </c>
      <c r="P251" s="33">
        <f t="shared" si="16"/>
        <v>1.5721166711265493</v>
      </c>
      <c r="Q251" s="33">
        <f t="shared" si="20"/>
        <v>8.8309081786251618</v>
      </c>
      <c r="S251" s="21">
        <v>158.80000000000001</v>
      </c>
      <c r="T251" s="33">
        <f t="shared" si="17"/>
        <v>0.37926675094818124</v>
      </c>
      <c r="U251" s="33">
        <f t="shared" si="21"/>
        <v>3.9947609692207093</v>
      </c>
      <c r="W251" s="27">
        <v>143.6</v>
      </c>
      <c r="X251" s="33">
        <f t="shared" si="18"/>
        <v>1.5558698727015479</v>
      </c>
      <c r="Y251" s="33">
        <f t="shared" si="22"/>
        <v>9.2846270928462626</v>
      </c>
      <c r="AB251" s="22">
        <v>139.25</v>
      </c>
      <c r="AC251" s="21">
        <v>151.9</v>
      </c>
      <c r="AD251" s="8">
        <f t="shared" si="15"/>
        <v>145.57499999999999</v>
      </c>
      <c r="AE251" s="33">
        <f t="shared" si="19"/>
        <v>6.8740333390613029E-2</v>
      </c>
      <c r="AF251" s="33">
        <f t="shared" si="23"/>
        <v>0.58732078079115169</v>
      </c>
    </row>
    <row r="252" spans="1:32">
      <c r="A252" s="21" t="s">
        <v>30</v>
      </c>
      <c r="B252" s="26">
        <v>2020</v>
      </c>
      <c r="C252" s="21" t="s">
        <v>42</v>
      </c>
      <c r="D252" s="52">
        <v>44075</v>
      </c>
      <c r="E252" s="27">
        <v>146.9</v>
      </c>
      <c r="F252" s="27">
        <v>183.9</v>
      </c>
      <c r="G252" s="27">
        <v>149.5</v>
      </c>
      <c r="H252" s="27">
        <v>153.4</v>
      </c>
      <c r="I252" s="27">
        <v>140.4</v>
      </c>
      <c r="J252" s="27">
        <v>147</v>
      </c>
      <c r="K252" s="27">
        <v>178.8</v>
      </c>
      <c r="L252" s="27">
        <v>149.30000000000001</v>
      </c>
      <c r="M252" s="27">
        <v>115.1</v>
      </c>
      <c r="N252" s="27">
        <v>160</v>
      </c>
      <c r="O252" s="8">
        <f t="shared" si="14"/>
        <v>152.43</v>
      </c>
      <c r="P252" s="33">
        <f t="shared" si="16"/>
        <v>0.39517881841534791</v>
      </c>
      <c r="Q252" s="33">
        <f t="shared" si="20"/>
        <v>8.2984014209591521</v>
      </c>
      <c r="S252" s="21">
        <v>159.1</v>
      </c>
      <c r="T252" s="33">
        <f t="shared" si="17"/>
        <v>0.18891687657429654</v>
      </c>
      <c r="U252" s="33">
        <f t="shared" si="21"/>
        <v>3.7157757496740476</v>
      </c>
      <c r="W252" s="27">
        <v>144.6</v>
      </c>
      <c r="X252" s="33">
        <f t="shared" si="18"/>
        <v>0.69637883008356549</v>
      </c>
      <c r="Y252" s="33">
        <f t="shared" si="22"/>
        <v>9.8784194528875382</v>
      </c>
      <c r="AB252" s="22">
        <v>139.25</v>
      </c>
      <c r="AC252" s="21">
        <v>151.6</v>
      </c>
      <c r="AD252" s="8">
        <f t="shared" si="15"/>
        <v>145.42500000000001</v>
      </c>
      <c r="AE252" s="33">
        <f t="shared" si="19"/>
        <v>-0.10303967027303952</v>
      </c>
      <c r="AF252" s="33">
        <f t="shared" si="23"/>
        <v>0.44897254360214517</v>
      </c>
    </row>
    <row r="253" spans="1:32">
      <c r="A253" s="21" t="s">
        <v>30</v>
      </c>
      <c r="B253" s="26">
        <v>2020</v>
      </c>
      <c r="C253" s="21" t="s">
        <v>43</v>
      </c>
      <c r="D253" s="52">
        <v>44105</v>
      </c>
      <c r="E253" s="27">
        <v>146</v>
      </c>
      <c r="F253" s="27">
        <v>186.3</v>
      </c>
      <c r="G253" s="27">
        <v>159.19999999999999</v>
      </c>
      <c r="H253" s="27">
        <v>153.6</v>
      </c>
      <c r="I253" s="27">
        <v>142.6</v>
      </c>
      <c r="J253" s="27">
        <v>147.19999999999999</v>
      </c>
      <c r="K253" s="27">
        <v>200.6</v>
      </c>
      <c r="L253" s="27">
        <v>150.30000000000001</v>
      </c>
      <c r="M253" s="27">
        <v>115.3</v>
      </c>
      <c r="N253" s="27">
        <v>160.9</v>
      </c>
      <c r="O253" s="8">
        <f t="shared" si="14"/>
        <v>156.19999999999999</v>
      </c>
      <c r="P253" s="33">
        <f t="shared" si="16"/>
        <v>2.4732664173718963</v>
      </c>
      <c r="Q253" s="33">
        <f t="shared" si="20"/>
        <v>9.0325282702778367</v>
      </c>
      <c r="S253" s="21">
        <v>159.5</v>
      </c>
      <c r="T253" s="33">
        <f t="shared" si="17"/>
        <v>0.25141420490258054</v>
      </c>
      <c r="U253" s="33">
        <f t="shared" si="21"/>
        <v>3.773584905660385</v>
      </c>
      <c r="W253" s="27">
        <v>146.4</v>
      </c>
      <c r="X253" s="33">
        <f t="shared" si="18"/>
        <v>1.2448132780083065</v>
      </c>
      <c r="Y253" s="33">
        <f t="shared" si="22"/>
        <v>11.161731207289307</v>
      </c>
      <c r="AB253" s="22">
        <v>139.25</v>
      </c>
      <c r="AC253" s="21">
        <v>152</v>
      </c>
      <c r="AD253" s="8">
        <f t="shared" si="15"/>
        <v>145.625</v>
      </c>
      <c r="AE253" s="33">
        <f t="shared" si="19"/>
        <v>0.13752793536186256</v>
      </c>
      <c r="AF253" s="33">
        <f t="shared" si="23"/>
        <v>0.48300845264791348</v>
      </c>
    </row>
    <row r="254" spans="1:32">
      <c r="A254" s="21" t="s">
        <v>30</v>
      </c>
      <c r="B254" s="26">
        <v>2020</v>
      </c>
      <c r="C254" s="21" t="s">
        <v>45</v>
      </c>
      <c r="D254" s="52">
        <v>44136</v>
      </c>
      <c r="E254" s="27">
        <v>145.4</v>
      </c>
      <c r="F254" s="27">
        <v>188.6</v>
      </c>
      <c r="G254" s="27">
        <v>171.6</v>
      </c>
      <c r="H254" s="27">
        <v>153.80000000000001</v>
      </c>
      <c r="I254" s="27">
        <v>145.4</v>
      </c>
      <c r="J254" s="27">
        <v>146.5</v>
      </c>
      <c r="K254" s="27">
        <v>222.2</v>
      </c>
      <c r="L254" s="27">
        <v>155.9</v>
      </c>
      <c r="M254" s="27">
        <v>114.9</v>
      </c>
      <c r="N254" s="27">
        <v>162</v>
      </c>
      <c r="O254" s="8">
        <f t="shared" si="14"/>
        <v>160.63000000000002</v>
      </c>
      <c r="P254" s="33">
        <f t="shared" si="16"/>
        <v>2.8361075544174366</v>
      </c>
      <c r="Q254" s="33">
        <f t="shared" si="20"/>
        <v>10.224387566046824</v>
      </c>
      <c r="S254" s="21">
        <v>160.4</v>
      </c>
      <c r="T254" s="33">
        <f t="shared" si="17"/>
        <v>0.56426332288401615</v>
      </c>
      <c r="U254" s="33">
        <f t="shared" si="21"/>
        <v>3.9533376539209288</v>
      </c>
      <c r="W254" s="27">
        <v>146.1</v>
      </c>
      <c r="X254" s="33">
        <f t="shared" si="18"/>
        <v>-0.20491803278689302</v>
      </c>
      <c r="Y254" s="33">
        <f t="shared" si="22"/>
        <v>10.598031794095384</v>
      </c>
      <c r="AB254" s="22">
        <v>139.25</v>
      </c>
      <c r="AC254" s="21">
        <v>152.80000000000001</v>
      </c>
      <c r="AD254" s="8">
        <f t="shared" si="15"/>
        <v>146.02500000000001</v>
      </c>
      <c r="AE254" s="33">
        <f t="shared" si="19"/>
        <v>0.27467811158798677</v>
      </c>
      <c r="AF254" s="33">
        <f t="shared" si="23"/>
        <v>0.6548337067034411</v>
      </c>
    </row>
    <row r="255" spans="1:32">
      <c r="A255" s="21" t="s">
        <v>30</v>
      </c>
      <c r="B255" s="26">
        <v>2020</v>
      </c>
      <c r="C255" s="21" t="s">
        <v>46</v>
      </c>
      <c r="D255" s="52">
        <v>44166</v>
      </c>
      <c r="E255" s="27">
        <v>144.6</v>
      </c>
      <c r="F255" s="27">
        <v>188.5</v>
      </c>
      <c r="G255" s="27">
        <v>173.4</v>
      </c>
      <c r="H255" s="27">
        <v>154</v>
      </c>
      <c r="I255" s="27">
        <v>150</v>
      </c>
      <c r="J255" s="27">
        <v>145.9</v>
      </c>
      <c r="K255" s="27">
        <v>225.2</v>
      </c>
      <c r="L255" s="27">
        <v>159.5</v>
      </c>
      <c r="M255" s="27">
        <v>114.4</v>
      </c>
      <c r="N255" s="27">
        <v>163.5</v>
      </c>
      <c r="O255" s="8">
        <f t="shared" si="14"/>
        <v>161.9</v>
      </c>
      <c r="P255" s="33">
        <f t="shared" si="16"/>
        <v>0.7906368673348575</v>
      </c>
      <c r="Q255" s="33">
        <f t="shared" si="20"/>
        <v>8.7233899670942439</v>
      </c>
      <c r="S255" s="21">
        <v>161.6</v>
      </c>
      <c r="T255" s="33">
        <f t="shared" si="17"/>
        <v>0.74812967581046663</v>
      </c>
      <c r="U255" s="33">
        <f t="shared" si="21"/>
        <v>4.3927648578811258</v>
      </c>
      <c r="W255" s="27">
        <v>146.4</v>
      </c>
      <c r="X255" s="33">
        <f t="shared" si="18"/>
        <v>0.20533880903491536</v>
      </c>
      <c r="Y255" s="33">
        <f t="shared" si="22"/>
        <v>8.4444444444444482</v>
      </c>
      <c r="AB255" s="22">
        <v>139.25</v>
      </c>
      <c r="AC255" s="21">
        <v>153.4</v>
      </c>
      <c r="AD255" s="8">
        <f t="shared" si="15"/>
        <v>146.32499999999999</v>
      </c>
      <c r="AE255" s="33">
        <f t="shared" si="19"/>
        <v>0.20544427324087172</v>
      </c>
      <c r="AF255" s="33">
        <f t="shared" si="23"/>
        <v>0.75744534343260062</v>
      </c>
    </row>
    <row r="256" spans="1:32">
      <c r="A256" s="21" t="s">
        <v>30</v>
      </c>
      <c r="B256" s="26">
        <v>2021</v>
      </c>
      <c r="C256" s="21" t="s">
        <v>31</v>
      </c>
      <c r="D256" s="52">
        <v>44197</v>
      </c>
      <c r="E256" s="27">
        <v>143.4</v>
      </c>
      <c r="F256" s="27">
        <v>187.5</v>
      </c>
      <c r="G256" s="27">
        <v>173.4</v>
      </c>
      <c r="H256" s="27">
        <v>154</v>
      </c>
      <c r="I256" s="27">
        <v>154.80000000000001</v>
      </c>
      <c r="J256" s="27">
        <v>147</v>
      </c>
      <c r="K256" s="27">
        <v>187.8</v>
      </c>
      <c r="L256" s="27">
        <v>159.5</v>
      </c>
      <c r="M256" s="27">
        <v>113.8</v>
      </c>
      <c r="N256" s="27">
        <v>164.5</v>
      </c>
      <c r="O256" s="8">
        <f t="shared" si="14"/>
        <v>158.57</v>
      </c>
      <c r="P256" s="33">
        <f t="shared" si="16"/>
        <v>-2.0568252007412058</v>
      </c>
      <c r="Q256" s="33">
        <f t="shared" si="20"/>
        <v>6.623184507799909</v>
      </c>
      <c r="S256" s="21">
        <v>162.5</v>
      </c>
      <c r="T256" s="33">
        <f t="shared" si="17"/>
        <v>0.55693069306931042</v>
      </c>
      <c r="U256" s="33">
        <f t="shared" si="21"/>
        <v>4.3673731535003286</v>
      </c>
      <c r="W256" s="27">
        <v>147.5</v>
      </c>
      <c r="X256" s="33">
        <f t="shared" si="18"/>
        <v>0.7513661202185753</v>
      </c>
      <c r="Y256" s="33">
        <f t="shared" si="22"/>
        <v>8.2171680117388028</v>
      </c>
      <c r="AB256" s="22">
        <v>139.25</v>
      </c>
      <c r="AC256" s="21">
        <v>153.9</v>
      </c>
      <c r="AD256" s="8">
        <f t="shared" si="15"/>
        <v>146.57499999999999</v>
      </c>
      <c r="AE256" s="33">
        <f t="shared" si="19"/>
        <v>0.17085255424568599</v>
      </c>
      <c r="AF256" s="33">
        <f t="shared" si="23"/>
        <v>0.75614366729678251</v>
      </c>
    </row>
    <row r="257" spans="1:38">
      <c r="A257" s="21" t="s">
        <v>30</v>
      </c>
      <c r="B257" s="26">
        <v>2021</v>
      </c>
      <c r="C257" s="21" t="s">
        <v>35</v>
      </c>
      <c r="D257" s="52">
        <v>44228</v>
      </c>
      <c r="E257" s="27">
        <v>142.80000000000001</v>
      </c>
      <c r="F257" s="27">
        <v>184</v>
      </c>
      <c r="G257" s="27">
        <v>168</v>
      </c>
      <c r="H257" s="27">
        <v>154.4</v>
      </c>
      <c r="I257" s="27">
        <v>163</v>
      </c>
      <c r="J257" s="27">
        <v>147.80000000000001</v>
      </c>
      <c r="K257" s="27">
        <v>149.69999999999999</v>
      </c>
      <c r="L257" s="27">
        <v>158.30000000000001</v>
      </c>
      <c r="M257" s="27">
        <v>111.8</v>
      </c>
      <c r="N257" s="27">
        <v>165</v>
      </c>
      <c r="O257" s="8">
        <f t="shared" si="14"/>
        <v>154.47999999999999</v>
      </c>
      <c r="P257" s="33">
        <f t="shared" si="16"/>
        <v>-2.5793025162388874</v>
      </c>
      <c r="Q257" s="33">
        <f t="shared" si="20"/>
        <v>5.7575135209146273</v>
      </c>
      <c r="S257" s="21">
        <v>164.3</v>
      </c>
      <c r="T257" s="33">
        <f t="shared" si="17"/>
        <v>1.1076923076923146</v>
      </c>
      <c r="U257" s="33">
        <f t="shared" si="21"/>
        <v>5.1856594110115388</v>
      </c>
      <c r="W257" s="27">
        <v>150.19999999999999</v>
      </c>
      <c r="X257" s="33">
        <f t="shared" si="18"/>
        <v>1.8305084745762634</v>
      </c>
      <c r="Y257" s="33">
        <f t="shared" si="22"/>
        <v>10.441176470588227</v>
      </c>
      <c r="AB257" s="22">
        <v>139.25</v>
      </c>
      <c r="AC257" s="21">
        <v>154.80000000000001</v>
      </c>
      <c r="AD257" s="8">
        <f t="shared" si="15"/>
        <v>147.02500000000001</v>
      </c>
      <c r="AE257" s="33">
        <f t="shared" si="19"/>
        <v>0.30701006310763573</v>
      </c>
      <c r="AF257" s="33">
        <f t="shared" si="23"/>
        <v>1.0307507301151004</v>
      </c>
    </row>
    <row r="258" spans="1:38">
      <c r="A258" s="21" t="s">
        <v>30</v>
      </c>
      <c r="B258" s="26">
        <v>2021</v>
      </c>
      <c r="C258" s="21" t="s">
        <v>36</v>
      </c>
      <c r="D258" s="52">
        <v>44256</v>
      </c>
      <c r="E258" s="27">
        <v>142.5</v>
      </c>
      <c r="F258" s="27">
        <v>189.4</v>
      </c>
      <c r="G258" s="27">
        <v>163.19999999999999</v>
      </c>
      <c r="H258" s="27">
        <v>154.5</v>
      </c>
      <c r="I258" s="27">
        <v>168.2</v>
      </c>
      <c r="J258" s="27">
        <v>150.5</v>
      </c>
      <c r="K258" s="27">
        <v>141</v>
      </c>
      <c r="L258" s="27">
        <v>159.19999999999999</v>
      </c>
      <c r="M258" s="27">
        <v>111.7</v>
      </c>
      <c r="N258" s="27">
        <v>164</v>
      </c>
      <c r="O258" s="8">
        <f t="shared" si="14"/>
        <v>154.42000000000002</v>
      </c>
      <c r="P258" s="33">
        <f t="shared" si="16"/>
        <v>-3.8839979285327453E-2</v>
      </c>
      <c r="Q258" s="33">
        <f t="shared" si="20"/>
        <v>6.7689967503284603</v>
      </c>
      <c r="S258" s="21">
        <v>164.6</v>
      </c>
      <c r="T258" s="33">
        <f t="shared" si="17"/>
        <v>0.18259281801581434</v>
      </c>
      <c r="U258" s="33">
        <f t="shared" si="21"/>
        <v>5.0414805360561621</v>
      </c>
      <c r="W258" s="27">
        <v>151.30000000000001</v>
      </c>
      <c r="X258" s="33">
        <f t="shared" si="18"/>
        <v>0.73235685752331747</v>
      </c>
      <c r="Y258" s="33">
        <f t="shared" si="22"/>
        <v>11.413843888070693</v>
      </c>
      <c r="AB258" s="22">
        <v>139.25</v>
      </c>
      <c r="AC258" s="21">
        <v>154.80000000000001</v>
      </c>
      <c r="AD258" s="8">
        <f t="shared" si="15"/>
        <v>147.02500000000001</v>
      </c>
      <c r="AE258" s="33">
        <f t="shared" si="19"/>
        <v>0</v>
      </c>
      <c r="AF258" s="33">
        <f t="shared" si="23"/>
        <v>1.1349957007738645</v>
      </c>
    </row>
    <row r="259" spans="1:38">
      <c r="A259" s="21" t="s">
        <v>30</v>
      </c>
      <c r="B259" s="26">
        <v>2021</v>
      </c>
      <c r="C259" s="21" t="s">
        <v>37</v>
      </c>
      <c r="D259" s="52">
        <v>44287</v>
      </c>
      <c r="E259" s="27">
        <v>142.69999999999999</v>
      </c>
      <c r="F259" s="27">
        <v>195.5</v>
      </c>
      <c r="G259" s="27">
        <v>163.4</v>
      </c>
      <c r="H259" s="27">
        <v>155</v>
      </c>
      <c r="I259" s="27">
        <v>175.2</v>
      </c>
      <c r="J259" s="27">
        <v>160.6</v>
      </c>
      <c r="K259" s="27">
        <v>135.1</v>
      </c>
      <c r="L259" s="27">
        <v>161.1</v>
      </c>
      <c r="M259" s="27">
        <v>112.2</v>
      </c>
      <c r="N259" s="27">
        <v>164.4</v>
      </c>
      <c r="O259" s="8">
        <f t="shared" si="14"/>
        <v>156.52000000000001</v>
      </c>
      <c r="P259" s="33">
        <f t="shared" si="16"/>
        <v>1.3599274705349009</v>
      </c>
      <c r="Q259" s="33">
        <f t="shared" si="20"/>
        <v>6.2753677857412207</v>
      </c>
      <c r="S259" s="21">
        <v>165.3</v>
      </c>
      <c r="T259" s="33">
        <f t="shared" si="17"/>
        <v>0.42527339003646236</v>
      </c>
      <c r="U259" s="33">
        <f t="shared" si="21"/>
        <v>7.1289695398574198</v>
      </c>
      <c r="W259" s="27">
        <v>151.69999999999999</v>
      </c>
      <c r="X259" s="33">
        <f t="shared" si="18"/>
        <v>0.26437541308656787</v>
      </c>
      <c r="Y259" s="33" t="str">
        <f t="shared" si="22"/>
        <v>NA</v>
      </c>
      <c r="AB259" s="22">
        <v>139.25</v>
      </c>
      <c r="AC259" s="21">
        <v>155.5</v>
      </c>
      <c r="AD259" s="8">
        <f t="shared" si="15"/>
        <v>147.375</v>
      </c>
      <c r="AE259" s="33">
        <f t="shared" si="19"/>
        <v>0.23805475259309253</v>
      </c>
      <c r="AF259" s="33">
        <f t="shared" si="23"/>
        <v>5.8348294434470382</v>
      </c>
    </row>
    <row r="260" spans="1:38">
      <c r="A260" s="21" t="s">
        <v>30</v>
      </c>
      <c r="B260" s="26">
        <v>2021</v>
      </c>
      <c r="C260" s="21" t="s">
        <v>38</v>
      </c>
      <c r="D260" s="52">
        <v>44317</v>
      </c>
      <c r="E260" s="27">
        <v>145.1</v>
      </c>
      <c r="F260" s="27">
        <v>198.5</v>
      </c>
      <c r="G260" s="27">
        <v>168.6</v>
      </c>
      <c r="H260" s="27">
        <v>155.80000000000001</v>
      </c>
      <c r="I260" s="27">
        <v>184.4</v>
      </c>
      <c r="J260" s="27">
        <v>162.30000000000001</v>
      </c>
      <c r="K260" s="27">
        <v>138.4</v>
      </c>
      <c r="L260" s="27">
        <v>165.1</v>
      </c>
      <c r="M260" s="27">
        <v>114.3</v>
      </c>
      <c r="N260" s="27">
        <v>169.7</v>
      </c>
      <c r="O260" s="8">
        <f t="shared" si="14"/>
        <v>160.22</v>
      </c>
      <c r="P260" s="33">
        <f t="shared" si="16"/>
        <v>2.3639151546128216</v>
      </c>
      <c r="Q260" s="33" t="str">
        <f t="shared" si="20"/>
        <v>NA</v>
      </c>
      <c r="S260" s="21">
        <v>169.1</v>
      </c>
      <c r="T260" s="33">
        <f t="shared" si="17"/>
        <v>2.2988505747126333</v>
      </c>
      <c r="U260" s="33" t="str">
        <f t="shared" si="21"/>
        <v>NA</v>
      </c>
      <c r="W260" s="27">
        <v>153.19999999999999</v>
      </c>
      <c r="X260" s="33">
        <f t="shared" si="18"/>
        <v>0.98879367172050103</v>
      </c>
      <c r="Y260" s="33" t="str">
        <f t="shared" si="22"/>
        <v>NA</v>
      </c>
      <c r="AB260" s="22">
        <v>139.25</v>
      </c>
      <c r="AC260" s="21">
        <v>158.80000000000001</v>
      </c>
      <c r="AD260" s="8">
        <f t="shared" si="15"/>
        <v>149.02500000000001</v>
      </c>
      <c r="AE260" s="33">
        <f t="shared" si="19"/>
        <v>1.1195928753180702</v>
      </c>
      <c r="AF260" s="33">
        <f t="shared" si="23"/>
        <v>7.0197486535009013</v>
      </c>
    </row>
    <row r="261" spans="1:38">
      <c r="A261" s="21" t="s">
        <v>30</v>
      </c>
      <c r="B261" s="26">
        <v>2021</v>
      </c>
      <c r="C261" s="21" t="s">
        <v>39</v>
      </c>
      <c r="D261" s="52">
        <v>44348</v>
      </c>
      <c r="E261" s="27">
        <v>145.6</v>
      </c>
      <c r="F261" s="27">
        <v>200.1</v>
      </c>
      <c r="G261" s="27">
        <v>179.3</v>
      </c>
      <c r="H261" s="27">
        <v>156.1</v>
      </c>
      <c r="I261" s="27">
        <v>190.4</v>
      </c>
      <c r="J261" s="27">
        <v>158.6</v>
      </c>
      <c r="K261" s="27">
        <v>144.69999999999999</v>
      </c>
      <c r="L261" s="27">
        <v>165.5</v>
      </c>
      <c r="M261" s="27">
        <v>114.6</v>
      </c>
      <c r="N261" s="27">
        <v>170</v>
      </c>
      <c r="O261" s="8">
        <f t="shared" si="14"/>
        <v>162.48999999999998</v>
      </c>
      <c r="P261" s="33">
        <f t="shared" si="16"/>
        <v>1.4168018973910759</v>
      </c>
      <c r="Q261" s="33">
        <f t="shared" si="20"/>
        <v>8.7035054856836762</v>
      </c>
      <c r="S261" s="21">
        <v>169.7</v>
      </c>
      <c r="T261" s="33">
        <f t="shared" si="17"/>
        <v>0.35481963335304223</v>
      </c>
      <c r="U261" s="33">
        <f t="shared" si="21"/>
        <v>7.2692793931731989</v>
      </c>
      <c r="W261" s="27">
        <v>154.19999999999999</v>
      </c>
      <c r="X261" s="33">
        <f t="shared" si="18"/>
        <v>0.65274151436031336</v>
      </c>
      <c r="Y261" s="33">
        <f t="shared" si="22"/>
        <v>9.0523338048090398</v>
      </c>
      <c r="AB261" s="22">
        <v>139.25</v>
      </c>
      <c r="AC261" s="21">
        <v>159.19999999999999</v>
      </c>
      <c r="AD261" s="8">
        <f t="shared" si="15"/>
        <v>149.22499999999999</v>
      </c>
      <c r="AE261" s="33">
        <f t="shared" si="19"/>
        <v>0.13420567018955787</v>
      </c>
      <c r="AF261" s="33">
        <f t="shared" si="23"/>
        <v>2.5777625021481358</v>
      </c>
    </row>
    <row r="262" spans="1:38">
      <c r="A262" s="21" t="s">
        <v>30</v>
      </c>
      <c r="B262" s="26">
        <v>2021</v>
      </c>
      <c r="C262" s="21" t="s">
        <v>40</v>
      </c>
      <c r="D262" s="52">
        <v>44378</v>
      </c>
      <c r="E262" s="27">
        <v>145.1</v>
      </c>
      <c r="F262" s="27">
        <v>204.5</v>
      </c>
      <c r="G262" s="27">
        <v>180.4</v>
      </c>
      <c r="H262" s="27">
        <v>157.1</v>
      </c>
      <c r="I262" s="27">
        <v>188.7</v>
      </c>
      <c r="J262" s="27">
        <v>157.69999999999999</v>
      </c>
      <c r="K262" s="27">
        <v>152.80000000000001</v>
      </c>
      <c r="L262" s="27">
        <v>163.6</v>
      </c>
      <c r="M262" s="27">
        <v>113.9</v>
      </c>
      <c r="N262" s="27">
        <v>169.7</v>
      </c>
      <c r="O262" s="8">
        <f t="shared" si="14"/>
        <v>163.35</v>
      </c>
      <c r="P262" s="33">
        <f t="shared" si="16"/>
        <v>0.52926333928242586</v>
      </c>
      <c r="Q262" s="33">
        <f t="shared" si="20"/>
        <v>9.2788332887342619</v>
      </c>
      <c r="S262" s="21">
        <v>170.4</v>
      </c>
      <c r="T262" s="33">
        <f t="shared" si="17"/>
        <v>0.4124926340601161</v>
      </c>
      <c r="U262" s="33">
        <f t="shared" si="21"/>
        <v>7.7117572692794036</v>
      </c>
      <c r="W262" s="27">
        <v>157.1</v>
      </c>
      <c r="X262" s="33">
        <f t="shared" si="18"/>
        <v>1.8806744487678377</v>
      </c>
      <c r="Y262" s="33">
        <f t="shared" si="22"/>
        <v>11.103253182461096</v>
      </c>
      <c r="AB262" s="22">
        <v>139.25</v>
      </c>
      <c r="AC262" s="21">
        <v>160.30000000000001</v>
      </c>
      <c r="AD262" s="8">
        <f t="shared" si="15"/>
        <v>149.77500000000001</v>
      </c>
      <c r="AE262" s="33">
        <f t="shared" si="19"/>
        <v>0.36857094990786488</v>
      </c>
      <c r="AF262" s="33">
        <f t="shared" si="23"/>
        <v>2.9558343357965366</v>
      </c>
    </row>
    <row r="263" spans="1:38">
      <c r="A263" s="21" t="s">
        <v>30</v>
      </c>
      <c r="B263" s="26">
        <v>2021</v>
      </c>
      <c r="C263" s="21" t="s">
        <v>41</v>
      </c>
      <c r="D263" s="52">
        <v>44409</v>
      </c>
      <c r="E263" s="27">
        <v>144.9</v>
      </c>
      <c r="F263" s="27">
        <v>202.3</v>
      </c>
      <c r="G263" s="27">
        <v>176.5</v>
      </c>
      <c r="H263" s="27">
        <v>157.5</v>
      </c>
      <c r="I263" s="27">
        <v>190.9</v>
      </c>
      <c r="J263" s="27">
        <v>155.69999999999999</v>
      </c>
      <c r="K263" s="27">
        <v>153.9</v>
      </c>
      <c r="L263" s="27">
        <v>162.80000000000001</v>
      </c>
      <c r="M263" s="27">
        <v>115.2</v>
      </c>
      <c r="N263" s="27">
        <v>169.8</v>
      </c>
      <c r="O263" s="8">
        <f t="shared" si="14"/>
        <v>162.94999999999999</v>
      </c>
      <c r="P263" s="33">
        <f t="shared" si="16"/>
        <v>-0.24487297214570292</v>
      </c>
      <c r="Q263" s="33">
        <f t="shared" si="20"/>
        <v>7.3239807679641737</v>
      </c>
      <c r="S263" s="21">
        <v>171.1</v>
      </c>
      <c r="T263" s="33">
        <f t="shared" si="17"/>
        <v>0.41079812206572103</v>
      </c>
      <c r="U263" s="33">
        <f t="shared" si="21"/>
        <v>7.7455919395465882</v>
      </c>
      <c r="W263" s="27">
        <v>157.69999999999999</v>
      </c>
      <c r="X263" s="33">
        <f t="shared" si="18"/>
        <v>0.38192234245703011</v>
      </c>
      <c r="Y263" s="33">
        <f t="shared" si="22"/>
        <v>9.8189415041782695</v>
      </c>
      <c r="AB263" s="22">
        <v>139.25</v>
      </c>
      <c r="AC263" s="21">
        <v>160.9</v>
      </c>
      <c r="AD263" s="8">
        <f t="shared" si="15"/>
        <v>150.07499999999999</v>
      </c>
      <c r="AE263" s="33">
        <f t="shared" si="19"/>
        <v>0.20030045067600263</v>
      </c>
      <c r="AF263" s="33">
        <f t="shared" si="23"/>
        <v>3.091190108191654</v>
      </c>
    </row>
    <row r="264" spans="1:38">
      <c r="A264" s="21" t="s">
        <v>30</v>
      </c>
      <c r="B264" s="26">
        <v>2021</v>
      </c>
      <c r="C264" s="21" t="s">
        <v>42</v>
      </c>
      <c r="D264" s="52">
        <v>44440</v>
      </c>
      <c r="E264" s="27">
        <v>145.4</v>
      </c>
      <c r="F264" s="27">
        <v>202.1</v>
      </c>
      <c r="G264" s="27">
        <v>172</v>
      </c>
      <c r="H264" s="27">
        <v>158</v>
      </c>
      <c r="I264" s="27">
        <v>195.5</v>
      </c>
      <c r="J264" s="27">
        <v>152.69999999999999</v>
      </c>
      <c r="K264" s="27">
        <v>151.4</v>
      </c>
      <c r="L264" s="27">
        <v>163.9</v>
      </c>
      <c r="M264" s="27">
        <v>119.3</v>
      </c>
      <c r="N264" s="27">
        <v>170.1</v>
      </c>
      <c r="O264" s="8">
        <f t="shared" si="14"/>
        <v>163.04000000000002</v>
      </c>
      <c r="P264" s="33">
        <f t="shared" si="16"/>
        <v>5.523166615528189E-2</v>
      </c>
      <c r="Q264" s="33">
        <f t="shared" si="20"/>
        <v>6.9605720658663079</v>
      </c>
      <c r="S264" s="21">
        <v>171.9</v>
      </c>
      <c r="T264" s="33">
        <f t="shared" si="17"/>
        <v>0.46756282875512062</v>
      </c>
      <c r="U264" s="33">
        <f t="shared" si="21"/>
        <v>8.0452545568824707</v>
      </c>
      <c r="W264" s="27">
        <v>157.80000000000001</v>
      </c>
      <c r="X264" s="33">
        <f t="shared" si="18"/>
        <v>6.3411540900458307E-2</v>
      </c>
      <c r="Y264" s="33">
        <f t="shared" si="22"/>
        <v>9.1286307053942028</v>
      </c>
      <c r="AB264" s="22">
        <v>139.25</v>
      </c>
      <c r="AC264" s="21">
        <v>161.30000000000001</v>
      </c>
      <c r="AD264" s="8">
        <f t="shared" si="15"/>
        <v>150.27500000000001</v>
      </c>
      <c r="AE264" s="33">
        <f t="shared" si="19"/>
        <v>0.13326669998335303</v>
      </c>
      <c r="AF264" s="33">
        <f t="shared" si="23"/>
        <v>3.3350524325253526</v>
      </c>
    </row>
    <row r="265" spans="1:38">
      <c r="A265" s="21" t="s">
        <v>30</v>
      </c>
      <c r="B265" s="26">
        <v>2021</v>
      </c>
      <c r="C265" s="21" t="s">
        <v>43</v>
      </c>
      <c r="D265" s="52">
        <v>44470</v>
      </c>
      <c r="E265" s="27">
        <v>146.1</v>
      </c>
      <c r="F265" s="27">
        <v>202.5</v>
      </c>
      <c r="G265" s="27">
        <v>170.1</v>
      </c>
      <c r="H265" s="27">
        <v>158.4</v>
      </c>
      <c r="I265" s="27">
        <v>198.8</v>
      </c>
      <c r="J265" s="27">
        <v>152.6</v>
      </c>
      <c r="K265" s="27">
        <v>170.4</v>
      </c>
      <c r="L265" s="27">
        <v>165.2</v>
      </c>
      <c r="M265" s="27">
        <v>121.6</v>
      </c>
      <c r="N265" s="27">
        <v>170.6</v>
      </c>
      <c r="O265" s="8">
        <f t="shared" si="14"/>
        <v>165.63</v>
      </c>
      <c r="P265" s="33">
        <f t="shared" si="16"/>
        <v>1.5885672227674035</v>
      </c>
      <c r="Q265" s="33">
        <f t="shared" si="20"/>
        <v>6.0371318822023099</v>
      </c>
      <c r="S265" s="21">
        <v>172.5</v>
      </c>
      <c r="T265" s="33">
        <f t="shared" si="17"/>
        <v>0.34904013961605251</v>
      </c>
      <c r="U265" s="33">
        <f t="shared" si="21"/>
        <v>8.1504702194357357</v>
      </c>
      <c r="W265" s="27">
        <v>159.5</v>
      </c>
      <c r="X265" s="33">
        <f t="shared" si="18"/>
        <v>1.077313054499359</v>
      </c>
      <c r="Y265" s="33">
        <f t="shared" si="22"/>
        <v>8.9480874316939847</v>
      </c>
      <c r="AB265" s="22">
        <v>139.25</v>
      </c>
      <c r="AC265" s="21">
        <v>162</v>
      </c>
      <c r="AD265" s="8">
        <f t="shared" si="15"/>
        <v>150.625</v>
      </c>
      <c r="AE265" s="33">
        <f t="shared" si="19"/>
        <v>0.23290633837963357</v>
      </c>
      <c r="AF265" s="33">
        <f t="shared" si="23"/>
        <v>3.4334763948497855</v>
      </c>
    </row>
    <row r="266" spans="1:38">
      <c r="A266" s="21" t="s">
        <v>30</v>
      </c>
      <c r="B266" s="26">
        <v>2021</v>
      </c>
      <c r="C266" s="21" t="s">
        <v>45</v>
      </c>
      <c r="D266" s="52">
        <v>44501</v>
      </c>
      <c r="E266" s="27">
        <v>146.9</v>
      </c>
      <c r="F266" s="27">
        <v>199.8</v>
      </c>
      <c r="G266" s="27">
        <v>171.5</v>
      </c>
      <c r="H266" s="27">
        <v>159.1</v>
      </c>
      <c r="I266" s="27">
        <v>198.4</v>
      </c>
      <c r="J266" s="27">
        <v>153.19999999999999</v>
      </c>
      <c r="K266" s="27">
        <v>183.9</v>
      </c>
      <c r="L266" s="27">
        <v>165.4</v>
      </c>
      <c r="M266" s="27">
        <v>122.1</v>
      </c>
      <c r="N266" s="27">
        <v>170.8</v>
      </c>
      <c r="O266" s="8">
        <f t="shared" si="14"/>
        <v>167.11</v>
      </c>
      <c r="P266" s="33">
        <f t="shared" si="16"/>
        <v>0.89355793032664266</v>
      </c>
      <c r="Q266" s="33">
        <f t="shared" si="20"/>
        <v>4.0341156695511353</v>
      </c>
      <c r="S266" s="21">
        <v>173.4</v>
      </c>
      <c r="T266" s="33">
        <f t="shared" si="17"/>
        <v>0.52173913043478592</v>
      </c>
      <c r="U266" s="33">
        <f t="shared" si="21"/>
        <v>8.1047381546134662</v>
      </c>
      <c r="W266" s="27">
        <v>158.9</v>
      </c>
      <c r="X266" s="33">
        <f t="shared" si="18"/>
        <v>-0.37617554858933816</v>
      </c>
      <c r="Y266" s="33">
        <f t="shared" si="22"/>
        <v>8.7611225188227326</v>
      </c>
      <c r="AB266" s="22">
        <v>139.25</v>
      </c>
      <c r="AC266" s="21">
        <v>162.9</v>
      </c>
      <c r="AD266" s="8">
        <f t="shared" si="15"/>
        <v>151.07499999999999</v>
      </c>
      <c r="AE266" s="33">
        <f t="shared" si="19"/>
        <v>0.29875518672198415</v>
      </c>
      <c r="AF266" s="33">
        <f t="shared" si="23"/>
        <v>3.4583119328881926</v>
      </c>
    </row>
    <row r="267" spans="1:38">
      <c r="A267" s="21" t="s">
        <v>30</v>
      </c>
      <c r="B267" s="26">
        <v>2021</v>
      </c>
      <c r="C267" s="21" t="s">
        <v>46</v>
      </c>
      <c r="D267" s="52">
        <v>44531</v>
      </c>
      <c r="E267" s="27">
        <v>147.4</v>
      </c>
      <c r="F267" s="27">
        <v>197</v>
      </c>
      <c r="G267" s="27">
        <v>176.5</v>
      </c>
      <c r="H267" s="27">
        <v>159.80000000000001</v>
      </c>
      <c r="I267" s="27">
        <v>195.8</v>
      </c>
      <c r="J267" s="27">
        <v>152</v>
      </c>
      <c r="K267" s="27">
        <v>172.3</v>
      </c>
      <c r="L267" s="27">
        <v>164.5</v>
      </c>
      <c r="M267" s="27">
        <v>120.6</v>
      </c>
      <c r="N267" s="27">
        <v>171.7</v>
      </c>
      <c r="O267" s="8">
        <f t="shared" si="14"/>
        <v>165.76</v>
      </c>
      <c r="P267" s="33">
        <f t="shared" si="16"/>
        <v>-0.80785111603137016</v>
      </c>
      <c r="Q267" s="33">
        <f t="shared" si="20"/>
        <v>2.384187770228527</v>
      </c>
      <c r="S267" s="21">
        <v>174</v>
      </c>
      <c r="T267" s="33">
        <f t="shared" si="17"/>
        <v>0.34602076124567144</v>
      </c>
      <c r="U267" s="33">
        <f t="shared" si="21"/>
        <v>7.6732673267326774</v>
      </c>
      <c r="W267" s="27">
        <v>160.1</v>
      </c>
      <c r="X267" s="33">
        <f t="shared" si="18"/>
        <v>0.75519194461925021</v>
      </c>
      <c r="Y267" s="33">
        <f t="shared" si="22"/>
        <v>9.3579234972677519</v>
      </c>
      <c r="AB267" s="22">
        <v>139.25</v>
      </c>
      <c r="AC267" s="21">
        <v>163.9</v>
      </c>
      <c r="AD267" s="8">
        <f t="shared" si="15"/>
        <v>151.57499999999999</v>
      </c>
      <c r="AE267" s="33">
        <f t="shared" si="19"/>
        <v>0.33096144299189145</v>
      </c>
      <c r="AF267" s="33">
        <f t="shared" si="23"/>
        <v>3.5879036391594057</v>
      </c>
    </row>
    <row r="268" spans="1:38" ht="15.6">
      <c r="A268" s="123" t="s">
        <v>152</v>
      </c>
      <c r="B268" s="9"/>
      <c r="C268" s="7"/>
      <c r="D268" s="80"/>
      <c r="E268" s="81"/>
      <c r="F268" s="81"/>
      <c r="G268" s="81"/>
      <c r="H268" s="81"/>
      <c r="I268" s="81"/>
      <c r="J268" s="81"/>
      <c r="K268" s="81"/>
      <c r="L268" s="81"/>
      <c r="M268" s="81"/>
      <c r="N268" s="81"/>
      <c r="O268" s="32"/>
      <c r="R268" s="117" t="s">
        <v>23</v>
      </c>
      <c r="Y268" s="16" t="s">
        <v>153</v>
      </c>
    </row>
    <row r="269" spans="1:38">
      <c r="A269" s="56" t="s">
        <v>118</v>
      </c>
      <c r="B269" s="57" t="s">
        <v>120</v>
      </c>
      <c r="C269" s="56" t="s">
        <v>121</v>
      </c>
      <c r="D269" s="56" t="s">
        <v>122</v>
      </c>
      <c r="E269" s="59" t="s">
        <v>123</v>
      </c>
      <c r="F269" s="59" t="s">
        <v>124</v>
      </c>
      <c r="G269" s="81"/>
      <c r="H269" s="81"/>
      <c r="I269" s="81"/>
      <c r="J269" s="81"/>
      <c r="K269" s="81"/>
      <c r="L269" s="81"/>
      <c r="M269" s="81"/>
      <c r="N269" s="81"/>
      <c r="O269" s="32"/>
      <c r="R269" s="56" t="s">
        <v>118</v>
      </c>
      <c r="S269" s="57" t="s">
        <v>120</v>
      </c>
      <c r="T269" s="56" t="s">
        <v>121</v>
      </c>
      <c r="U269" s="56" t="s">
        <v>122</v>
      </c>
      <c r="V269" s="59" t="s">
        <v>123</v>
      </c>
      <c r="W269" s="59" t="s">
        <v>124</v>
      </c>
      <c r="Y269" s="56" t="s">
        <v>118</v>
      </c>
      <c r="Z269" s="57" t="s">
        <v>120</v>
      </c>
      <c r="AA269" s="56" t="s">
        <v>121</v>
      </c>
      <c r="AB269" s="56" t="s">
        <v>122</v>
      </c>
      <c r="AC269" s="59" t="s">
        <v>123</v>
      </c>
      <c r="AD269" s="59" t="s">
        <v>124</v>
      </c>
      <c r="AG269" s="56" t="s">
        <v>118</v>
      </c>
      <c r="AH269" s="57" t="s">
        <v>120</v>
      </c>
      <c r="AI269" s="56" t="s">
        <v>121</v>
      </c>
      <c r="AJ269" s="56" t="s">
        <v>122</v>
      </c>
      <c r="AK269" s="59" t="s">
        <v>123</v>
      </c>
      <c r="AL269" s="59" t="s">
        <v>124</v>
      </c>
    </row>
    <row r="270" spans="1:38" ht="43.2">
      <c r="A270" s="56" t="s">
        <v>119</v>
      </c>
      <c r="B270" s="53" t="s">
        <v>115</v>
      </c>
      <c r="C270" s="33">
        <f>AVERAGEIFS(Q221:Q267,D221:D267,"&gt;=2019-03-01",D221:D267,"&lt;=2020-02-01")</f>
        <v>4.1578611908624277</v>
      </c>
      <c r="D270" s="33">
        <f>AVERAGEIFS(P221:P267,D221:D267,"&gt;=2019-03-01",D221:D267,"&lt;=2020-02-01")</f>
        <v>0.86864411480495929</v>
      </c>
      <c r="E270" s="136">
        <f>C271-C270</f>
        <v>4.1919112677917836</v>
      </c>
      <c r="F270" s="136">
        <f>D271-D270</f>
        <v>-0.34633773702587356</v>
      </c>
      <c r="G270" s="81"/>
      <c r="H270" s="81"/>
      <c r="I270" s="81"/>
      <c r="J270" s="81"/>
      <c r="K270" s="81"/>
      <c r="L270" s="81"/>
      <c r="M270" s="81"/>
      <c r="N270" s="81"/>
      <c r="O270" s="32"/>
      <c r="R270" s="56" t="s">
        <v>119</v>
      </c>
      <c r="S270" s="53" t="s">
        <v>115</v>
      </c>
      <c r="T270" s="33">
        <f>AVERAGEIFS(U221:U267,$D$221:$D$267,"&gt;=2019-03-01",$D$221:$D$267,"&lt;=2020-02-01")</f>
        <v>8.2508308828938244</v>
      </c>
      <c r="U270" s="33">
        <f>AVERAGEIFS($T$221:$T$267,$D$221:$D$267,"&gt;=2019-03-01",$D$221:$D$267,"&lt;=2020-02-01")</f>
        <v>0.37503376022364648</v>
      </c>
      <c r="V270" s="136">
        <f>T271-T270</f>
        <v>-4.1376694046115174</v>
      </c>
      <c r="W270" s="136">
        <f>U271-U270</f>
        <v>-0.13027199759514674</v>
      </c>
      <c r="Y270" s="56" t="s">
        <v>119</v>
      </c>
      <c r="Z270" s="53" t="s">
        <v>115</v>
      </c>
      <c r="AA270" s="33">
        <f>AVERAGEIFS($Y$221:$Y$267,$D$221:$D$267,"&gt;=2019-03-01",$D$221:$D$267,"&lt;=2020-02-01")</f>
        <v>3.3878176251504382</v>
      </c>
      <c r="AB270" s="33">
        <f>AVERAGEIFS($X$221:$X$267,$D$221:$D$267,"&gt;=2019-03-01",$D$221:$D$267,"&lt;=2020-02-01")</f>
        <v>0.4693920892915433</v>
      </c>
      <c r="AC270" s="136">
        <f>AA271-AA270</f>
        <v>6.1937806891993166</v>
      </c>
      <c r="AD270" s="136">
        <f>AB271-AB270</f>
        <v>0.28746504508174553</v>
      </c>
      <c r="AG270" s="56" t="s">
        <v>119</v>
      </c>
      <c r="AH270" s="53" t="s">
        <v>115</v>
      </c>
      <c r="AI270" s="33">
        <f>AVERAGEIFS(AF221:AF267,$D$221:$D$267,"&gt;=2019-03-01",$D$221:$D$267,"&lt;=2020-02-01")</f>
        <v>2.093167562198468</v>
      </c>
      <c r="AJ270" s="33">
        <f>AVERAGEIFS(AE221:AE267,$D$221:$D$267,"&gt;=2019-03-01",$D$221:$D$267,"&lt;=2020-02-01")</f>
        <v>5.3309659794616264E-2</v>
      </c>
      <c r="AK270" s="136">
        <f>AI271-AI270</f>
        <v>-2.101340313058623</v>
      </c>
      <c r="AL270" s="136">
        <f>AJ271-AJ270</f>
        <v>5.6552757197153601E-2</v>
      </c>
    </row>
    <row r="271" spans="1:38" ht="57.6">
      <c r="A271" s="50" t="s">
        <v>116</v>
      </c>
      <c r="B271" s="54" t="s">
        <v>117</v>
      </c>
      <c r="C271" s="33">
        <f>AVERAGEIFS(Q221:Q267,D221:D267,"&gt;=2020-04-01",D221:D267,"&lt;=2021-03-01")</f>
        <v>8.3497724586542112</v>
      </c>
      <c r="D271" s="33">
        <f>AVERAGEIFS(P221:P267,D221:D267,"&gt;=2020-04-01",D221:D267,"&lt;=2021-03-01")</f>
        <v>0.52230637777908573</v>
      </c>
      <c r="E271" s="137"/>
      <c r="F271" s="137"/>
      <c r="G271" s="81"/>
      <c r="H271" s="81"/>
      <c r="I271" s="81"/>
      <c r="J271" s="81"/>
      <c r="K271" s="81"/>
      <c r="L271" s="81"/>
      <c r="M271" s="81"/>
      <c r="N271" s="81"/>
      <c r="O271" s="32"/>
      <c r="R271" s="50" t="s">
        <v>116</v>
      </c>
      <c r="S271" s="54" t="s">
        <v>117</v>
      </c>
      <c r="T271" s="33">
        <f>AVERAGEIFS(U221:U267,$D$221:$D$267,"&gt;=2020-04-01",$D$221:$D$267,"&lt;=2021-03-01")</f>
        <v>4.1131614782823069</v>
      </c>
      <c r="U271" s="33">
        <f>AVERAGEIFS($T$221:$T$267,$D$221:$D$267,"&gt;=2020-04-01",$D$221:$D$267,"&lt;=2021-03-01")</f>
        <v>0.24476176262849975</v>
      </c>
      <c r="V271" s="137"/>
      <c r="W271" s="137"/>
      <c r="Y271" s="50" t="s">
        <v>116</v>
      </c>
      <c r="Z271" s="54" t="s">
        <v>117</v>
      </c>
      <c r="AA271" s="33">
        <f>AVERAGEIFS($Y$221:$Y$267,$D$221:$D$267,"&gt;=2020-04-01",$D$221:$D$267,"&lt;=2021-03-01")</f>
        <v>9.5815983143497547</v>
      </c>
      <c r="AB271" s="33">
        <f>AVERAGEIFS($X$221:$X$267,$D$221:$D$267,"&gt;=2020-04-01",$D$221:$D$267,"&lt;=2021-03-01")</f>
        <v>0.75685713437328883</v>
      </c>
      <c r="AC271" s="137"/>
      <c r="AD271" s="137"/>
      <c r="AG271" s="50" t="s">
        <v>116</v>
      </c>
      <c r="AH271" s="54" t="s">
        <v>117</v>
      </c>
      <c r="AI271" s="33">
        <f>AVERAGEIFS(AF221:AF267,$D$221:$D$267,"&gt;=2020-04-01",$D$221:$D$267,"&lt;=2021-03-01")</f>
        <v>-8.1727508601548982E-3</v>
      </c>
      <c r="AJ271" s="33">
        <f>AVERAGEIFS(AE221:AE267,$D$221:$D$267,"&gt;=2020-04-01",$D$221:$D$267,"&lt;=2021-03-01")</f>
        <v>0.10986241699176987</v>
      </c>
      <c r="AK271" s="137"/>
      <c r="AL271" s="137"/>
    </row>
    <row r="272" spans="1:38">
      <c r="A272" s="105"/>
      <c r="B272" s="106"/>
      <c r="C272" s="19"/>
      <c r="D272" s="19"/>
      <c r="E272" s="122"/>
      <c r="F272" s="122"/>
      <c r="G272" s="81"/>
      <c r="H272" s="81"/>
      <c r="I272" s="81"/>
      <c r="J272" s="81"/>
      <c r="K272" s="81"/>
      <c r="L272" s="81"/>
      <c r="M272" s="81"/>
      <c r="N272" s="81"/>
      <c r="O272" s="32"/>
    </row>
    <row r="273" spans="1:33">
      <c r="A273" s="105"/>
      <c r="B273" s="106"/>
      <c r="C273" s="19"/>
      <c r="D273" s="19"/>
      <c r="E273" s="122"/>
      <c r="F273" s="122"/>
      <c r="G273" s="81"/>
      <c r="H273" s="81"/>
      <c r="I273" s="81"/>
      <c r="J273" s="81"/>
      <c r="K273" s="81"/>
      <c r="L273" s="81"/>
      <c r="M273" s="81"/>
      <c r="N273" s="81"/>
      <c r="O273" s="32"/>
    </row>
    <row r="274" spans="1:33">
      <c r="A274" s="105"/>
      <c r="B274" s="106"/>
      <c r="C274" s="19"/>
      <c r="D274" s="19"/>
      <c r="E274" s="122"/>
      <c r="F274" s="122"/>
      <c r="G274" s="81"/>
      <c r="H274" s="81"/>
      <c r="I274" s="81"/>
      <c r="J274" s="81"/>
      <c r="K274" s="81"/>
      <c r="L274" s="81"/>
      <c r="M274" s="81"/>
      <c r="N274" s="81"/>
      <c r="O274" s="32"/>
    </row>
    <row r="275" spans="1:33">
      <c r="A275" s="105"/>
      <c r="B275" s="106"/>
      <c r="C275" s="19"/>
      <c r="D275" s="19"/>
      <c r="E275" s="122"/>
      <c r="F275" s="122"/>
      <c r="G275" s="81"/>
      <c r="H275" s="81"/>
      <c r="I275" s="81"/>
      <c r="J275" s="81"/>
      <c r="K275" s="81"/>
      <c r="L275" s="81"/>
      <c r="M275" s="81"/>
      <c r="N275" s="81"/>
      <c r="O275" s="32"/>
    </row>
    <row r="276" spans="1:33">
      <c r="A276" s="105"/>
      <c r="B276" s="106"/>
      <c r="C276" s="19"/>
      <c r="D276" s="19"/>
      <c r="E276" s="122"/>
      <c r="F276" s="122"/>
      <c r="G276" s="81"/>
      <c r="H276" s="81"/>
      <c r="I276" s="81"/>
      <c r="J276" s="81"/>
      <c r="K276" s="81"/>
      <c r="L276" s="81"/>
      <c r="M276" s="81"/>
      <c r="N276" s="81"/>
      <c r="O276" s="32"/>
    </row>
    <row r="277" spans="1:33">
      <c r="A277" s="105"/>
      <c r="B277" s="106"/>
      <c r="C277" s="19"/>
      <c r="D277" s="19"/>
      <c r="E277" s="122"/>
      <c r="F277" s="122"/>
      <c r="G277" s="81"/>
      <c r="H277" s="81"/>
      <c r="I277" s="81"/>
      <c r="J277" s="81"/>
      <c r="K277" s="81"/>
      <c r="L277" s="81"/>
      <c r="M277" s="81"/>
      <c r="N277" s="81"/>
      <c r="O277" s="32"/>
    </row>
    <row r="278" spans="1:33">
      <c r="A278" s="105"/>
      <c r="B278" s="106"/>
      <c r="C278" s="19"/>
      <c r="D278" s="19"/>
      <c r="E278" s="122"/>
      <c r="F278" s="122"/>
      <c r="G278" s="81"/>
      <c r="H278" s="81"/>
      <c r="I278" s="81"/>
      <c r="J278" s="81"/>
      <c r="K278" s="81"/>
      <c r="L278" s="81"/>
      <c r="M278" s="81"/>
      <c r="N278" s="81"/>
      <c r="O278" s="32"/>
    </row>
    <row r="279" spans="1:33">
      <c r="A279" s="7"/>
      <c r="B279" s="9"/>
      <c r="C279" s="7"/>
      <c r="D279" s="80"/>
      <c r="E279" s="81"/>
      <c r="F279" s="81"/>
      <c r="G279" s="81"/>
      <c r="H279" s="81"/>
      <c r="I279" s="81"/>
      <c r="J279" s="81"/>
      <c r="K279" s="81"/>
      <c r="L279" s="81"/>
      <c r="M279" s="81"/>
      <c r="N279" s="81"/>
      <c r="O279" s="32"/>
    </row>
    <row r="280" spans="1:33" s="77" customFormat="1">
      <c r="A280" s="82"/>
      <c r="B280" s="83"/>
      <c r="C280" s="82"/>
      <c r="D280" s="84"/>
      <c r="E280" s="85"/>
      <c r="F280" s="85"/>
      <c r="G280" s="85"/>
      <c r="H280" s="85"/>
      <c r="I280" s="85"/>
      <c r="J280" s="85"/>
      <c r="K280" s="85"/>
      <c r="L280" s="85"/>
      <c r="M280" s="85"/>
      <c r="N280" s="85"/>
      <c r="O280" s="86"/>
    </row>
    <row r="281" spans="1:33" ht="18">
      <c r="A281" s="88" t="s">
        <v>134</v>
      </c>
      <c r="B281" s="9"/>
      <c r="C281" s="7"/>
      <c r="D281" s="80"/>
      <c r="E281" s="81"/>
      <c r="F281" s="81"/>
      <c r="G281" s="81"/>
      <c r="H281" s="81"/>
      <c r="I281" s="81"/>
      <c r="J281" s="81"/>
      <c r="K281" s="81"/>
      <c r="L281" s="81"/>
      <c r="M281" s="81"/>
      <c r="N281" s="81"/>
      <c r="O281" s="32"/>
    </row>
    <row r="282" spans="1:33">
      <c r="A282" s="21" t="s">
        <v>0</v>
      </c>
      <c r="B282" s="21" t="s">
        <v>1</v>
      </c>
      <c r="C282" s="21" t="s">
        <v>2</v>
      </c>
      <c r="D282" s="78" t="s">
        <v>100</v>
      </c>
      <c r="E282" s="21" t="s">
        <v>3</v>
      </c>
      <c r="F282" s="21" t="s">
        <v>4</v>
      </c>
      <c r="G282" s="21" t="s">
        <v>5</v>
      </c>
      <c r="H282" s="21" t="s">
        <v>6</v>
      </c>
      <c r="I282" s="21" t="s">
        <v>7</v>
      </c>
      <c r="J282" s="21" t="s">
        <v>8</v>
      </c>
      <c r="K282" s="21" t="s">
        <v>9</v>
      </c>
      <c r="L282" s="21" t="s">
        <v>10</v>
      </c>
      <c r="M282" s="21" t="s">
        <v>11</v>
      </c>
      <c r="N282" s="21" t="s">
        <v>12</v>
      </c>
      <c r="O282" s="50" t="s">
        <v>101</v>
      </c>
      <c r="P282" s="50" t="s">
        <v>113</v>
      </c>
      <c r="Q282" s="12" t="s">
        <v>114</v>
      </c>
      <c r="S282" s="21" t="s">
        <v>23</v>
      </c>
      <c r="T282" s="50" t="s">
        <v>113</v>
      </c>
      <c r="U282" s="12" t="s">
        <v>114</v>
      </c>
      <c r="X282" s="21" t="s">
        <v>24</v>
      </c>
      <c r="Y282" s="50" t="s">
        <v>113</v>
      </c>
      <c r="Z282" s="12" t="s">
        <v>114</v>
      </c>
      <c r="AC282" s="21" t="s">
        <v>20</v>
      </c>
      <c r="AD282" s="21" t="s">
        <v>22</v>
      </c>
      <c r="AE282" s="50" t="s">
        <v>101</v>
      </c>
      <c r="AF282" s="50" t="s">
        <v>113</v>
      </c>
      <c r="AG282" s="12" t="s">
        <v>114</v>
      </c>
    </row>
    <row r="283" spans="1:33">
      <c r="A283" s="21" t="s">
        <v>33</v>
      </c>
      <c r="B283" s="26">
        <v>2018</v>
      </c>
      <c r="C283" s="21" t="s">
        <v>31</v>
      </c>
      <c r="D283" s="52">
        <v>43101</v>
      </c>
      <c r="E283" s="27">
        <v>134.6</v>
      </c>
      <c r="F283" s="27">
        <v>143.69999999999999</v>
      </c>
      <c r="G283" s="27">
        <v>143.6</v>
      </c>
      <c r="H283" s="27">
        <v>139.6</v>
      </c>
      <c r="I283" s="27">
        <v>116.4</v>
      </c>
      <c r="J283" s="27">
        <v>133.80000000000001</v>
      </c>
      <c r="K283" s="27">
        <v>150.5</v>
      </c>
      <c r="L283" s="27">
        <v>118.4</v>
      </c>
      <c r="M283" s="27">
        <v>117.3</v>
      </c>
      <c r="N283" s="27">
        <v>140.5</v>
      </c>
      <c r="O283" s="8">
        <f>IFERROR(AVERAGE(E283:N283),"NA")</f>
        <v>133.84</v>
      </c>
      <c r="P283" s="12"/>
      <c r="Q283" s="12"/>
      <c r="S283" s="21">
        <v>129</v>
      </c>
      <c r="T283" s="12"/>
      <c r="U283" s="12"/>
      <c r="X283" s="27">
        <v>116.3</v>
      </c>
      <c r="Y283" s="12"/>
      <c r="Z283" s="12"/>
      <c r="AC283" s="22">
        <v>140.4</v>
      </c>
      <c r="AD283" s="21">
        <v>129.5</v>
      </c>
      <c r="AE283" s="8">
        <f>IFERROR(AVERAGE(AC283:AD283),"NA")</f>
        <v>134.94999999999999</v>
      </c>
      <c r="AF283" s="12"/>
      <c r="AG283" s="12"/>
    </row>
    <row r="284" spans="1:33">
      <c r="A284" s="21" t="s">
        <v>33</v>
      </c>
      <c r="B284" s="26">
        <v>2018</v>
      </c>
      <c r="C284" s="21" t="s">
        <v>35</v>
      </c>
      <c r="D284" s="52">
        <v>43132</v>
      </c>
      <c r="E284" s="27">
        <v>134.80000000000001</v>
      </c>
      <c r="F284" s="27">
        <v>143</v>
      </c>
      <c r="G284" s="27">
        <v>139.9</v>
      </c>
      <c r="H284" s="27">
        <v>139.9</v>
      </c>
      <c r="I284" s="27">
        <v>116.2</v>
      </c>
      <c r="J284" s="27">
        <v>135.5</v>
      </c>
      <c r="K284" s="27">
        <v>136.9</v>
      </c>
      <c r="L284" s="27">
        <v>117</v>
      </c>
      <c r="M284" s="27">
        <v>115.4</v>
      </c>
      <c r="N284" s="27">
        <v>140.69999999999999</v>
      </c>
      <c r="O284" s="8">
        <f t="shared" ref="O284:O329" si="24">IFERROR(AVERAGE(E284:N284),"NA")</f>
        <v>131.93</v>
      </c>
      <c r="P284" s="33">
        <f>IFERROR(IF(O283=0,"",(O284-O283)/O283*100),"NA")</f>
        <v>-1.4270771069934223</v>
      </c>
      <c r="Q284" s="12"/>
      <c r="S284" s="21">
        <v>129.80000000000001</v>
      </c>
      <c r="T284" s="33">
        <f>IFERROR(IF(S283=0,"",(S284-S283)/S283*100),"NA")</f>
        <v>0.6201550387596988</v>
      </c>
      <c r="U284" s="12"/>
      <c r="X284" s="27">
        <v>117.4</v>
      </c>
      <c r="Y284" s="33">
        <f>IFERROR(IF(X283=0,"",(X284-X283)/X283*100),"NA")</f>
        <v>0.94582975064489128</v>
      </c>
      <c r="Z284" s="12"/>
      <c r="AC284" s="22">
        <v>141.30000000000001</v>
      </c>
      <c r="AD284" s="21">
        <v>129.9</v>
      </c>
      <c r="AE284" s="8">
        <f t="shared" ref="AE284:AE329" si="25">IFERROR(AVERAGE(AC284:AD284),"NA")</f>
        <v>135.60000000000002</v>
      </c>
      <c r="AF284" s="33">
        <f>IFERROR(IF(AE283=0,"",(AE284-AE283)/AE283*100),"NA")</f>
        <v>0.48165987402744287</v>
      </c>
      <c r="AG284" s="12"/>
    </row>
    <row r="285" spans="1:33">
      <c r="A285" s="21" t="s">
        <v>33</v>
      </c>
      <c r="B285" s="26">
        <v>2018</v>
      </c>
      <c r="C285" s="21" t="s">
        <v>36</v>
      </c>
      <c r="D285" s="52">
        <v>43160</v>
      </c>
      <c r="E285" s="27">
        <v>135</v>
      </c>
      <c r="F285" s="27">
        <v>143.1</v>
      </c>
      <c r="G285" s="27">
        <v>135.5</v>
      </c>
      <c r="H285" s="27">
        <v>139.9</v>
      </c>
      <c r="I285" s="27">
        <v>116.5</v>
      </c>
      <c r="J285" s="27">
        <v>138.5</v>
      </c>
      <c r="K285" s="27">
        <v>128</v>
      </c>
      <c r="L285" s="27">
        <v>115.5</v>
      </c>
      <c r="M285" s="27">
        <v>114.2</v>
      </c>
      <c r="N285" s="27">
        <v>140.69999999999999</v>
      </c>
      <c r="O285" s="8">
        <f t="shared" si="24"/>
        <v>130.69</v>
      </c>
      <c r="P285" s="33">
        <f t="shared" ref="P285:P329" si="26">IFERROR(IF(O284=0,"",(O285-O284)/O284*100),"NA")</f>
        <v>-0.93989236716441227</v>
      </c>
      <c r="Q285" s="12"/>
      <c r="S285" s="21">
        <v>130.5</v>
      </c>
      <c r="T285" s="33">
        <f t="shared" ref="T285:T329" si="27">IFERROR(IF(S284=0,"",(S285-S284)/S284*100),"NA")</f>
        <v>0.53929121725731011</v>
      </c>
      <c r="U285" s="12"/>
      <c r="X285" s="27">
        <v>117.8</v>
      </c>
      <c r="Y285" s="33">
        <f t="shared" ref="Y285:Y329" si="28">IFERROR(IF(X284=0,"",(X285-X284)/X284*100),"NA")</f>
        <v>0.34071550255535898</v>
      </c>
      <c r="Z285" s="12"/>
      <c r="AC285" s="22">
        <v>142</v>
      </c>
      <c r="AD285" s="21">
        <v>130.80000000000001</v>
      </c>
      <c r="AE285" s="8">
        <f t="shared" si="25"/>
        <v>136.4</v>
      </c>
      <c r="AF285" s="33">
        <f t="shared" ref="AF285:AF329" si="29">IFERROR(IF(AE284=0,"",(AE285-AE284)/AE284*100),"NA")</f>
        <v>0.58997050147491359</v>
      </c>
      <c r="AG285" s="12"/>
    </row>
    <row r="286" spans="1:33">
      <c r="A286" s="21" t="s">
        <v>33</v>
      </c>
      <c r="B286" s="26">
        <v>2018</v>
      </c>
      <c r="C286" s="21" t="s">
        <v>37</v>
      </c>
      <c r="D286" s="52">
        <v>43191</v>
      </c>
      <c r="E286" s="27">
        <v>135</v>
      </c>
      <c r="F286" s="27">
        <v>144.30000000000001</v>
      </c>
      <c r="G286" s="27">
        <v>130.80000000000001</v>
      </c>
      <c r="H286" s="27">
        <v>140.30000000000001</v>
      </c>
      <c r="I286" s="27">
        <v>116.6</v>
      </c>
      <c r="J286" s="27">
        <v>150.1</v>
      </c>
      <c r="K286" s="27">
        <v>127.6</v>
      </c>
      <c r="L286" s="27">
        <v>114</v>
      </c>
      <c r="M286" s="27">
        <v>110.6</v>
      </c>
      <c r="N286" s="27">
        <v>140.19999999999999</v>
      </c>
      <c r="O286" s="8">
        <f t="shared" si="24"/>
        <v>130.95000000000002</v>
      </c>
      <c r="P286" s="33">
        <f t="shared" si="26"/>
        <v>0.19894406611065829</v>
      </c>
      <c r="Q286" s="12"/>
      <c r="S286" s="21">
        <v>131.30000000000001</v>
      </c>
      <c r="T286" s="33">
        <f t="shared" si="27"/>
        <v>0.61302681992338037</v>
      </c>
      <c r="U286" s="12"/>
      <c r="X286" s="27">
        <v>118.9</v>
      </c>
      <c r="Y286" s="33">
        <f t="shared" si="28"/>
        <v>0.93378607809847924</v>
      </c>
      <c r="Z286" s="12"/>
      <c r="AC286" s="22">
        <v>142.9</v>
      </c>
      <c r="AD286" s="21">
        <v>131.80000000000001</v>
      </c>
      <c r="AE286" s="8">
        <f t="shared" si="25"/>
        <v>137.35000000000002</v>
      </c>
      <c r="AF286" s="33">
        <f t="shared" si="29"/>
        <v>0.69648093841643477</v>
      </c>
      <c r="AG286" s="12"/>
    </row>
    <row r="287" spans="1:33">
      <c r="A287" s="21" t="s">
        <v>33</v>
      </c>
      <c r="B287" s="26">
        <v>2018</v>
      </c>
      <c r="C287" s="21" t="s">
        <v>38</v>
      </c>
      <c r="D287" s="52">
        <v>43221</v>
      </c>
      <c r="E287" s="27">
        <v>135</v>
      </c>
      <c r="F287" s="27">
        <v>148.19999999999999</v>
      </c>
      <c r="G287" s="27">
        <v>130.5</v>
      </c>
      <c r="H287" s="27">
        <v>140.69999999999999</v>
      </c>
      <c r="I287" s="27">
        <v>116.4</v>
      </c>
      <c r="J287" s="27">
        <v>151.30000000000001</v>
      </c>
      <c r="K287" s="27">
        <v>131.4</v>
      </c>
      <c r="L287" s="27">
        <v>112.8</v>
      </c>
      <c r="M287" s="27">
        <v>105.3</v>
      </c>
      <c r="N287" s="27">
        <v>139.6</v>
      </c>
      <c r="O287" s="8">
        <f t="shared" si="24"/>
        <v>131.11999999999998</v>
      </c>
      <c r="P287" s="33">
        <f t="shared" si="26"/>
        <v>0.12982054219164493</v>
      </c>
      <c r="Q287" s="12"/>
      <c r="S287" s="21">
        <v>132</v>
      </c>
      <c r="T287" s="33">
        <f t="shared" si="27"/>
        <v>0.53313023610052446</v>
      </c>
      <c r="U287" s="12"/>
      <c r="X287" s="27">
        <v>119.8</v>
      </c>
      <c r="Y287" s="33">
        <f t="shared" si="28"/>
        <v>0.75693860386879008</v>
      </c>
      <c r="Z287" s="12"/>
      <c r="AC287" s="22">
        <v>143.19999999999999</v>
      </c>
      <c r="AD287" s="21">
        <v>132.5</v>
      </c>
      <c r="AE287" s="8">
        <f t="shared" si="25"/>
        <v>137.85</v>
      </c>
      <c r="AF287" s="33">
        <f t="shared" si="29"/>
        <v>0.36403349108115868</v>
      </c>
      <c r="AG287" s="12"/>
    </row>
    <row r="288" spans="1:33">
      <c r="A288" s="21" t="s">
        <v>33</v>
      </c>
      <c r="B288" s="26">
        <v>2018</v>
      </c>
      <c r="C288" s="21" t="s">
        <v>39</v>
      </c>
      <c r="D288" s="52">
        <v>43252</v>
      </c>
      <c r="E288" s="27">
        <v>135.30000000000001</v>
      </c>
      <c r="F288" s="27">
        <v>149.69999999999999</v>
      </c>
      <c r="G288" s="27">
        <v>133.9</v>
      </c>
      <c r="H288" s="27">
        <v>140.80000000000001</v>
      </c>
      <c r="I288" s="27">
        <v>116.6</v>
      </c>
      <c r="J288" s="27">
        <v>152.19999999999999</v>
      </c>
      <c r="K288" s="27">
        <v>144</v>
      </c>
      <c r="L288" s="27">
        <v>112.3</v>
      </c>
      <c r="M288" s="27">
        <v>108.4</v>
      </c>
      <c r="N288" s="27">
        <v>140</v>
      </c>
      <c r="O288" s="8">
        <f t="shared" si="24"/>
        <v>133.32</v>
      </c>
      <c r="P288" s="33">
        <f t="shared" si="26"/>
        <v>1.6778523489933017</v>
      </c>
      <c r="Q288" s="12"/>
      <c r="S288" s="21">
        <v>132.6</v>
      </c>
      <c r="T288" s="33">
        <f t="shared" si="27"/>
        <v>0.45454545454545026</v>
      </c>
      <c r="U288" s="12"/>
      <c r="X288" s="27">
        <v>120.4</v>
      </c>
      <c r="Y288" s="33">
        <f t="shared" si="28"/>
        <v>0.5008347245409086</v>
      </c>
      <c r="Z288" s="12"/>
      <c r="AC288" s="22">
        <v>142.5</v>
      </c>
      <c r="AD288" s="21">
        <v>133.1</v>
      </c>
      <c r="AE288" s="8">
        <f t="shared" si="25"/>
        <v>137.80000000000001</v>
      </c>
      <c r="AF288" s="33">
        <f t="shared" si="29"/>
        <v>-3.6271309394256761E-2</v>
      </c>
      <c r="AG288" s="12"/>
    </row>
    <row r="289" spans="1:33">
      <c r="A289" s="21" t="s">
        <v>33</v>
      </c>
      <c r="B289" s="26">
        <v>2018</v>
      </c>
      <c r="C289" s="21" t="s">
        <v>40</v>
      </c>
      <c r="D289" s="52">
        <v>43282</v>
      </c>
      <c r="E289" s="27">
        <v>135.6</v>
      </c>
      <c r="F289" s="27">
        <v>148.6</v>
      </c>
      <c r="G289" s="27">
        <v>139.1</v>
      </c>
      <c r="H289" s="27">
        <v>141</v>
      </c>
      <c r="I289" s="27">
        <v>116.7</v>
      </c>
      <c r="J289" s="27">
        <v>149.69999999999999</v>
      </c>
      <c r="K289" s="27">
        <v>159.19999999999999</v>
      </c>
      <c r="L289" s="27">
        <v>112.6</v>
      </c>
      <c r="M289" s="27">
        <v>111.8</v>
      </c>
      <c r="N289" s="27">
        <v>140.30000000000001</v>
      </c>
      <c r="O289" s="8">
        <f t="shared" si="24"/>
        <v>135.45999999999998</v>
      </c>
      <c r="P289" s="33">
        <f t="shared" si="26"/>
        <v>1.6051605160515952</v>
      </c>
      <c r="Q289" s="12"/>
      <c r="S289" s="21">
        <v>133.6</v>
      </c>
      <c r="T289" s="33">
        <f t="shared" si="27"/>
        <v>0.75414781297134237</v>
      </c>
      <c r="U289" s="12"/>
      <c r="X289" s="27">
        <v>120.1</v>
      </c>
      <c r="Y289" s="33">
        <f t="shared" si="28"/>
        <v>-0.24916943521595628</v>
      </c>
      <c r="Z289" s="12"/>
      <c r="AC289" s="22">
        <v>143.6</v>
      </c>
      <c r="AD289" s="21">
        <v>133.6</v>
      </c>
      <c r="AE289" s="8">
        <f t="shared" si="25"/>
        <v>138.6</v>
      </c>
      <c r="AF289" s="33">
        <f t="shared" si="29"/>
        <v>0.5805515239477379</v>
      </c>
      <c r="AG289" s="12"/>
    </row>
    <row r="290" spans="1:33">
      <c r="A290" s="21" t="s">
        <v>33</v>
      </c>
      <c r="B290" s="26">
        <v>2018</v>
      </c>
      <c r="C290" s="21" t="s">
        <v>41</v>
      </c>
      <c r="D290" s="52">
        <v>43313</v>
      </c>
      <c r="E290" s="27">
        <v>136.5</v>
      </c>
      <c r="F290" s="27">
        <v>146.4</v>
      </c>
      <c r="G290" s="27">
        <v>136.6</v>
      </c>
      <c r="H290" s="27">
        <v>141.19999999999999</v>
      </c>
      <c r="I290" s="27">
        <v>117.4</v>
      </c>
      <c r="J290" s="27">
        <v>146.30000000000001</v>
      </c>
      <c r="K290" s="27">
        <v>157.30000000000001</v>
      </c>
      <c r="L290" s="27">
        <v>113.6</v>
      </c>
      <c r="M290" s="27">
        <v>113.3</v>
      </c>
      <c r="N290" s="27">
        <v>141.1</v>
      </c>
      <c r="O290" s="8">
        <f t="shared" si="24"/>
        <v>134.96999999999997</v>
      </c>
      <c r="P290" s="33">
        <f t="shared" si="26"/>
        <v>-0.36173040011812285</v>
      </c>
      <c r="Q290" s="12"/>
      <c r="S290" s="21">
        <v>134.9</v>
      </c>
      <c r="T290" s="33">
        <f t="shared" si="27"/>
        <v>0.97305389221557737</v>
      </c>
      <c r="U290" s="12"/>
      <c r="X290" s="27">
        <v>120.7</v>
      </c>
      <c r="Y290" s="33">
        <f t="shared" si="28"/>
        <v>0.49958368026645172</v>
      </c>
      <c r="Z290" s="12"/>
      <c r="AC290" s="22">
        <v>144.6</v>
      </c>
      <c r="AD290" s="21">
        <v>134.4</v>
      </c>
      <c r="AE290" s="8">
        <f t="shared" si="25"/>
        <v>139.5</v>
      </c>
      <c r="AF290" s="33">
        <f t="shared" si="29"/>
        <v>0.64935064935065345</v>
      </c>
      <c r="AG290" s="12"/>
    </row>
    <row r="291" spans="1:33">
      <c r="A291" s="21" t="s">
        <v>33</v>
      </c>
      <c r="B291" s="26">
        <v>2018</v>
      </c>
      <c r="C291" s="21" t="s">
        <v>42</v>
      </c>
      <c r="D291" s="52">
        <v>43344</v>
      </c>
      <c r="E291" s="27">
        <v>137</v>
      </c>
      <c r="F291" s="27">
        <v>143.1</v>
      </c>
      <c r="G291" s="27">
        <v>132.80000000000001</v>
      </c>
      <c r="H291" s="27">
        <v>141.5</v>
      </c>
      <c r="I291" s="27">
        <v>117.8</v>
      </c>
      <c r="J291" s="27">
        <v>140</v>
      </c>
      <c r="K291" s="27">
        <v>151.30000000000001</v>
      </c>
      <c r="L291" s="27">
        <v>113.5</v>
      </c>
      <c r="M291" s="27">
        <v>112.3</v>
      </c>
      <c r="N291" s="27">
        <v>141.19999999999999</v>
      </c>
      <c r="O291" s="8">
        <f t="shared" si="24"/>
        <v>133.05000000000001</v>
      </c>
      <c r="P291" s="33">
        <f t="shared" si="26"/>
        <v>-1.4225383418537152</v>
      </c>
      <c r="Q291" s="12"/>
      <c r="S291" s="21">
        <v>135.69999999999999</v>
      </c>
      <c r="T291" s="33">
        <f t="shared" si="27"/>
        <v>0.5930318754632935</v>
      </c>
      <c r="U291" s="12"/>
      <c r="X291" s="27">
        <v>122.5</v>
      </c>
      <c r="Y291" s="33">
        <f t="shared" si="28"/>
        <v>1.4913007456503704</v>
      </c>
      <c r="Z291" s="12"/>
      <c r="AC291" s="22">
        <v>145.30000000000001</v>
      </c>
      <c r="AD291" s="21">
        <v>134.9</v>
      </c>
      <c r="AE291" s="8">
        <f t="shared" si="25"/>
        <v>140.10000000000002</v>
      </c>
      <c r="AF291" s="33">
        <f t="shared" si="29"/>
        <v>0.43010752688173676</v>
      </c>
      <c r="AG291" s="12"/>
    </row>
    <row r="292" spans="1:33">
      <c r="A292" s="21" t="s">
        <v>33</v>
      </c>
      <c r="B292" s="26">
        <v>2018</v>
      </c>
      <c r="C292" s="21" t="s">
        <v>43</v>
      </c>
      <c r="D292" s="52">
        <v>43374</v>
      </c>
      <c r="E292" s="27">
        <v>137.6</v>
      </c>
      <c r="F292" s="27">
        <v>144.9</v>
      </c>
      <c r="G292" s="27">
        <v>133.5</v>
      </c>
      <c r="H292" s="27">
        <v>141.5</v>
      </c>
      <c r="I292" s="27">
        <v>118</v>
      </c>
      <c r="J292" s="27">
        <v>139.5</v>
      </c>
      <c r="K292" s="27">
        <v>153</v>
      </c>
      <c r="L292" s="27">
        <v>113.2</v>
      </c>
      <c r="M292" s="27">
        <v>112.8</v>
      </c>
      <c r="N292" s="27">
        <v>141.1</v>
      </c>
      <c r="O292" s="8">
        <f t="shared" si="24"/>
        <v>133.51</v>
      </c>
      <c r="P292" s="33">
        <f t="shared" si="26"/>
        <v>0.34573468620817699</v>
      </c>
      <c r="Q292" s="12"/>
      <c r="S292" s="21">
        <v>136.19999999999999</v>
      </c>
      <c r="T292" s="33">
        <f t="shared" si="27"/>
        <v>0.36845983787767139</v>
      </c>
      <c r="U292" s="12"/>
      <c r="X292" s="27">
        <v>123.3</v>
      </c>
      <c r="Y292" s="33">
        <f t="shared" si="28"/>
        <v>0.65306122448979365</v>
      </c>
      <c r="Z292" s="12"/>
      <c r="AC292" s="22">
        <v>146.30000000000001</v>
      </c>
      <c r="AD292" s="21">
        <v>135.1</v>
      </c>
      <c r="AE292" s="8">
        <f t="shared" si="25"/>
        <v>140.69999999999999</v>
      </c>
      <c r="AF292" s="33">
        <f t="shared" si="29"/>
        <v>0.42826552462524325</v>
      </c>
      <c r="AG292" s="12"/>
    </row>
    <row r="293" spans="1:33">
      <c r="A293" s="21" t="s">
        <v>33</v>
      </c>
      <c r="B293" s="26">
        <v>2018</v>
      </c>
      <c r="C293" s="21" t="s">
        <v>45</v>
      </c>
      <c r="D293" s="52">
        <v>43405</v>
      </c>
      <c r="E293" s="27">
        <v>138.1</v>
      </c>
      <c r="F293" s="27">
        <v>146.30000000000001</v>
      </c>
      <c r="G293" s="27">
        <v>137.80000000000001</v>
      </c>
      <c r="H293" s="27">
        <v>141.6</v>
      </c>
      <c r="I293" s="27">
        <v>118.1</v>
      </c>
      <c r="J293" s="27">
        <v>141.5</v>
      </c>
      <c r="K293" s="27">
        <v>145.19999999999999</v>
      </c>
      <c r="L293" s="27">
        <v>115.3</v>
      </c>
      <c r="M293" s="27">
        <v>112.5</v>
      </c>
      <c r="N293" s="27">
        <v>141.4</v>
      </c>
      <c r="O293" s="8">
        <f t="shared" si="24"/>
        <v>133.78</v>
      </c>
      <c r="P293" s="33">
        <f t="shared" si="26"/>
        <v>0.20223204254363739</v>
      </c>
      <c r="Q293" s="12"/>
      <c r="S293" s="21">
        <v>136.80000000000001</v>
      </c>
      <c r="T293" s="33">
        <f t="shared" si="27"/>
        <v>0.44052863436125017</v>
      </c>
      <c r="U293" s="12"/>
      <c r="X293" s="27">
        <v>121.2</v>
      </c>
      <c r="Y293" s="33">
        <f t="shared" si="28"/>
        <v>-1.7031630170316256</v>
      </c>
      <c r="Z293" s="12"/>
      <c r="AC293" s="22">
        <v>146.9</v>
      </c>
      <c r="AD293" s="21">
        <v>135.80000000000001</v>
      </c>
      <c r="AE293" s="8">
        <f t="shared" si="25"/>
        <v>141.35000000000002</v>
      </c>
      <c r="AF293" s="33">
        <f t="shared" si="29"/>
        <v>0.46197583511018775</v>
      </c>
      <c r="AG293" s="12"/>
    </row>
    <row r="294" spans="1:33">
      <c r="A294" s="21" t="s">
        <v>33</v>
      </c>
      <c r="B294" s="26">
        <v>2018</v>
      </c>
      <c r="C294" s="21" t="s">
        <v>46</v>
      </c>
      <c r="D294" s="52">
        <v>43435</v>
      </c>
      <c r="E294" s="27">
        <v>138.5</v>
      </c>
      <c r="F294" s="27">
        <v>147.80000000000001</v>
      </c>
      <c r="G294" s="27">
        <v>141.1</v>
      </c>
      <c r="H294" s="27">
        <v>141.6</v>
      </c>
      <c r="I294" s="27">
        <v>118.1</v>
      </c>
      <c r="J294" s="27">
        <v>138.5</v>
      </c>
      <c r="K294" s="27">
        <v>132.4</v>
      </c>
      <c r="L294" s="27">
        <v>117.5</v>
      </c>
      <c r="M294" s="27">
        <v>111</v>
      </c>
      <c r="N294" s="27">
        <v>141.5</v>
      </c>
      <c r="O294" s="8">
        <f t="shared" si="24"/>
        <v>132.80000000000001</v>
      </c>
      <c r="P294" s="33">
        <f t="shared" si="26"/>
        <v>-0.7325459709971518</v>
      </c>
      <c r="Q294" s="12"/>
      <c r="S294" s="21">
        <v>137.30000000000001</v>
      </c>
      <c r="T294" s="33">
        <f t="shared" si="27"/>
        <v>0.36549707602339176</v>
      </c>
      <c r="U294" s="12"/>
      <c r="X294" s="27">
        <v>118.8</v>
      </c>
      <c r="Y294" s="33">
        <f t="shared" si="28"/>
        <v>-1.9801980198019846</v>
      </c>
      <c r="Z294" s="12"/>
      <c r="AC294" s="22">
        <v>146.5</v>
      </c>
      <c r="AD294" s="21">
        <v>136.19999999999999</v>
      </c>
      <c r="AE294" s="8">
        <f t="shared" si="25"/>
        <v>141.35</v>
      </c>
      <c r="AF294" s="33">
        <f t="shared" si="29"/>
        <v>-2.0107328921403608E-14</v>
      </c>
      <c r="AG294" s="12"/>
    </row>
    <row r="295" spans="1:33">
      <c r="A295" s="21" t="s">
        <v>33</v>
      </c>
      <c r="B295" s="26">
        <v>2019</v>
      </c>
      <c r="C295" s="21" t="s">
        <v>31</v>
      </c>
      <c r="D295" s="52">
        <v>43466</v>
      </c>
      <c r="E295" s="27">
        <v>138.30000000000001</v>
      </c>
      <c r="F295" s="27">
        <v>149.4</v>
      </c>
      <c r="G295" s="27">
        <v>143.5</v>
      </c>
      <c r="H295" s="27">
        <v>141.69999999999999</v>
      </c>
      <c r="I295" s="27">
        <v>118.1</v>
      </c>
      <c r="J295" s="27">
        <v>135.19999999999999</v>
      </c>
      <c r="K295" s="27">
        <v>130.5</v>
      </c>
      <c r="L295" s="27">
        <v>118.2</v>
      </c>
      <c r="M295" s="27">
        <v>110.4</v>
      </c>
      <c r="N295" s="27">
        <v>140.4</v>
      </c>
      <c r="O295" s="8">
        <f t="shared" si="24"/>
        <v>132.57000000000002</v>
      </c>
      <c r="P295" s="33">
        <f t="shared" si="26"/>
        <v>-0.17319277108432962</v>
      </c>
      <c r="Q295" s="33">
        <f>IFERROR(IF(O283=0,"",(O295-O283)/O283*100),"NA")</f>
        <v>-0.94889420203226382</v>
      </c>
      <c r="S295" s="21">
        <v>137.80000000000001</v>
      </c>
      <c r="T295" s="33">
        <f t="shared" si="27"/>
        <v>0.36416605972323374</v>
      </c>
      <c r="U295" s="33">
        <f>IFERROR(IF(S283=0,"",(S295-S283)/S283*100),"NA")</f>
        <v>6.8217054263565977</v>
      </c>
      <c r="X295" s="27">
        <v>118.6</v>
      </c>
      <c r="Y295" s="33">
        <f t="shared" si="28"/>
        <v>-0.16835016835017075</v>
      </c>
      <c r="Z295" s="33">
        <f>IFERROR(IF(X283=0,"",(X295-X283)/X283*100),"NA")</f>
        <v>1.9776440240756639</v>
      </c>
      <c r="AC295" s="22">
        <v>147.69999999999999</v>
      </c>
      <c r="AD295" s="21">
        <v>136.30000000000001</v>
      </c>
      <c r="AE295" s="8">
        <f t="shared" si="25"/>
        <v>142</v>
      </c>
      <c r="AF295" s="33">
        <f t="shared" si="29"/>
        <v>0.45985143261408257</v>
      </c>
      <c r="AG295" s="33">
        <f>IFERROR(IF(AE283=0,"",(AE295-AE283)/AE283*100),"NA")</f>
        <v>5.2241570952204608</v>
      </c>
    </row>
    <row r="296" spans="1:33">
      <c r="A296" s="21" t="s">
        <v>33</v>
      </c>
      <c r="B296" s="26">
        <v>2019</v>
      </c>
      <c r="C296" s="21" t="s">
        <v>35</v>
      </c>
      <c r="D296" s="52">
        <v>43497</v>
      </c>
      <c r="E296" s="27">
        <v>139.4</v>
      </c>
      <c r="F296" s="27">
        <v>150.1</v>
      </c>
      <c r="G296" s="27">
        <v>145.30000000000001</v>
      </c>
      <c r="H296" s="27">
        <v>141.69999999999999</v>
      </c>
      <c r="I296" s="27">
        <v>118.4</v>
      </c>
      <c r="J296" s="27">
        <v>137</v>
      </c>
      <c r="K296" s="27">
        <v>131.6</v>
      </c>
      <c r="L296" s="27">
        <v>119.9</v>
      </c>
      <c r="M296" s="27">
        <v>110.4</v>
      </c>
      <c r="N296" s="27">
        <v>140.80000000000001</v>
      </c>
      <c r="O296" s="8">
        <f t="shared" si="24"/>
        <v>133.46</v>
      </c>
      <c r="P296" s="33">
        <f t="shared" si="26"/>
        <v>0.67134344120086453</v>
      </c>
      <c r="Q296" s="33">
        <f t="shared" ref="Q296:Q329" si="30">IFERROR(IF(O284=0,"",(O296-O284)/O284*100),"NA")</f>
        <v>1.1597059046464042</v>
      </c>
      <c r="S296" s="21">
        <v>138.5</v>
      </c>
      <c r="T296" s="33">
        <f t="shared" si="27"/>
        <v>0.50798258345427327</v>
      </c>
      <c r="U296" s="33">
        <f t="shared" ref="U296:U329" si="31">IFERROR(IF(S284=0,"",(S296-S284)/S284*100),"NA")</f>
        <v>6.7026194144838129</v>
      </c>
      <c r="X296" s="27">
        <v>119.2</v>
      </c>
      <c r="Y296" s="33">
        <f t="shared" si="28"/>
        <v>0.50590219224284028</v>
      </c>
      <c r="Z296" s="33">
        <f t="shared" ref="Z296:Z329" si="32">IFERROR(IF(X284=0,"",(X296-X284)/X284*100),"NA")</f>
        <v>1.5332197614991459</v>
      </c>
      <c r="AC296" s="22">
        <v>148.5</v>
      </c>
      <c r="AD296" s="21">
        <v>136.6</v>
      </c>
      <c r="AE296" s="8">
        <f t="shared" si="25"/>
        <v>142.55000000000001</v>
      </c>
      <c r="AF296" s="33">
        <f t="shared" si="29"/>
        <v>0.38732394366197986</v>
      </c>
      <c r="AG296" s="33">
        <f t="shared" ref="AG296:AG329" si="33">IFERROR(IF(AE284=0,"",(AE296-AE284)/AE284*100),"NA")</f>
        <v>5.1253687315634133</v>
      </c>
    </row>
    <row r="297" spans="1:33">
      <c r="A297" s="21" t="s">
        <v>33</v>
      </c>
      <c r="B297" s="26">
        <v>2019</v>
      </c>
      <c r="C297" s="21" t="s">
        <v>36</v>
      </c>
      <c r="D297" s="52">
        <v>43525</v>
      </c>
      <c r="E297" s="27">
        <v>139.69999999999999</v>
      </c>
      <c r="F297" s="27">
        <v>151.1</v>
      </c>
      <c r="G297" s="27">
        <v>142.9</v>
      </c>
      <c r="H297" s="27">
        <v>141.9</v>
      </c>
      <c r="I297" s="27">
        <v>118.4</v>
      </c>
      <c r="J297" s="27">
        <v>139.4</v>
      </c>
      <c r="K297" s="27">
        <v>141.19999999999999</v>
      </c>
      <c r="L297" s="27">
        <v>120.7</v>
      </c>
      <c r="M297" s="27">
        <v>110.4</v>
      </c>
      <c r="N297" s="27">
        <v>140.69999999999999</v>
      </c>
      <c r="O297" s="8">
        <f t="shared" si="24"/>
        <v>134.64000000000001</v>
      </c>
      <c r="P297" s="33">
        <f t="shared" si="26"/>
        <v>0.88416004795444836</v>
      </c>
      <c r="Q297" s="33">
        <f t="shared" si="30"/>
        <v>3.0224194659117125</v>
      </c>
      <c r="S297" s="21">
        <v>139.19999999999999</v>
      </c>
      <c r="T297" s="33">
        <f t="shared" si="27"/>
        <v>0.50541516245486551</v>
      </c>
      <c r="U297" s="33">
        <f t="shared" si="31"/>
        <v>6.6666666666666581</v>
      </c>
      <c r="X297" s="27">
        <v>119.9</v>
      </c>
      <c r="Y297" s="33">
        <f t="shared" si="28"/>
        <v>0.58724832214765332</v>
      </c>
      <c r="Z297" s="33">
        <f t="shared" si="32"/>
        <v>1.7826825127334536</v>
      </c>
      <c r="AC297" s="22">
        <v>149</v>
      </c>
      <c r="AD297" s="21">
        <v>136.80000000000001</v>
      </c>
      <c r="AE297" s="8">
        <f t="shared" si="25"/>
        <v>142.9</v>
      </c>
      <c r="AF297" s="33">
        <f t="shared" si="29"/>
        <v>0.24552788495264419</v>
      </c>
      <c r="AG297" s="33">
        <f t="shared" si="33"/>
        <v>4.7653958944281527</v>
      </c>
    </row>
    <row r="298" spans="1:33">
      <c r="A298" s="21" t="s">
        <v>33</v>
      </c>
      <c r="B298" s="26">
        <v>2019</v>
      </c>
      <c r="C298" s="21" t="s">
        <v>38</v>
      </c>
      <c r="D298" s="52">
        <v>43586</v>
      </c>
      <c r="E298" s="27">
        <v>140.4</v>
      </c>
      <c r="F298" s="27">
        <v>156.69999999999999</v>
      </c>
      <c r="G298" s="27">
        <v>138.30000000000001</v>
      </c>
      <c r="H298" s="27">
        <v>142.4</v>
      </c>
      <c r="I298" s="27">
        <v>118.6</v>
      </c>
      <c r="J298" s="27">
        <v>149.69999999999999</v>
      </c>
      <c r="K298" s="27">
        <v>161.6</v>
      </c>
      <c r="L298" s="27">
        <v>124.4</v>
      </c>
      <c r="M298" s="27">
        <v>111.2</v>
      </c>
      <c r="N298" s="27">
        <v>141</v>
      </c>
      <c r="O298" s="8">
        <f t="shared" si="24"/>
        <v>138.43</v>
      </c>
      <c r="P298" s="33">
        <f t="shared" si="26"/>
        <v>2.814913844325603</v>
      </c>
      <c r="Q298" s="33">
        <f t="shared" si="30"/>
        <v>5.7121038564337452</v>
      </c>
      <c r="S298" s="21">
        <v>139.80000000000001</v>
      </c>
      <c r="T298" s="33">
        <f t="shared" si="27"/>
        <v>0.43103448275863709</v>
      </c>
      <c r="U298" s="33">
        <f t="shared" si="31"/>
        <v>6.4737242955064733</v>
      </c>
      <c r="X298" s="27">
        <v>120.1</v>
      </c>
      <c r="Y298" s="33">
        <f t="shared" si="28"/>
        <v>0.16680567139281788</v>
      </c>
      <c r="Z298" s="33">
        <f t="shared" si="32"/>
        <v>1.0092514718250534</v>
      </c>
      <c r="AC298" s="22">
        <v>150.1</v>
      </c>
      <c r="AD298" s="21">
        <v>137.19999999999999</v>
      </c>
      <c r="AE298" s="8">
        <f t="shared" si="25"/>
        <v>143.64999999999998</v>
      </c>
      <c r="AF298" s="33">
        <f t="shared" si="29"/>
        <v>0.52484254723580936</v>
      </c>
      <c r="AG298" s="33">
        <f t="shared" si="33"/>
        <v>4.5868219876228276</v>
      </c>
    </row>
    <row r="299" spans="1:33">
      <c r="A299" s="21" t="s">
        <v>33</v>
      </c>
      <c r="B299" s="26">
        <v>2019</v>
      </c>
      <c r="C299" s="21" t="s">
        <v>39</v>
      </c>
      <c r="D299" s="52">
        <v>43617</v>
      </c>
      <c r="E299" s="27">
        <v>140.69999999999999</v>
      </c>
      <c r="F299" s="27">
        <v>159.6</v>
      </c>
      <c r="G299" s="27">
        <v>140.4</v>
      </c>
      <c r="H299" s="27">
        <v>143.4</v>
      </c>
      <c r="I299" s="27">
        <v>118.6</v>
      </c>
      <c r="J299" s="27">
        <v>150.9</v>
      </c>
      <c r="K299" s="27">
        <v>169.8</v>
      </c>
      <c r="L299" s="27">
        <v>127.4</v>
      </c>
      <c r="M299" s="27">
        <v>111.8</v>
      </c>
      <c r="N299" s="27">
        <v>141</v>
      </c>
      <c r="O299" s="8">
        <f t="shared" si="24"/>
        <v>140.35999999999999</v>
      </c>
      <c r="P299" s="33">
        <f t="shared" si="26"/>
        <v>1.3942064581376712</v>
      </c>
      <c r="Q299" s="33">
        <f t="shared" si="30"/>
        <v>7.0469798657718199</v>
      </c>
      <c r="S299" s="21">
        <v>140.30000000000001</v>
      </c>
      <c r="T299" s="33">
        <f t="shared" si="27"/>
        <v>0.35765379113018592</v>
      </c>
      <c r="U299" s="33">
        <f t="shared" si="31"/>
        <v>6.2878787878787961</v>
      </c>
      <c r="X299" s="27">
        <v>119.6</v>
      </c>
      <c r="Y299" s="33">
        <f t="shared" si="28"/>
        <v>-0.4163197335553705</v>
      </c>
      <c r="Z299" s="33">
        <f t="shared" si="32"/>
        <v>-0.16694490818030286</v>
      </c>
      <c r="AC299" s="22">
        <v>149.4</v>
      </c>
      <c r="AD299" s="21">
        <v>137.4</v>
      </c>
      <c r="AE299" s="8">
        <f t="shared" si="25"/>
        <v>143.4</v>
      </c>
      <c r="AF299" s="33">
        <f t="shared" si="29"/>
        <v>-0.17403411068567465</v>
      </c>
      <c r="AG299" s="33">
        <f t="shared" si="33"/>
        <v>4.0261153427638821</v>
      </c>
    </row>
    <row r="300" spans="1:33">
      <c r="A300" s="21" t="s">
        <v>33</v>
      </c>
      <c r="B300" s="26">
        <v>2019</v>
      </c>
      <c r="C300" s="21" t="s">
        <v>40</v>
      </c>
      <c r="D300" s="52">
        <v>43647</v>
      </c>
      <c r="E300" s="27">
        <v>141.4</v>
      </c>
      <c r="F300" s="27">
        <v>160.19999999999999</v>
      </c>
      <c r="G300" s="27">
        <v>142.5</v>
      </c>
      <c r="H300" s="27">
        <v>144.1</v>
      </c>
      <c r="I300" s="27">
        <v>119.3</v>
      </c>
      <c r="J300" s="27">
        <v>154.69999999999999</v>
      </c>
      <c r="K300" s="27">
        <v>180.1</v>
      </c>
      <c r="L300" s="27">
        <v>128.9</v>
      </c>
      <c r="M300" s="27">
        <v>111.8</v>
      </c>
      <c r="N300" s="27">
        <v>141.6</v>
      </c>
      <c r="O300" s="8">
        <f t="shared" si="24"/>
        <v>142.45999999999998</v>
      </c>
      <c r="P300" s="33">
        <f t="shared" si="26"/>
        <v>1.4961527500712415</v>
      </c>
      <c r="Q300" s="33">
        <f t="shared" si="30"/>
        <v>6.8556855685568463</v>
      </c>
      <c r="S300" s="21">
        <v>140.80000000000001</v>
      </c>
      <c r="T300" s="33">
        <f t="shared" si="27"/>
        <v>0.35637918745545255</v>
      </c>
      <c r="U300" s="33">
        <f t="shared" si="31"/>
        <v>6.1840120663650211</v>
      </c>
      <c r="X300" s="27">
        <v>120.6</v>
      </c>
      <c r="Y300" s="33">
        <f t="shared" si="28"/>
        <v>0.83612040133779264</v>
      </c>
      <c r="Z300" s="33">
        <f t="shared" si="32"/>
        <v>0.16611295681062177</v>
      </c>
      <c r="AC300" s="22">
        <v>150.6</v>
      </c>
      <c r="AD300" s="21">
        <v>137.69999999999999</v>
      </c>
      <c r="AE300" s="8">
        <f t="shared" si="25"/>
        <v>144.14999999999998</v>
      </c>
      <c r="AF300" s="33">
        <f t="shared" si="29"/>
        <v>0.52301255230123544</v>
      </c>
      <c r="AG300" s="33">
        <f t="shared" si="33"/>
        <v>4.6081277213352436</v>
      </c>
    </row>
    <row r="301" spans="1:33">
      <c r="A301" s="21" t="s">
        <v>33</v>
      </c>
      <c r="B301" s="26">
        <v>2019</v>
      </c>
      <c r="C301" s="21" t="s">
        <v>41</v>
      </c>
      <c r="D301" s="52">
        <v>43678</v>
      </c>
      <c r="E301" s="27">
        <v>142.1</v>
      </c>
      <c r="F301" s="27">
        <v>158.30000000000001</v>
      </c>
      <c r="G301" s="27">
        <v>140.80000000000001</v>
      </c>
      <c r="H301" s="27">
        <v>144.9</v>
      </c>
      <c r="I301" s="27">
        <v>119.9</v>
      </c>
      <c r="J301" s="27">
        <v>153.9</v>
      </c>
      <c r="K301" s="27">
        <v>189.1</v>
      </c>
      <c r="L301" s="27">
        <v>129.80000000000001</v>
      </c>
      <c r="M301" s="27">
        <v>112.7</v>
      </c>
      <c r="N301" s="27">
        <v>142.5</v>
      </c>
      <c r="O301" s="8">
        <f t="shared" si="24"/>
        <v>143.4</v>
      </c>
      <c r="P301" s="33">
        <f t="shared" si="26"/>
        <v>0.6598343394637276</v>
      </c>
      <c r="Q301" s="33">
        <f t="shared" si="30"/>
        <v>5.8615089325262275</v>
      </c>
      <c r="S301" s="21">
        <v>141.5</v>
      </c>
      <c r="T301" s="33">
        <f t="shared" si="27"/>
        <v>0.49715909090908283</v>
      </c>
      <c r="U301" s="33">
        <f t="shared" si="31"/>
        <v>5.9131736526946153</v>
      </c>
      <c r="X301" s="27">
        <v>120.8</v>
      </c>
      <c r="Y301" s="33">
        <f t="shared" si="28"/>
        <v>0.16583747927031744</v>
      </c>
      <c r="Z301" s="33">
        <f t="shared" si="32"/>
        <v>0.58284762697752113</v>
      </c>
      <c r="AC301" s="22">
        <v>151.6</v>
      </c>
      <c r="AD301" s="21">
        <v>138.1</v>
      </c>
      <c r="AE301" s="8">
        <f t="shared" si="25"/>
        <v>144.85</v>
      </c>
      <c r="AF301" s="33">
        <f t="shared" si="29"/>
        <v>0.48560527228582528</v>
      </c>
      <c r="AG301" s="33">
        <f t="shared" si="33"/>
        <v>4.5093795093795093</v>
      </c>
    </row>
    <row r="302" spans="1:33">
      <c r="A302" s="21" t="s">
        <v>33</v>
      </c>
      <c r="B302" s="26">
        <v>2019</v>
      </c>
      <c r="C302" s="21" t="s">
        <v>42</v>
      </c>
      <c r="D302" s="52">
        <v>43709</v>
      </c>
      <c r="E302" s="27">
        <v>142.69999999999999</v>
      </c>
      <c r="F302" s="27">
        <v>158.69999999999999</v>
      </c>
      <c r="G302" s="27">
        <v>141.6</v>
      </c>
      <c r="H302" s="27">
        <v>144.9</v>
      </c>
      <c r="I302" s="27">
        <v>120.8</v>
      </c>
      <c r="J302" s="27">
        <v>149.80000000000001</v>
      </c>
      <c r="K302" s="27">
        <v>192.4</v>
      </c>
      <c r="L302" s="27">
        <v>130.30000000000001</v>
      </c>
      <c r="M302" s="27">
        <v>114</v>
      </c>
      <c r="N302" s="27">
        <v>143.80000000000001</v>
      </c>
      <c r="O302" s="8">
        <f t="shared" si="24"/>
        <v>143.9</v>
      </c>
      <c r="P302" s="33">
        <f t="shared" si="26"/>
        <v>0.34867503486750351</v>
      </c>
      <c r="Q302" s="33">
        <f t="shared" si="30"/>
        <v>6.6162851003927079</v>
      </c>
      <c r="S302" s="21">
        <v>141.9</v>
      </c>
      <c r="T302" s="33">
        <f t="shared" si="27"/>
        <v>0.28268551236749517</v>
      </c>
      <c r="U302" s="33">
        <f t="shared" si="31"/>
        <v>5.1890289103039287</v>
      </c>
      <c r="X302" s="27">
        <v>121.2</v>
      </c>
      <c r="Y302" s="33">
        <f t="shared" si="28"/>
        <v>0.33112582781457428</v>
      </c>
      <c r="Z302" s="33">
        <f t="shared" si="32"/>
        <v>0.41425020712510358</v>
      </c>
      <c r="AC302" s="22">
        <v>152.19999999999999</v>
      </c>
      <c r="AD302" s="21">
        <v>138.30000000000001</v>
      </c>
      <c r="AE302" s="8">
        <f t="shared" si="25"/>
        <v>145.25</v>
      </c>
      <c r="AF302" s="33">
        <f t="shared" si="29"/>
        <v>0.27614773904039053</v>
      </c>
      <c r="AG302" s="33">
        <f t="shared" si="33"/>
        <v>4.1218637992831546</v>
      </c>
    </row>
    <row r="303" spans="1:33">
      <c r="A303" s="21" t="s">
        <v>33</v>
      </c>
      <c r="B303" s="26">
        <v>2019</v>
      </c>
      <c r="C303" s="21" t="s">
        <v>43</v>
      </c>
      <c r="D303" s="52">
        <v>43739</v>
      </c>
      <c r="E303" s="27">
        <v>143.5</v>
      </c>
      <c r="F303" s="27">
        <v>159.80000000000001</v>
      </c>
      <c r="G303" s="27">
        <v>144.69999999999999</v>
      </c>
      <c r="H303" s="27">
        <v>145.6</v>
      </c>
      <c r="I303" s="27">
        <v>121.1</v>
      </c>
      <c r="J303" s="27">
        <v>150.6</v>
      </c>
      <c r="K303" s="27">
        <v>207.2</v>
      </c>
      <c r="L303" s="27">
        <v>131.19999999999999</v>
      </c>
      <c r="M303" s="27">
        <v>114.8</v>
      </c>
      <c r="N303" s="27">
        <v>145.19999999999999</v>
      </c>
      <c r="O303" s="8">
        <f t="shared" si="24"/>
        <v>146.37</v>
      </c>
      <c r="P303" s="33">
        <f t="shared" si="26"/>
        <v>1.7164697706740784</v>
      </c>
      <c r="Q303" s="33">
        <f t="shared" si="30"/>
        <v>10.011273957158958</v>
      </c>
      <c r="S303" s="21">
        <v>142.4</v>
      </c>
      <c r="T303" s="33">
        <f t="shared" si="27"/>
        <v>0.35236081747709652</v>
      </c>
      <c r="U303" s="33">
        <f t="shared" si="31"/>
        <v>4.9373618275608084</v>
      </c>
      <c r="X303" s="27">
        <v>121.5</v>
      </c>
      <c r="Y303" s="33">
        <f t="shared" si="28"/>
        <v>0.24752475247524519</v>
      </c>
      <c r="Z303" s="33">
        <f t="shared" si="32"/>
        <v>-0.81632653061224492</v>
      </c>
      <c r="AC303" s="22">
        <v>153</v>
      </c>
      <c r="AD303" s="21">
        <v>138.69999999999999</v>
      </c>
      <c r="AE303" s="8">
        <f t="shared" si="25"/>
        <v>145.85</v>
      </c>
      <c r="AF303" s="33">
        <f t="shared" si="29"/>
        <v>0.4130808950086019</v>
      </c>
      <c r="AG303" s="33">
        <f t="shared" si="33"/>
        <v>4.104211277658794</v>
      </c>
    </row>
    <row r="304" spans="1:33">
      <c r="A304" s="21" t="s">
        <v>33</v>
      </c>
      <c r="B304" s="26">
        <v>2019</v>
      </c>
      <c r="C304" s="21" t="s">
        <v>45</v>
      </c>
      <c r="D304" s="52">
        <v>43770</v>
      </c>
      <c r="E304" s="27">
        <v>144.1</v>
      </c>
      <c r="F304" s="27">
        <v>162.4</v>
      </c>
      <c r="G304" s="27">
        <v>148.4</v>
      </c>
      <c r="H304" s="27">
        <v>145.9</v>
      </c>
      <c r="I304" s="27">
        <v>121.5</v>
      </c>
      <c r="J304" s="27">
        <v>148.80000000000001</v>
      </c>
      <c r="K304" s="27">
        <v>215.7</v>
      </c>
      <c r="L304" s="27">
        <v>134.6</v>
      </c>
      <c r="M304" s="27">
        <v>115</v>
      </c>
      <c r="N304" s="27">
        <v>146.30000000000001</v>
      </c>
      <c r="O304" s="8">
        <f t="shared" si="24"/>
        <v>148.26999999999998</v>
      </c>
      <c r="P304" s="33">
        <f t="shared" si="26"/>
        <v>1.2980802076928177</v>
      </c>
      <c r="Q304" s="33">
        <f t="shared" si="30"/>
        <v>11.05535165905175</v>
      </c>
      <c r="S304" s="21">
        <v>142.80000000000001</v>
      </c>
      <c r="T304" s="33">
        <f t="shared" si="27"/>
        <v>0.28089887640449834</v>
      </c>
      <c r="U304" s="33">
        <f t="shared" si="31"/>
        <v>4.8458149779735855</v>
      </c>
      <c r="X304" s="27">
        <v>121.7</v>
      </c>
      <c r="Y304" s="33">
        <f t="shared" si="28"/>
        <v>0.16460905349794472</v>
      </c>
      <c r="Z304" s="33">
        <f t="shared" si="32"/>
        <v>-1.2976480129764756</v>
      </c>
      <c r="AC304" s="22">
        <v>153.5</v>
      </c>
      <c r="AD304" s="21">
        <v>139.1</v>
      </c>
      <c r="AE304" s="8">
        <f t="shared" si="25"/>
        <v>146.30000000000001</v>
      </c>
      <c r="AF304" s="33">
        <f t="shared" si="29"/>
        <v>0.30853616729517797</v>
      </c>
      <c r="AG304" s="33">
        <f t="shared" si="33"/>
        <v>3.9800995024875787</v>
      </c>
    </row>
    <row r="305" spans="1:33">
      <c r="A305" s="21" t="s">
        <v>33</v>
      </c>
      <c r="B305" s="26">
        <v>2019</v>
      </c>
      <c r="C305" s="21" t="s">
        <v>46</v>
      </c>
      <c r="D305" s="52">
        <v>43800</v>
      </c>
      <c r="E305" s="27">
        <v>144.9</v>
      </c>
      <c r="F305" s="27">
        <v>164.5</v>
      </c>
      <c r="G305" s="27">
        <v>153.69999999999999</v>
      </c>
      <c r="H305" s="27">
        <v>147.5</v>
      </c>
      <c r="I305" s="27">
        <v>122.7</v>
      </c>
      <c r="J305" s="27">
        <v>147.19999999999999</v>
      </c>
      <c r="K305" s="27">
        <v>231.5</v>
      </c>
      <c r="L305" s="27">
        <v>137.19999999999999</v>
      </c>
      <c r="M305" s="27">
        <v>114.7</v>
      </c>
      <c r="N305" s="27">
        <v>148</v>
      </c>
      <c r="O305" s="8">
        <f t="shared" si="24"/>
        <v>151.19</v>
      </c>
      <c r="P305" s="33">
        <f t="shared" si="26"/>
        <v>1.9693801847980146</v>
      </c>
      <c r="Q305" s="33">
        <f t="shared" si="30"/>
        <v>13.013903423531167</v>
      </c>
      <c r="S305" s="21">
        <v>143.19999999999999</v>
      </c>
      <c r="T305" s="33">
        <f t="shared" si="27"/>
        <v>0.28011204481791119</v>
      </c>
      <c r="U305" s="33">
        <f t="shared" si="31"/>
        <v>4.6783625730993981</v>
      </c>
      <c r="X305" s="27">
        <v>125.2</v>
      </c>
      <c r="Y305" s="33">
        <f t="shared" si="28"/>
        <v>2.8759244042728018</v>
      </c>
      <c r="Z305" s="33">
        <f t="shared" si="32"/>
        <v>3.3003300330032999</v>
      </c>
      <c r="AC305" s="22">
        <v>152.80000000000001</v>
      </c>
      <c r="AD305" s="21">
        <v>139.80000000000001</v>
      </c>
      <c r="AE305" s="8">
        <f t="shared" si="25"/>
        <v>146.30000000000001</v>
      </c>
      <c r="AF305" s="33">
        <f t="shared" si="29"/>
        <v>0</v>
      </c>
      <c r="AG305" s="33">
        <f t="shared" si="33"/>
        <v>3.5019455252918203</v>
      </c>
    </row>
    <row r="306" spans="1:33">
      <c r="A306" s="21" t="s">
        <v>33</v>
      </c>
      <c r="B306" s="26">
        <v>2020</v>
      </c>
      <c r="C306" s="21" t="s">
        <v>31</v>
      </c>
      <c r="D306" s="52">
        <v>43831</v>
      </c>
      <c r="E306" s="27">
        <v>145.6</v>
      </c>
      <c r="F306" s="27">
        <v>167.6</v>
      </c>
      <c r="G306" s="27">
        <v>157</v>
      </c>
      <c r="H306" s="27">
        <v>149.30000000000001</v>
      </c>
      <c r="I306" s="27">
        <v>126.3</v>
      </c>
      <c r="J306" s="27">
        <v>144.4</v>
      </c>
      <c r="K306" s="27">
        <v>207.8</v>
      </c>
      <c r="L306" s="27">
        <v>139.1</v>
      </c>
      <c r="M306" s="27">
        <v>114.8</v>
      </c>
      <c r="N306" s="27">
        <v>149.5</v>
      </c>
      <c r="O306" s="8">
        <f t="shared" si="24"/>
        <v>150.13999999999999</v>
      </c>
      <c r="P306" s="33">
        <f t="shared" si="26"/>
        <v>-0.69449037634764965</v>
      </c>
      <c r="Q306" s="33">
        <f t="shared" si="30"/>
        <v>13.05722891566263</v>
      </c>
      <c r="S306" s="21">
        <v>143.80000000000001</v>
      </c>
      <c r="T306" s="33">
        <f t="shared" si="27"/>
        <v>0.41899441340783716</v>
      </c>
      <c r="U306" s="33">
        <f t="shared" si="31"/>
        <v>4.7341587764020385</v>
      </c>
      <c r="X306" s="27">
        <v>126.1</v>
      </c>
      <c r="Y306" s="33">
        <f t="shared" si="28"/>
        <v>0.71884984025558429</v>
      </c>
      <c r="Z306" s="33">
        <f t="shared" si="32"/>
        <v>6.1447811447811427</v>
      </c>
      <c r="AC306" s="22">
        <v>153.9</v>
      </c>
      <c r="AD306" s="21">
        <v>140.1</v>
      </c>
      <c r="AE306" s="8">
        <f t="shared" si="25"/>
        <v>147</v>
      </c>
      <c r="AF306" s="33">
        <f t="shared" si="29"/>
        <v>0.47846889952152327</v>
      </c>
      <c r="AG306" s="33">
        <f t="shared" si="33"/>
        <v>3.9971701450300712</v>
      </c>
    </row>
    <row r="307" spans="1:33">
      <c r="A307" s="21" t="s">
        <v>33</v>
      </c>
      <c r="B307" s="26">
        <v>2020</v>
      </c>
      <c r="C307" s="21" t="s">
        <v>35</v>
      </c>
      <c r="D307" s="52">
        <v>43862</v>
      </c>
      <c r="E307" s="27">
        <v>146.19999999999999</v>
      </c>
      <c r="F307" s="27">
        <v>167.6</v>
      </c>
      <c r="G307" s="27">
        <v>153.1</v>
      </c>
      <c r="H307" s="27">
        <v>150.69999999999999</v>
      </c>
      <c r="I307" s="27">
        <v>127.4</v>
      </c>
      <c r="J307" s="27">
        <v>143.1</v>
      </c>
      <c r="K307" s="27">
        <v>181.7</v>
      </c>
      <c r="L307" s="27">
        <v>139.6</v>
      </c>
      <c r="M307" s="27">
        <v>114.6</v>
      </c>
      <c r="N307" s="27">
        <v>150.4</v>
      </c>
      <c r="O307" s="8">
        <f t="shared" si="24"/>
        <v>147.44</v>
      </c>
      <c r="P307" s="33">
        <f t="shared" si="26"/>
        <v>-1.7983215665378904</v>
      </c>
      <c r="Q307" s="33">
        <f t="shared" si="30"/>
        <v>11.216715697367409</v>
      </c>
      <c r="S307" s="21">
        <v>144.4</v>
      </c>
      <c r="T307" s="33">
        <f t="shared" si="27"/>
        <v>0.41724617524338964</v>
      </c>
      <c r="U307" s="33">
        <f t="shared" si="31"/>
        <v>4.7895500725689359</v>
      </c>
      <c r="X307" s="27">
        <v>125.2</v>
      </c>
      <c r="Y307" s="33">
        <f t="shared" si="28"/>
        <v>-0.71371927042029459</v>
      </c>
      <c r="Z307" s="33">
        <f t="shared" si="32"/>
        <v>5.5649241146711708</v>
      </c>
      <c r="AC307" s="22">
        <v>154.80000000000001</v>
      </c>
      <c r="AD307" s="21">
        <v>140.4</v>
      </c>
      <c r="AE307" s="8">
        <f t="shared" si="25"/>
        <v>147.60000000000002</v>
      </c>
      <c r="AF307" s="33">
        <f t="shared" si="29"/>
        <v>0.40816326530613795</v>
      </c>
      <c r="AG307" s="33">
        <f t="shared" si="33"/>
        <v>3.943661971831002</v>
      </c>
    </row>
    <row r="308" spans="1:33">
      <c r="A308" s="21" t="s">
        <v>33</v>
      </c>
      <c r="B308" s="26">
        <v>2020</v>
      </c>
      <c r="C308" s="21" t="s">
        <v>36</v>
      </c>
      <c r="D308" s="52">
        <v>43891</v>
      </c>
      <c r="E308" s="27">
        <v>146.5</v>
      </c>
      <c r="F308" s="27">
        <v>167.5</v>
      </c>
      <c r="G308" s="27">
        <v>148.9</v>
      </c>
      <c r="H308" s="27">
        <v>151.1</v>
      </c>
      <c r="I308" s="27">
        <v>127.5</v>
      </c>
      <c r="J308" s="27">
        <v>143.30000000000001</v>
      </c>
      <c r="K308" s="27">
        <v>167</v>
      </c>
      <c r="L308" s="27">
        <v>139.69999999999999</v>
      </c>
      <c r="M308" s="27">
        <v>114.4</v>
      </c>
      <c r="N308" s="27">
        <v>151.5</v>
      </c>
      <c r="O308" s="8">
        <f t="shared" si="24"/>
        <v>145.74</v>
      </c>
      <c r="P308" s="33">
        <f t="shared" si="26"/>
        <v>-1.1530113944655376</v>
      </c>
      <c r="Q308" s="33">
        <f t="shared" si="30"/>
        <v>9.2012588041360708</v>
      </c>
      <c r="S308" s="21">
        <v>145</v>
      </c>
      <c r="T308" s="33">
        <f t="shared" si="27"/>
        <v>0.41551246537395725</v>
      </c>
      <c r="U308" s="33">
        <f t="shared" si="31"/>
        <v>4.6931407942238268</v>
      </c>
      <c r="X308" s="27">
        <v>124.6</v>
      </c>
      <c r="Y308" s="33">
        <f t="shared" si="28"/>
        <v>-0.47923322683706754</v>
      </c>
      <c r="Z308" s="33">
        <f t="shared" si="32"/>
        <v>4.5302013422818721</v>
      </c>
      <c r="AC308" s="22">
        <v>154.5</v>
      </c>
      <c r="AD308" s="21">
        <v>140.80000000000001</v>
      </c>
      <c r="AE308" s="8">
        <f t="shared" si="25"/>
        <v>147.65</v>
      </c>
      <c r="AF308" s="33">
        <f t="shared" si="29"/>
        <v>3.3875338753375978E-2</v>
      </c>
      <c r="AG308" s="33">
        <f t="shared" si="33"/>
        <v>3.5776920378814405</v>
      </c>
    </row>
    <row r="309" spans="1:33">
      <c r="A309" s="21" t="s">
        <v>33</v>
      </c>
      <c r="B309" s="26">
        <v>2020</v>
      </c>
      <c r="C309" s="21" t="s">
        <v>37</v>
      </c>
      <c r="D309" s="52">
        <v>43922</v>
      </c>
      <c r="E309" s="27">
        <v>151.80000000000001</v>
      </c>
      <c r="F309" s="27" t="s">
        <v>32</v>
      </c>
      <c r="G309" s="27">
        <v>151.9</v>
      </c>
      <c r="H309" s="27">
        <v>155.5</v>
      </c>
      <c r="I309" s="27">
        <v>131.6</v>
      </c>
      <c r="J309" s="27">
        <v>152.9</v>
      </c>
      <c r="K309" s="27">
        <v>180</v>
      </c>
      <c r="L309" s="27">
        <v>150.80000000000001</v>
      </c>
      <c r="M309" s="27">
        <v>121.2</v>
      </c>
      <c r="N309" s="27">
        <v>154</v>
      </c>
      <c r="O309" s="8">
        <f t="shared" si="24"/>
        <v>149.96666666666667</v>
      </c>
      <c r="P309" s="33">
        <f t="shared" si="26"/>
        <v>2.9001418050409353</v>
      </c>
      <c r="Q309" s="33">
        <f t="shared" si="30"/>
        <v>11.383442265795196</v>
      </c>
      <c r="S309" s="28">
        <v>144.80000000000001</v>
      </c>
      <c r="T309" s="33">
        <f t="shared" si="27"/>
        <v>-0.13793103448275079</v>
      </c>
      <c r="U309" s="33">
        <f t="shared" si="31"/>
        <v>4.0229885057471426</v>
      </c>
      <c r="X309" s="27" t="s">
        <v>32</v>
      </c>
      <c r="Y309" s="33" t="str">
        <f t="shared" si="28"/>
        <v>NA</v>
      </c>
      <c r="Z309" s="33" t="str">
        <f t="shared" si="32"/>
        <v>NA</v>
      </c>
      <c r="AC309" s="28">
        <v>155.6</v>
      </c>
      <c r="AD309" s="28" t="s">
        <v>32</v>
      </c>
      <c r="AE309" s="8">
        <f t="shared" si="25"/>
        <v>155.6</v>
      </c>
      <c r="AF309" s="33">
        <f t="shared" si="29"/>
        <v>5.3843548933288101</v>
      </c>
      <c r="AG309" s="33">
        <f t="shared" si="33"/>
        <v>8.8873337998600341</v>
      </c>
    </row>
    <row r="310" spans="1:33">
      <c r="A310" s="21" t="s">
        <v>33</v>
      </c>
      <c r="B310" s="26">
        <v>2020</v>
      </c>
      <c r="C310" s="21" t="s">
        <v>38</v>
      </c>
      <c r="D310" s="52">
        <v>43952</v>
      </c>
      <c r="E310" s="27" t="s">
        <v>32</v>
      </c>
      <c r="F310" s="27" t="s">
        <v>32</v>
      </c>
      <c r="G310" s="27" t="s">
        <v>32</v>
      </c>
      <c r="H310" s="27" t="s">
        <v>32</v>
      </c>
      <c r="I310" s="27" t="s">
        <v>32</v>
      </c>
      <c r="J310" s="27" t="s">
        <v>32</v>
      </c>
      <c r="K310" s="27" t="s">
        <v>32</v>
      </c>
      <c r="L310" s="27" t="s">
        <v>32</v>
      </c>
      <c r="M310" s="27" t="s">
        <v>32</v>
      </c>
      <c r="N310" s="27" t="s">
        <v>32</v>
      </c>
      <c r="O310" s="8" t="str">
        <f t="shared" si="24"/>
        <v>NA</v>
      </c>
      <c r="P310" s="33" t="str">
        <f t="shared" si="26"/>
        <v>NA</v>
      </c>
      <c r="Q310" s="33" t="str">
        <f t="shared" si="30"/>
        <v>NA</v>
      </c>
      <c r="S310" s="28" t="s">
        <v>32</v>
      </c>
      <c r="T310" s="33" t="str">
        <f t="shared" si="27"/>
        <v>NA</v>
      </c>
      <c r="U310" s="33" t="str">
        <f t="shared" si="31"/>
        <v>NA</v>
      </c>
      <c r="X310" s="27" t="s">
        <v>32</v>
      </c>
      <c r="Y310" s="33" t="str">
        <f t="shared" si="28"/>
        <v>NA</v>
      </c>
      <c r="Z310" s="33" t="str">
        <f t="shared" si="32"/>
        <v>NA</v>
      </c>
      <c r="AC310" s="28">
        <v>139.25</v>
      </c>
      <c r="AD310" s="28" t="s">
        <v>32</v>
      </c>
      <c r="AE310" s="8">
        <f t="shared" si="25"/>
        <v>139.25</v>
      </c>
      <c r="AF310" s="33">
        <f t="shared" si="29"/>
        <v>-10.507712082262207</v>
      </c>
      <c r="AG310" s="33">
        <f t="shared" si="33"/>
        <v>-3.063000348068206</v>
      </c>
    </row>
    <row r="311" spans="1:33">
      <c r="A311" s="21" t="s">
        <v>33</v>
      </c>
      <c r="B311" s="26">
        <v>2020</v>
      </c>
      <c r="C311" s="21" t="s">
        <v>39</v>
      </c>
      <c r="D311" s="52">
        <v>43983</v>
      </c>
      <c r="E311" s="27">
        <v>152.69999999999999</v>
      </c>
      <c r="F311" s="27">
        <v>197</v>
      </c>
      <c r="G311" s="27">
        <v>154.6</v>
      </c>
      <c r="H311" s="27">
        <v>153.4</v>
      </c>
      <c r="I311" s="27">
        <v>132.9</v>
      </c>
      <c r="J311" s="27">
        <v>151.80000000000001</v>
      </c>
      <c r="K311" s="27">
        <v>171.2</v>
      </c>
      <c r="L311" s="27">
        <v>152</v>
      </c>
      <c r="M311" s="27">
        <v>116.3</v>
      </c>
      <c r="N311" s="27">
        <v>158.80000000000001</v>
      </c>
      <c r="O311" s="8">
        <f t="shared" si="24"/>
        <v>154.07</v>
      </c>
      <c r="P311" s="33" t="str">
        <f t="shared" si="26"/>
        <v>NA</v>
      </c>
      <c r="Q311" s="33">
        <f t="shared" si="30"/>
        <v>9.7677400968937089</v>
      </c>
      <c r="S311" s="21">
        <v>148.1</v>
      </c>
      <c r="T311" s="33" t="str">
        <f t="shared" si="27"/>
        <v>NA</v>
      </c>
      <c r="U311" s="33">
        <f t="shared" si="31"/>
        <v>5.5595153243050479</v>
      </c>
      <c r="X311" s="27">
        <v>129.30000000000001</v>
      </c>
      <c r="Y311" s="33" t="str">
        <f t="shared" si="28"/>
        <v>NA</v>
      </c>
      <c r="Z311" s="33">
        <f t="shared" si="32"/>
        <v>8.110367892976603</v>
      </c>
      <c r="AC311" s="22">
        <v>154.69999999999999</v>
      </c>
      <c r="AD311" s="21">
        <v>140.4</v>
      </c>
      <c r="AE311" s="8">
        <f t="shared" si="25"/>
        <v>147.55000000000001</v>
      </c>
      <c r="AF311" s="33">
        <f t="shared" si="29"/>
        <v>5.9605026929982134</v>
      </c>
      <c r="AG311" s="33">
        <f t="shared" si="33"/>
        <v>2.8940027894002829</v>
      </c>
    </row>
    <row r="312" spans="1:33">
      <c r="A312" s="21" t="s">
        <v>33</v>
      </c>
      <c r="B312" s="26">
        <v>2020</v>
      </c>
      <c r="C312" s="21" t="s">
        <v>40</v>
      </c>
      <c r="D312" s="52">
        <v>44013</v>
      </c>
      <c r="E312" s="27">
        <v>152.69999999999999</v>
      </c>
      <c r="F312" s="27">
        <v>197</v>
      </c>
      <c r="G312" s="27">
        <v>154.6</v>
      </c>
      <c r="H312" s="27">
        <v>153.4</v>
      </c>
      <c r="I312" s="27">
        <v>132.9</v>
      </c>
      <c r="J312" s="27">
        <v>151.80000000000001</v>
      </c>
      <c r="K312" s="27">
        <v>171.2</v>
      </c>
      <c r="L312" s="27">
        <v>152</v>
      </c>
      <c r="M312" s="27">
        <v>116.3</v>
      </c>
      <c r="N312" s="27">
        <v>158.80000000000001</v>
      </c>
      <c r="O312" s="8">
        <f t="shared" si="24"/>
        <v>154.07</v>
      </c>
      <c r="P312" s="33">
        <f t="shared" si="26"/>
        <v>0</v>
      </c>
      <c r="Q312" s="33">
        <f t="shared" si="30"/>
        <v>8.1496560438017802</v>
      </c>
      <c r="S312" s="21">
        <v>148.1</v>
      </c>
      <c r="T312" s="33">
        <f t="shared" si="27"/>
        <v>0</v>
      </c>
      <c r="U312" s="33">
        <f t="shared" si="31"/>
        <v>5.1846590909090784</v>
      </c>
      <c r="X312" s="27">
        <v>129.30000000000001</v>
      </c>
      <c r="Y312" s="33">
        <f t="shared" si="28"/>
        <v>0</v>
      </c>
      <c r="Z312" s="33">
        <f t="shared" si="32"/>
        <v>7.2139303482587209</v>
      </c>
      <c r="AC312" s="22">
        <v>154.69999999999999</v>
      </c>
      <c r="AD312" s="21">
        <v>140.4</v>
      </c>
      <c r="AE312" s="8">
        <f t="shared" si="25"/>
        <v>147.55000000000001</v>
      </c>
      <c r="AF312" s="33">
        <f t="shared" si="29"/>
        <v>0</v>
      </c>
      <c r="AG312" s="33">
        <f t="shared" si="33"/>
        <v>2.3586541796739748</v>
      </c>
    </row>
    <row r="313" spans="1:33">
      <c r="A313" s="21" t="s">
        <v>33</v>
      </c>
      <c r="B313" s="26">
        <v>2020</v>
      </c>
      <c r="C313" s="21" t="s">
        <v>41</v>
      </c>
      <c r="D313" s="52">
        <v>44044</v>
      </c>
      <c r="E313" s="27">
        <v>151.6</v>
      </c>
      <c r="F313" s="27">
        <v>197.8</v>
      </c>
      <c r="G313" s="27">
        <v>154.5</v>
      </c>
      <c r="H313" s="27">
        <v>153.4</v>
      </c>
      <c r="I313" s="27">
        <v>133.4</v>
      </c>
      <c r="J313" s="27">
        <v>154.5</v>
      </c>
      <c r="K313" s="27">
        <v>191.9</v>
      </c>
      <c r="L313" s="27">
        <v>151.30000000000001</v>
      </c>
      <c r="M313" s="27">
        <v>116.8</v>
      </c>
      <c r="N313" s="27">
        <v>160</v>
      </c>
      <c r="O313" s="8">
        <f t="shared" si="24"/>
        <v>156.51999999999998</v>
      </c>
      <c r="P313" s="33">
        <f t="shared" si="26"/>
        <v>1.5901862789640997</v>
      </c>
      <c r="Q313" s="33">
        <f t="shared" si="30"/>
        <v>9.1492329149232745</v>
      </c>
      <c r="S313" s="21">
        <v>148.69999999999999</v>
      </c>
      <c r="T313" s="33">
        <f t="shared" si="27"/>
        <v>0.40513166779202858</v>
      </c>
      <c r="U313" s="33">
        <f t="shared" si="31"/>
        <v>5.0883392226148327</v>
      </c>
      <c r="X313" s="27">
        <v>133.9</v>
      </c>
      <c r="Y313" s="33">
        <f t="shared" si="28"/>
        <v>3.5576179427687502</v>
      </c>
      <c r="Z313" s="33">
        <f t="shared" si="32"/>
        <v>10.844370860927159</v>
      </c>
      <c r="AC313" s="22">
        <v>155.5</v>
      </c>
      <c r="AD313" s="21">
        <v>144.5</v>
      </c>
      <c r="AE313" s="8">
        <f t="shared" si="25"/>
        <v>150</v>
      </c>
      <c r="AF313" s="33">
        <f t="shared" si="29"/>
        <v>1.6604540833615646</v>
      </c>
      <c r="AG313" s="33">
        <f t="shared" si="33"/>
        <v>3.5554021401449818</v>
      </c>
    </row>
    <row r="314" spans="1:33">
      <c r="A314" s="21" t="s">
        <v>33</v>
      </c>
      <c r="B314" s="26">
        <v>2020</v>
      </c>
      <c r="C314" s="21" t="s">
        <v>42</v>
      </c>
      <c r="D314" s="52">
        <v>44075</v>
      </c>
      <c r="E314" s="27">
        <v>151.5</v>
      </c>
      <c r="F314" s="27">
        <v>193.1</v>
      </c>
      <c r="G314" s="27">
        <v>157.30000000000001</v>
      </c>
      <c r="H314" s="27">
        <v>153.9</v>
      </c>
      <c r="I314" s="27">
        <v>134.4</v>
      </c>
      <c r="J314" s="27">
        <v>155.4</v>
      </c>
      <c r="K314" s="27">
        <v>202</v>
      </c>
      <c r="L314" s="27">
        <v>150.80000000000001</v>
      </c>
      <c r="M314" s="27">
        <v>118.9</v>
      </c>
      <c r="N314" s="27">
        <v>160.9</v>
      </c>
      <c r="O314" s="8">
        <f t="shared" si="24"/>
        <v>157.82</v>
      </c>
      <c r="P314" s="33">
        <f t="shared" si="26"/>
        <v>0.83056478405316347</v>
      </c>
      <c r="Q314" s="33">
        <f t="shared" si="30"/>
        <v>9.6733842946490523</v>
      </c>
      <c r="S314" s="21">
        <v>150</v>
      </c>
      <c r="T314" s="33">
        <f t="shared" si="27"/>
        <v>0.8742434431741839</v>
      </c>
      <c r="U314" s="33">
        <f t="shared" si="31"/>
        <v>5.7082452431289603</v>
      </c>
      <c r="X314" s="27">
        <v>135.1</v>
      </c>
      <c r="Y314" s="33">
        <f t="shared" si="28"/>
        <v>0.89619118745331483</v>
      </c>
      <c r="Z314" s="33">
        <f t="shared" si="32"/>
        <v>11.468646864686463</v>
      </c>
      <c r="AC314" s="22">
        <v>156.30000000000001</v>
      </c>
      <c r="AD314" s="21">
        <v>145.4</v>
      </c>
      <c r="AE314" s="8">
        <f t="shared" si="25"/>
        <v>150.85000000000002</v>
      </c>
      <c r="AF314" s="33">
        <f t="shared" si="29"/>
        <v>0.56666666666668175</v>
      </c>
      <c r="AG314" s="33">
        <f t="shared" si="33"/>
        <v>3.8554216867470035</v>
      </c>
    </row>
    <row r="315" spans="1:33">
      <c r="A315" s="21" t="s">
        <v>33</v>
      </c>
      <c r="B315" s="26">
        <v>2020</v>
      </c>
      <c r="C315" s="21" t="s">
        <v>43</v>
      </c>
      <c r="D315" s="52">
        <v>44105</v>
      </c>
      <c r="E315" s="27">
        <v>150.6</v>
      </c>
      <c r="F315" s="27">
        <v>193.7</v>
      </c>
      <c r="G315" s="27">
        <v>164.8</v>
      </c>
      <c r="H315" s="27">
        <v>153.69999999999999</v>
      </c>
      <c r="I315" s="27">
        <v>135.69999999999999</v>
      </c>
      <c r="J315" s="27">
        <v>155.69999999999999</v>
      </c>
      <c r="K315" s="27">
        <v>226</v>
      </c>
      <c r="L315" s="27">
        <v>152.19999999999999</v>
      </c>
      <c r="M315" s="27">
        <v>118.1</v>
      </c>
      <c r="N315" s="27">
        <v>161.30000000000001</v>
      </c>
      <c r="O315" s="8">
        <f t="shared" si="24"/>
        <v>161.18</v>
      </c>
      <c r="P315" s="33">
        <f t="shared" si="26"/>
        <v>2.129007730325696</v>
      </c>
      <c r="Q315" s="33">
        <f t="shared" si="30"/>
        <v>10.118193618910979</v>
      </c>
      <c r="S315" s="21">
        <v>151</v>
      </c>
      <c r="T315" s="33">
        <f t="shared" si="27"/>
        <v>0.66666666666666674</v>
      </c>
      <c r="U315" s="33">
        <f t="shared" si="31"/>
        <v>6.0393258426966252</v>
      </c>
      <c r="X315" s="27">
        <v>135.4</v>
      </c>
      <c r="Y315" s="33">
        <f t="shared" si="28"/>
        <v>0.22205773501111128</v>
      </c>
      <c r="Z315" s="33">
        <f t="shared" si="32"/>
        <v>11.440329218107001</v>
      </c>
      <c r="AC315" s="22">
        <v>156.5</v>
      </c>
      <c r="AD315" s="21">
        <v>145.1</v>
      </c>
      <c r="AE315" s="8">
        <f t="shared" si="25"/>
        <v>150.80000000000001</v>
      </c>
      <c r="AF315" s="33">
        <f t="shared" si="29"/>
        <v>-3.3145508783567361E-2</v>
      </c>
      <c r="AG315" s="33">
        <f t="shared" si="33"/>
        <v>3.3938978402468409</v>
      </c>
    </row>
    <row r="316" spans="1:33">
      <c r="A316" s="21" t="s">
        <v>33</v>
      </c>
      <c r="B316" s="26">
        <v>2020</v>
      </c>
      <c r="C316" s="21" t="s">
        <v>45</v>
      </c>
      <c r="D316" s="52">
        <v>44136</v>
      </c>
      <c r="E316" s="27">
        <v>149.69999999999999</v>
      </c>
      <c r="F316" s="27">
        <v>195.5</v>
      </c>
      <c r="G316" s="27">
        <v>176.9</v>
      </c>
      <c r="H316" s="27">
        <v>153.9</v>
      </c>
      <c r="I316" s="27">
        <v>138</v>
      </c>
      <c r="J316" s="27">
        <v>150.5</v>
      </c>
      <c r="K316" s="27">
        <v>245.3</v>
      </c>
      <c r="L316" s="27">
        <v>158.69999999999999</v>
      </c>
      <c r="M316" s="27">
        <v>117.2</v>
      </c>
      <c r="N316" s="27">
        <v>161.4</v>
      </c>
      <c r="O316" s="8">
        <f t="shared" si="24"/>
        <v>164.71</v>
      </c>
      <c r="P316" s="33">
        <f t="shared" si="26"/>
        <v>2.190098027050503</v>
      </c>
      <c r="Q316" s="33">
        <f t="shared" si="30"/>
        <v>11.087880218520286</v>
      </c>
      <c r="S316" s="21">
        <v>152</v>
      </c>
      <c r="T316" s="33">
        <f t="shared" si="27"/>
        <v>0.66225165562913912</v>
      </c>
      <c r="U316" s="33">
        <f t="shared" si="31"/>
        <v>6.4425770308123163</v>
      </c>
      <c r="X316" s="27">
        <v>135.19999999999999</v>
      </c>
      <c r="Y316" s="33">
        <f t="shared" si="28"/>
        <v>-0.14771048744462115</v>
      </c>
      <c r="Z316" s="33">
        <f t="shared" si="32"/>
        <v>11.092851273623653</v>
      </c>
      <c r="AC316" s="22">
        <v>158</v>
      </c>
      <c r="AD316" s="21">
        <v>145.1</v>
      </c>
      <c r="AE316" s="8">
        <f t="shared" si="25"/>
        <v>151.55000000000001</v>
      </c>
      <c r="AF316" s="33">
        <f t="shared" si="29"/>
        <v>0.49734748010610075</v>
      </c>
      <c r="AG316" s="33">
        <f t="shared" si="33"/>
        <v>3.5885167464114831</v>
      </c>
    </row>
    <row r="317" spans="1:33">
      <c r="A317" s="21" t="s">
        <v>33</v>
      </c>
      <c r="B317" s="26">
        <v>2020</v>
      </c>
      <c r="C317" s="21" t="s">
        <v>46</v>
      </c>
      <c r="D317" s="52">
        <v>44166</v>
      </c>
      <c r="E317" s="27">
        <v>149</v>
      </c>
      <c r="F317" s="27">
        <v>195.7</v>
      </c>
      <c r="G317" s="27">
        <v>178.3</v>
      </c>
      <c r="H317" s="27">
        <v>154.19999999999999</v>
      </c>
      <c r="I317" s="27">
        <v>140.69999999999999</v>
      </c>
      <c r="J317" s="27">
        <v>149.69999999999999</v>
      </c>
      <c r="K317" s="27">
        <v>240.9</v>
      </c>
      <c r="L317" s="27">
        <v>161.5</v>
      </c>
      <c r="M317" s="27">
        <v>117.1</v>
      </c>
      <c r="N317" s="27">
        <v>161.9</v>
      </c>
      <c r="O317" s="8">
        <f t="shared" si="24"/>
        <v>164.90000000000003</v>
      </c>
      <c r="P317" s="33">
        <f t="shared" si="26"/>
        <v>0.1153542590006837</v>
      </c>
      <c r="Q317" s="33">
        <f t="shared" si="30"/>
        <v>9.0680600568820928</v>
      </c>
      <c r="S317" s="21">
        <v>152.9</v>
      </c>
      <c r="T317" s="33">
        <f t="shared" si="27"/>
        <v>0.59210526315789846</v>
      </c>
      <c r="U317" s="33">
        <f t="shared" si="31"/>
        <v>6.7737430167597896</v>
      </c>
      <c r="X317" s="27">
        <v>135.5</v>
      </c>
      <c r="Y317" s="33">
        <f t="shared" si="28"/>
        <v>0.22189349112426876</v>
      </c>
      <c r="Z317" s="33">
        <f t="shared" si="32"/>
        <v>8.2268370607028718</v>
      </c>
      <c r="AC317" s="22">
        <v>158.4</v>
      </c>
      <c r="AD317" s="21">
        <v>145.5</v>
      </c>
      <c r="AE317" s="8">
        <f t="shared" si="25"/>
        <v>151.94999999999999</v>
      </c>
      <c r="AF317" s="33">
        <f t="shared" si="29"/>
        <v>0.26393929396237364</v>
      </c>
      <c r="AG317" s="33">
        <f t="shared" si="33"/>
        <v>3.8619275461380567</v>
      </c>
    </row>
    <row r="318" spans="1:33">
      <c r="A318" s="21" t="s">
        <v>33</v>
      </c>
      <c r="B318" s="26">
        <v>2021</v>
      </c>
      <c r="C318" s="21" t="s">
        <v>31</v>
      </c>
      <c r="D318" s="52">
        <v>44197</v>
      </c>
      <c r="E318" s="27">
        <v>148</v>
      </c>
      <c r="F318" s="27">
        <v>194.8</v>
      </c>
      <c r="G318" s="27">
        <v>178.4</v>
      </c>
      <c r="H318" s="27">
        <v>154.4</v>
      </c>
      <c r="I318" s="27">
        <v>144.1</v>
      </c>
      <c r="J318" s="27">
        <v>152.6</v>
      </c>
      <c r="K318" s="27">
        <v>206.8</v>
      </c>
      <c r="L318" s="27">
        <v>162.1</v>
      </c>
      <c r="M318" s="27">
        <v>116.3</v>
      </c>
      <c r="N318" s="27">
        <v>163</v>
      </c>
      <c r="O318" s="8">
        <f t="shared" si="24"/>
        <v>162.05000000000001</v>
      </c>
      <c r="P318" s="33">
        <f t="shared" si="26"/>
        <v>-1.7283201940570176</v>
      </c>
      <c r="Q318" s="33">
        <f t="shared" si="30"/>
        <v>7.9325962435060777</v>
      </c>
      <c r="S318" s="21">
        <v>154.1</v>
      </c>
      <c r="T318" s="33">
        <f t="shared" si="27"/>
        <v>0.7848266841072522</v>
      </c>
      <c r="U318" s="33">
        <f t="shared" si="31"/>
        <v>7.1627260083449107</v>
      </c>
      <c r="X318" s="27">
        <v>136.9</v>
      </c>
      <c r="Y318" s="33">
        <f t="shared" si="28"/>
        <v>1.0332103321033252</v>
      </c>
      <c r="Z318" s="33">
        <f t="shared" si="32"/>
        <v>8.5646312450436266</v>
      </c>
      <c r="AC318" s="22">
        <v>157.69999999999999</v>
      </c>
      <c r="AD318" s="21">
        <v>145.69999999999999</v>
      </c>
      <c r="AE318" s="8">
        <f t="shared" si="25"/>
        <v>151.69999999999999</v>
      </c>
      <c r="AF318" s="33">
        <f t="shared" si="29"/>
        <v>-0.16452780519907864</v>
      </c>
      <c r="AG318" s="33">
        <f t="shared" si="33"/>
        <v>3.1972789115646183</v>
      </c>
    </row>
    <row r="319" spans="1:33">
      <c r="A319" s="21" t="s">
        <v>33</v>
      </c>
      <c r="B319" s="26">
        <v>2021</v>
      </c>
      <c r="C319" s="21" t="s">
        <v>35</v>
      </c>
      <c r="D319" s="52">
        <v>44228</v>
      </c>
      <c r="E319" s="27">
        <v>147.6</v>
      </c>
      <c r="F319" s="27">
        <v>191.2</v>
      </c>
      <c r="G319" s="27">
        <v>169.9</v>
      </c>
      <c r="H319" s="27">
        <v>155.1</v>
      </c>
      <c r="I319" s="27">
        <v>151.4</v>
      </c>
      <c r="J319" s="27">
        <v>154</v>
      </c>
      <c r="K319" s="27">
        <v>180.2</v>
      </c>
      <c r="L319" s="27">
        <v>159.80000000000001</v>
      </c>
      <c r="M319" s="27">
        <v>114.9</v>
      </c>
      <c r="N319" s="27">
        <v>162.5</v>
      </c>
      <c r="O319" s="8">
        <f t="shared" si="24"/>
        <v>158.66</v>
      </c>
      <c r="P319" s="33">
        <f t="shared" si="26"/>
        <v>-2.0919469299598981</v>
      </c>
      <c r="Q319" s="33">
        <f t="shared" si="30"/>
        <v>7.6098752034725976</v>
      </c>
      <c r="S319" s="21">
        <v>156.30000000000001</v>
      </c>
      <c r="T319" s="33">
        <f t="shared" si="27"/>
        <v>1.427644386761854</v>
      </c>
      <c r="U319" s="33">
        <f t="shared" si="31"/>
        <v>8.2409972299168999</v>
      </c>
      <c r="X319" s="27">
        <v>140.5</v>
      </c>
      <c r="Y319" s="33">
        <f t="shared" si="28"/>
        <v>2.6296566837107336</v>
      </c>
      <c r="Z319" s="33">
        <f t="shared" si="32"/>
        <v>12.220447284345045</v>
      </c>
      <c r="AC319" s="22">
        <v>159.80000000000001</v>
      </c>
      <c r="AD319" s="21">
        <v>146.5</v>
      </c>
      <c r="AE319" s="8">
        <f t="shared" si="25"/>
        <v>153.15</v>
      </c>
      <c r="AF319" s="33">
        <f t="shared" si="29"/>
        <v>0.95583388266316216</v>
      </c>
      <c r="AG319" s="33">
        <f t="shared" si="33"/>
        <v>3.7601626016260039</v>
      </c>
    </row>
    <row r="320" spans="1:33">
      <c r="A320" s="21" t="s">
        <v>33</v>
      </c>
      <c r="B320" s="26">
        <v>2021</v>
      </c>
      <c r="C320" s="21" t="s">
        <v>36</v>
      </c>
      <c r="D320" s="52">
        <v>44256</v>
      </c>
      <c r="E320" s="27">
        <v>147.5</v>
      </c>
      <c r="F320" s="27">
        <v>197.5</v>
      </c>
      <c r="G320" s="27">
        <v>164.7</v>
      </c>
      <c r="H320" s="27">
        <v>155.6</v>
      </c>
      <c r="I320" s="27">
        <v>156.4</v>
      </c>
      <c r="J320" s="27">
        <v>157.30000000000001</v>
      </c>
      <c r="K320" s="27">
        <v>166.1</v>
      </c>
      <c r="L320" s="27">
        <v>161.1</v>
      </c>
      <c r="M320" s="27">
        <v>114.3</v>
      </c>
      <c r="N320" s="27">
        <v>162.6</v>
      </c>
      <c r="O320" s="8">
        <f t="shared" si="24"/>
        <v>158.30999999999997</v>
      </c>
      <c r="P320" s="33">
        <f t="shared" si="26"/>
        <v>-0.2205975040968251</v>
      </c>
      <c r="Q320" s="33">
        <f t="shared" si="30"/>
        <v>8.6249485384931823</v>
      </c>
      <c r="S320" s="21">
        <v>156.9</v>
      </c>
      <c r="T320" s="33">
        <f t="shared" si="27"/>
        <v>0.38387715930901745</v>
      </c>
      <c r="U320" s="33">
        <f t="shared" si="31"/>
        <v>8.2068965517241423</v>
      </c>
      <c r="X320" s="27">
        <v>141.69999999999999</v>
      </c>
      <c r="Y320" s="33">
        <f t="shared" si="28"/>
        <v>0.85409252669038338</v>
      </c>
      <c r="Z320" s="33">
        <f t="shared" si="32"/>
        <v>13.723916532905292</v>
      </c>
      <c r="AC320" s="22">
        <v>159.9</v>
      </c>
      <c r="AD320" s="21">
        <v>147.19999999999999</v>
      </c>
      <c r="AE320" s="8">
        <f t="shared" si="25"/>
        <v>153.55000000000001</v>
      </c>
      <c r="AF320" s="33">
        <f t="shared" si="29"/>
        <v>0.26118184786157733</v>
      </c>
      <c r="AG320" s="33">
        <f t="shared" si="33"/>
        <v>3.9959363359295668</v>
      </c>
    </row>
    <row r="321" spans="1:38">
      <c r="A321" s="21" t="s">
        <v>33</v>
      </c>
      <c r="B321" s="26">
        <v>2021</v>
      </c>
      <c r="C321" s="21" t="s">
        <v>37</v>
      </c>
      <c r="D321" s="52">
        <v>44287</v>
      </c>
      <c r="E321" s="27">
        <v>147.6</v>
      </c>
      <c r="F321" s="27">
        <v>202.5</v>
      </c>
      <c r="G321" s="27">
        <v>166.4</v>
      </c>
      <c r="H321" s="27">
        <v>156</v>
      </c>
      <c r="I321" s="27">
        <v>161.4</v>
      </c>
      <c r="J321" s="27">
        <v>168.8</v>
      </c>
      <c r="K321" s="27">
        <v>161.6</v>
      </c>
      <c r="L321" s="27">
        <v>162.80000000000001</v>
      </c>
      <c r="M321" s="27">
        <v>114.8</v>
      </c>
      <c r="N321" s="27">
        <v>162.80000000000001</v>
      </c>
      <c r="O321" s="8">
        <f t="shared" si="24"/>
        <v>160.46999999999997</v>
      </c>
      <c r="P321" s="33">
        <f t="shared" si="26"/>
        <v>1.3644115974985767</v>
      </c>
      <c r="Q321" s="33">
        <f t="shared" si="30"/>
        <v>7.0037786174705285</v>
      </c>
      <c r="S321" s="21">
        <v>157.5</v>
      </c>
      <c r="T321" s="33">
        <f t="shared" si="27"/>
        <v>0.38240917782026401</v>
      </c>
      <c r="U321" s="33">
        <f t="shared" si="31"/>
        <v>8.7707182320441905</v>
      </c>
      <c r="X321" s="27">
        <v>142.1</v>
      </c>
      <c r="Y321" s="33">
        <f t="shared" si="28"/>
        <v>0.28228652081863498</v>
      </c>
      <c r="Z321" s="33" t="str">
        <f t="shared" si="32"/>
        <v>NA</v>
      </c>
      <c r="AC321" s="22">
        <v>161.4</v>
      </c>
      <c r="AD321" s="21">
        <v>147.6</v>
      </c>
      <c r="AE321" s="8">
        <f t="shared" si="25"/>
        <v>154.5</v>
      </c>
      <c r="AF321" s="33">
        <f t="shared" si="29"/>
        <v>0.61869098013675583</v>
      </c>
      <c r="AG321" s="33">
        <f t="shared" si="33"/>
        <v>-0.70694087403598616</v>
      </c>
    </row>
    <row r="322" spans="1:38">
      <c r="A322" s="21" t="s">
        <v>33</v>
      </c>
      <c r="B322" s="26">
        <v>2021</v>
      </c>
      <c r="C322" s="21" t="s">
        <v>38</v>
      </c>
      <c r="D322" s="52">
        <v>44317</v>
      </c>
      <c r="E322" s="27">
        <v>148.80000000000001</v>
      </c>
      <c r="F322" s="27">
        <v>204.3</v>
      </c>
      <c r="G322" s="27">
        <v>173</v>
      </c>
      <c r="H322" s="27">
        <v>156.5</v>
      </c>
      <c r="I322" s="27">
        <v>168.8</v>
      </c>
      <c r="J322" s="27">
        <v>172.5</v>
      </c>
      <c r="K322" s="27">
        <v>166.5</v>
      </c>
      <c r="L322" s="27">
        <v>165.9</v>
      </c>
      <c r="M322" s="27">
        <v>115.9</v>
      </c>
      <c r="N322" s="27">
        <v>165.2</v>
      </c>
      <c r="O322" s="8">
        <f t="shared" si="24"/>
        <v>163.74000000000004</v>
      </c>
      <c r="P322" s="33">
        <f t="shared" si="26"/>
        <v>2.0377640680501448</v>
      </c>
      <c r="Q322" s="33" t="str">
        <f t="shared" si="30"/>
        <v>NA</v>
      </c>
      <c r="S322" s="21">
        <v>160.4</v>
      </c>
      <c r="T322" s="33">
        <f t="shared" si="27"/>
        <v>1.8412698412698449</v>
      </c>
      <c r="U322" s="33" t="str">
        <f t="shared" si="31"/>
        <v>NA</v>
      </c>
      <c r="X322" s="27">
        <v>145</v>
      </c>
      <c r="Y322" s="33">
        <f t="shared" si="28"/>
        <v>2.0408163265306163</v>
      </c>
      <c r="Z322" s="33" t="str">
        <f t="shared" si="32"/>
        <v>NA</v>
      </c>
      <c r="AC322" s="22">
        <v>161.6</v>
      </c>
      <c r="AD322" s="21">
        <v>150.1</v>
      </c>
      <c r="AE322" s="8">
        <f t="shared" si="25"/>
        <v>155.85</v>
      </c>
      <c r="AF322" s="33">
        <f t="shared" si="29"/>
        <v>0.87378640776698668</v>
      </c>
      <c r="AG322" s="33">
        <f t="shared" si="33"/>
        <v>11.921005385996406</v>
      </c>
    </row>
    <row r="323" spans="1:38">
      <c r="A323" s="21" t="s">
        <v>33</v>
      </c>
      <c r="B323" s="26">
        <v>2021</v>
      </c>
      <c r="C323" s="21" t="s">
        <v>39</v>
      </c>
      <c r="D323" s="52">
        <v>44348</v>
      </c>
      <c r="E323" s="27">
        <v>149.19999999999999</v>
      </c>
      <c r="F323" s="27">
        <v>205.5</v>
      </c>
      <c r="G323" s="27">
        <v>182.8</v>
      </c>
      <c r="H323" s="27">
        <v>156.5</v>
      </c>
      <c r="I323" s="27">
        <v>172.2</v>
      </c>
      <c r="J323" s="27">
        <v>171.5</v>
      </c>
      <c r="K323" s="27">
        <v>176.2</v>
      </c>
      <c r="L323" s="27">
        <v>166.9</v>
      </c>
      <c r="M323" s="27">
        <v>116.1</v>
      </c>
      <c r="N323" s="27">
        <v>165.5</v>
      </c>
      <c r="O323" s="8">
        <f t="shared" si="24"/>
        <v>166.24</v>
      </c>
      <c r="P323" s="33">
        <f t="shared" si="26"/>
        <v>1.5268107976059428</v>
      </c>
      <c r="Q323" s="33">
        <f t="shared" si="30"/>
        <v>7.8990069448951887</v>
      </c>
      <c r="S323" s="21">
        <v>160.80000000000001</v>
      </c>
      <c r="T323" s="33">
        <f t="shared" si="27"/>
        <v>0.24937655860349484</v>
      </c>
      <c r="U323" s="33">
        <f t="shared" si="31"/>
        <v>8.5752869682646971</v>
      </c>
      <c r="X323" s="27">
        <v>147.5</v>
      </c>
      <c r="Y323" s="33">
        <f t="shared" si="28"/>
        <v>1.7241379310344827</v>
      </c>
      <c r="Z323" s="33">
        <f t="shared" si="32"/>
        <v>14.075792730085062</v>
      </c>
      <c r="AC323" s="22">
        <v>160.5</v>
      </c>
      <c r="AD323" s="21">
        <v>149.80000000000001</v>
      </c>
      <c r="AE323" s="8">
        <f t="shared" si="25"/>
        <v>155.15</v>
      </c>
      <c r="AF323" s="33">
        <f t="shared" si="29"/>
        <v>-0.44914982354827637</v>
      </c>
      <c r="AG323" s="33">
        <f t="shared" si="33"/>
        <v>5.1507963402236481</v>
      </c>
    </row>
    <row r="324" spans="1:38">
      <c r="A324" s="21" t="s">
        <v>33</v>
      </c>
      <c r="B324" s="26">
        <v>2021</v>
      </c>
      <c r="C324" s="21" t="s">
        <v>40</v>
      </c>
      <c r="D324" s="52">
        <v>44378</v>
      </c>
      <c r="E324" s="27">
        <v>149.1</v>
      </c>
      <c r="F324" s="27">
        <v>210.9</v>
      </c>
      <c r="G324" s="27">
        <v>185</v>
      </c>
      <c r="H324" s="27">
        <v>158.19999999999999</v>
      </c>
      <c r="I324" s="27">
        <v>170.6</v>
      </c>
      <c r="J324" s="27">
        <v>170.9</v>
      </c>
      <c r="K324" s="27">
        <v>186.4</v>
      </c>
      <c r="L324" s="27">
        <v>164.7</v>
      </c>
      <c r="M324" s="27">
        <v>115.7</v>
      </c>
      <c r="N324" s="27">
        <v>165.5</v>
      </c>
      <c r="O324" s="8">
        <f t="shared" si="24"/>
        <v>167.70000000000002</v>
      </c>
      <c r="P324" s="33">
        <f t="shared" si="26"/>
        <v>0.87824831568816641</v>
      </c>
      <c r="Q324" s="33">
        <f t="shared" si="30"/>
        <v>8.8466281560329882</v>
      </c>
      <c r="S324" s="21">
        <v>161.5</v>
      </c>
      <c r="T324" s="33">
        <f t="shared" si="27"/>
        <v>0.43532338308457003</v>
      </c>
      <c r="U324" s="33">
        <f t="shared" si="31"/>
        <v>9.0479405806887279</v>
      </c>
      <c r="X324" s="27">
        <v>149.5</v>
      </c>
      <c r="Y324" s="33">
        <f t="shared" si="28"/>
        <v>1.3559322033898304</v>
      </c>
      <c r="Z324" s="33">
        <f t="shared" si="32"/>
        <v>15.622583139984522</v>
      </c>
      <c r="AC324" s="22">
        <v>161.5</v>
      </c>
      <c r="AD324" s="21">
        <v>150.69999999999999</v>
      </c>
      <c r="AE324" s="8">
        <f t="shared" si="25"/>
        <v>156.1</v>
      </c>
      <c r="AF324" s="33">
        <f t="shared" si="29"/>
        <v>0.61231066709635096</v>
      </c>
      <c r="AG324" s="33">
        <f t="shared" si="33"/>
        <v>5.7946458827515981</v>
      </c>
    </row>
    <row r="325" spans="1:38">
      <c r="A325" s="21" t="s">
        <v>33</v>
      </c>
      <c r="B325" s="26">
        <v>2021</v>
      </c>
      <c r="C325" s="21" t="s">
        <v>41</v>
      </c>
      <c r="D325" s="52">
        <v>44409</v>
      </c>
      <c r="E325" s="27">
        <v>149.30000000000001</v>
      </c>
      <c r="F325" s="27">
        <v>207.4</v>
      </c>
      <c r="G325" s="27">
        <v>174.1</v>
      </c>
      <c r="H325" s="27">
        <v>159.19999999999999</v>
      </c>
      <c r="I325" s="27">
        <v>175</v>
      </c>
      <c r="J325" s="27">
        <v>161.30000000000001</v>
      </c>
      <c r="K325" s="27">
        <v>183.3</v>
      </c>
      <c r="L325" s="27">
        <v>164.5</v>
      </c>
      <c r="M325" s="27">
        <v>120.4</v>
      </c>
      <c r="N325" s="27">
        <v>166.2</v>
      </c>
      <c r="O325" s="8">
        <f t="shared" si="24"/>
        <v>166.07</v>
      </c>
      <c r="P325" s="33">
        <f t="shared" si="26"/>
        <v>-0.9719737626714513</v>
      </c>
      <c r="Q325" s="33">
        <f t="shared" si="30"/>
        <v>6.1014566828520396</v>
      </c>
      <c r="S325" s="21">
        <v>162.80000000000001</v>
      </c>
      <c r="T325" s="33">
        <f t="shared" si="27"/>
        <v>0.8049535603715241</v>
      </c>
      <c r="U325" s="33">
        <f t="shared" si="31"/>
        <v>9.4821788836583885</v>
      </c>
      <c r="X325" s="27">
        <v>150.4</v>
      </c>
      <c r="Y325" s="33">
        <f t="shared" si="28"/>
        <v>0.60200668896321452</v>
      </c>
      <c r="Z325" s="33">
        <f t="shared" si="32"/>
        <v>12.322628827483195</v>
      </c>
      <c r="AC325" s="22">
        <v>162.1</v>
      </c>
      <c r="AD325" s="21">
        <v>153.19999999999999</v>
      </c>
      <c r="AE325" s="8">
        <f t="shared" si="25"/>
        <v>157.64999999999998</v>
      </c>
      <c r="AF325" s="33">
        <f t="shared" si="29"/>
        <v>0.99295323510569056</v>
      </c>
      <c r="AG325" s="33">
        <f t="shared" si="33"/>
        <v>5.0999999999999854</v>
      </c>
    </row>
    <row r="326" spans="1:38">
      <c r="A326" s="21" t="s">
        <v>33</v>
      </c>
      <c r="B326" s="26">
        <v>2021</v>
      </c>
      <c r="C326" s="21" t="s">
        <v>42</v>
      </c>
      <c r="D326" s="52">
        <v>44440</v>
      </c>
      <c r="E326" s="27">
        <v>149.30000000000001</v>
      </c>
      <c r="F326" s="27">
        <v>207.4</v>
      </c>
      <c r="G326" s="27">
        <v>174.1</v>
      </c>
      <c r="H326" s="27">
        <v>159.1</v>
      </c>
      <c r="I326" s="27">
        <v>175</v>
      </c>
      <c r="J326" s="27">
        <v>161.19999999999999</v>
      </c>
      <c r="K326" s="27">
        <v>183.5</v>
      </c>
      <c r="L326" s="27">
        <v>164.5</v>
      </c>
      <c r="M326" s="27">
        <v>120.4</v>
      </c>
      <c r="N326" s="27">
        <v>166.2</v>
      </c>
      <c r="O326" s="8">
        <f t="shared" si="24"/>
        <v>166.07000000000002</v>
      </c>
      <c r="P326" s="33">
        <f t="shared" si="26"/>
        <v>1.7114294833747222E-14</v>
      </c>
      <c r="Q326" s="33">
        <f t="shared" si="30"/>
        <v>5.2274743378532689</v>
      </c>
      <c r="S326" s="21">
        <v>162.80000000000001</v>
      </c>
      <c r="T326" s="33">
        <f t="shared" si="27"/>
        <v>0</v>
      </c>
      <c r="U326" s="33">
        <f t="shared" si="31"/>
        <v>8.5333333333333421</v>
      </c>
      <c r="X326" s="27">
        <v>150.5</v>
      </c>
      <c r="Y326" s="33">
        <f t="shared" si="28"/>
        <v>6.648936170212387E-2</v>
      </c>
      <c r="Z326" s="33">
        <f t="shared" si="32"/>
        <v>11.398963730569953</v>
      </c>
      <c r="AC326" s="22">
        <v>162.1</v>
      </c>
      <c r="AD326" s="21">
        <v>153.30000000000001</v>
      </c>
      <c r="AE326" s="8">
        <f t="shared" si="25"/>
        <v>157.69999999999999</v>
      </c>
      <c r="AF326" s="33">
        <f t="shared" si="29"/>
        <v>3.1715826197279653E-2</v>
      </c>
      <c r="AG326" s="33">
        <f t="shared" si="33"/>
        <v>4.5409347033476735</v>
      </c>
    </row>
    <row r="327" spans="1:38">
      <c r="A327" s="21" t="s">
        <v>33</v>
      </c>
      <c r="B327" s="26">
        <v>2021</v>
      </c>
      <c r="C327" s="21" t="s">
        <v>43</v>
      </c>
      <c r="D327" s="52">
        <v>44470</v>
      </c>
      <c r="E327" s="27">
        <v>150.1</v>
      </c>
      <c r="F327" s="27">
        <v>208.4</v>
      </c>
      <c r="G327" s="27">
        <v>173</v>
      </c>
      <c r="H327" s="27">
        <v>159.19999999999999</v>
      </c>
      <c r="I327" s="27">
        <v>176.6</v>
      </c>
      <c r="J327" s="27">
        <v>159.30000000000001</v>
      </c>
      <c r="K327" s="27">
        <v>214.4</v>
      </c>
      <c r="L327" s="27">
        <v>165.3</v>
      </c>
      <c r="M327" s="27">
        <v>122.5</v>
      </c>
      <c r="N327" s="27">
        <v>166.8</v>
      </c>
      <c r="O327" s="8">
        <f t="shared" si="24"/>
        <v>169.56</v>
      </c>
      <c r="P327" s="33">
        <f t="shared" si="26"/>
        <v>2.1015234539651835</v>
      </c>
      <c r="Q327" s="33">
        <f t="shared" si="30"/>
        <v>5.1991562228564305</v>
      </c>
      <c r="S327" s="21">
        <v>163.5</v>
      </c>
      <c r="T327" s="33">
        <f t="shared" si="27"/>
        <v>0.42997542997542293</v>
      </c>
      <c r="U327" s="33">
        <f t="shared" si="31"/>
        <v>8.2781456953642394</v>
      </c>
      <c r="X327" s="27">
        <v>152.19999999999999</v>
      </c>
      <c r="Y327" s="33">
        <f t="shared" si="28"/>
        <v>1.1295681063122847</v>
      </c>
      <c r="Z327" s="33">
        <f t="shared" si="32"/>
        <v>12.407680945347106</v>
      </c>
      <c r="AC327" s="22">
        <v>163.6</v>
      </c>
      <c r="AD327" s="21">
        <v>154.30000000000001</v>
      </c>
      <c r="AE327" s="8">
        <f t="shared" si="25"/>
        <v>158.94999999999999</v>
      </c>
      <c r="AF327" s="33">
        <f t="shared" si="29"/>
        <v>0.79264426125554865</v>
      </c>
      <c r="AG327" s="33">
        <f t="shared" si="33"/>
        <v>5.4045092838196132</v>
      </c>
    </row>
    <row r="328" spans="1:38">
      <c r="A328" s="21" t="s">
        <v>33</v>
      </c>
      <c r="B328" s="26">
        <v>2021</v>
      </c>
      <c r="C328" s="21" t="s">
        <v>45</v>
      </c>
      <c r="D328" s="52">
        <v>44501</v>
      </c>
      <c r="E328" s="27">
        <v>151</v>
      </c>
      <c r="F328" s="27">
        <v>204.9</v>
      </c>
      <c r="G328" s="27">
        <v>175.4</v>
      </c>
      <c r="H328" s="27">
        <v>159.6</v>
      </c>
      <c r="I328" s="27">
        <v>175.8</v>
      </c>
      <c r="J328" s="27">
        <v>160.30000000000001</v>
      </c>
      <c r="K328" s="27">
        <v>229.1</v>
      </c>
      <c r="L328" s="27">
        <v>165.1</v>
      </c>
      <c r="M328" s="27">
        <v>123.1</v>
      </c>
      <c r="N328" s="27">
        <v>167.2</v>
      </c>
      <c r="O328" s="8">
        <f t="shared" si="24"/>
        <v>171.14999999999998</v>
      </c>
      <c r="P328" s="33">
        <f t="shared" si="26"/>
        <v>0.93772116065108224</v>
      </c>
      <c r="Q328" s="33">
        <f t="shared" si="30"/>
        <v>3.9099022524436702</v>
      </c>
      <c r="S328" s="21">
        <v>164.2</v>
      </c>
      <c r="T328" s="33">
        <f t="shared" si="27"/>
        <v>0.42813455657491661</v>
      </c>
      <c r="U328" s="33">
        <f t="shared" si="31"/>
        <v>8.0263157894736779</v>
      </c>
      <c r="X328" s="27">
        <v>151.19999999999999</v>
      </c>
      <c r="Y328" s="33">
        <f t="shared" si="28"/>
        <v>-0.65703022339027606</v>
      </c>
      <c r="Z328" s="33">
        <f t="shared" si="32"/>
        <v>11.834319526627219</v>
      </c>
      <c r="AC328" s="22">
        <v>164.2</v>
      </c>
      <c r="AD328" s="21">
        <v>155.19999999999999</v>
      </c>
      <c r="AE328" s="8">
        <f t="shared" si="25"/>
        <v>159.69999999999999</v>
      </c>
      <c r="AF328" s="33">
        <f t="shared" si="29"/>
        <v>0.47184649260773837</v>
      </c>
      <c r="AG328" s="33">
        <f t="shared" si="33"/>
        <v>5.3777631144836535</v>
      </c>
    </row>
    <row r="329" spans="1:38">
      <c r="A329" s="21" t="s">
        <v>33</v>
      </c>
      <c r="B329" s="26">
        <v>2021</v>
      </c>
      <c r="C329" s="21" t="s">
        <v>46</v>
      </c>
      <c r="D329" s="52">
        <v>44531</v>
      </c>
      <c r="E329" s="27">
        <v>151.6</v>
      </c>
      <c r="F329" s="27">
        <v>202.2</v>
      </c>
      <c r="G329" s="27">
        <v>180</v>
      </c>
      <c r="H329" s="27">
        <v>160</v>
      </c>
      <c r="I329" s="27">
        <v>173.5</v>
      </c>
      <c r="J329" s="27">
        <v>158.30000000000001</v>
      </c>
      <c r="K329" s="27">
        <v>219.5</v>
      </c>
      <c r="L329" s="27">
        <v>164.2</v>
      </c>
      <c r="M329" s="27">
        <v>121.9</v>
      </c>
      <c r="N329" s="27">
        <v>168.2</v>
      </c>
      <c r="O329" s="8">
        <f t="shared" si="24"/>
        <v>169.94</v>
      </c>
      <c r="P329" s="33">
        <f t="shared" si="26"/>
        <v>-0.70698217937480556</v>
      </c>
      <c r="Q329" s="33">
        <f t="shared" si="30"/>
        <v>3.0563978168586794</v>
      </c>
      <c r="S329" s="21">
        <v>165.1</v>
      </c>
      <c r="T329" s="33">
        <f t="shared" si="27"/>
        <v>0.54811205846528976</v>
      </c>
      <c r="U329" s="33">
        <f t="shared" si="31"/>
        <v>7.9790712884237989</v>
      </c>
      <c r="X329" s="27">
        <v>151.80000000000001</v>
      </c>
      <c r="Y329" s="33">
        <f t="shared" si="28"/>
        <v>0.3968253968254119</v>
      </c>
      <c r="Z329" s="33">
        <f t="shared" si="32"/>
        <v>12.029520295202961</v>
      </c>
      <c r="AC329" s="22">
        <v>163.4</v>
      </c>
      <c r="AD329" s="21">
        <v>156</v>
      </c>
      <c r="AE329" s="8">
        <f t="shared" si="25"/>
        <v>159.69999999999999</v>
      </c>
      <c r="AF329" s="33">
        <f t="shared" si="29"/>
        <v>0</v>
      </c>
      <c r="AG329" s="33">
        <f t="shared" si="33"/>
        <v>5.1003619611714379</v>
      </c>
    </row>
    <row r="330" spans="1:38">
      <c r="A330" s="121" t="s">
        <v>154</v>
      </c>
      <c r="B330" s="9"/>
      <c r="C330" s="7"/>
      <c r="D330" s="80"/>
      <c r="E330" s="81"/>
      <c r="F330" s="81"/>
      <c r="G330" s="81"/>
      <c r="H330" s="81"/>
      <c r="I330" s="81"/>
      <c r="J330" s="81"/>
      <c r="K330" s="81"/>
      <c r="L330" s="81"/>
      <c r="M330" s="81"/>
      <c r="N330" s="81"/>
      <c r="O330" s="32"/>
      <c r="R330" s="98" t="s">
        <v>23</v>
      </c>
      <c r="Y330" s="98" t="s">
        <v>153</v>
      </c>
      <c r="AG330" s="98" t="s">
        <v>155</v>
      </c>
    </row>
    <row r="331" spans="1:38">
      <c r="A331" s="56" t="s">
        <v>118</v>
      </c>
      <c r="B331" s="57" t="s">
        <v>120</v>
      </c>
      <c r="C331" s="56" t="s">
        <v>121</v>
      </c>
      <c r="D331" s="56" t="s">
        <v>122</v>
      </c>
      <c r="E331" s="59" t="s">
        <v>123</v>
      </c>
      <c r="F331" s="59" t="s">
        <v>124</v>
      </c>
      <c r="G331" s="81"/>
      <c r="H331" s="81"/>
      <c r="I331" s="81"/>
      <c r="J331" s="81"/>
      <c r="K331" s="81"/>
      <c r="L331" s="81"/>
      <c r="M331" s="81"/>
      <c r="N331" s="81"/>
      <c r="O331" s="32"/>
      <c r="R331" s="56" t="s">
        <v>118</v>
      </c>
      <c r="S331" s="57" t="s">
        <v>120</v>
      </c>
      <c r="T331" s="56" t="s">
        <v>121</v>
      </c>
      <c r="U331" s="56" t="s">
        <v>122</v>
      </c>
      <c r="V331" s="59" t="s">
        <v>123</v>
      </c>
      <c r="W331" s="59" t="s">
        <v>124</v>
      </c>
      <c r="Y331" s="56" t="s">
        <v>118</v>
      </c>
      <c r="Z331" s="57" t="s">
        <v>120</v>
      </c>
      <c r="AA331" s="56" t="s">
        <v>121</v>
      </c>
      <c r="AB331" s="56" t="s">
        <v>122</v>
      </c>
      <c r="AC331" s="59" t="s">
        <v>123</v>
      </c>
      <c r="AD331" s="59" t="s">
        <v>124</v>
      </c>
      <c r="AG331" s="56" t="s">
        <v>118</v>
      </c>
      <c r="AH331" s="57" t="s">
        <v>120</v>
      </c>
      <c r="AI331" s="56" t="s">
        <v>121</v>
      </c>
      <c r="AJ331" s="56" t="s">
        <v>122</v>
      </c>
      <c r="AK331" s="59" t="s">
        <v>123</v>
      </c>
      <c r="AL331" s="59" t="s">
        <v>124</v>
      </c>
    </row>
    <row r="332" spans="1:38" ht="43.2">
      <c r="A332" s="56" t="s">
        <v>119</v>
      </c>
      <c r="B332" s="53" t="s">
        <v>115</v>
      </c>
      <c r="C332" s="33">
        <f>AVERAGEIFS(Q283:Q329,D283:D329,"&gt;=2019-03-01",D283:D329,"&lt;=2020-02-01")</f>
        <v>8.4972233129422694</v>
      </c>
      <c r="D332" s="33">
        <f>AVERAGEIFS(P283:P329,D283:D329,"&gt;=2019-03-01",D283:D329,"&lt;=2020-02-01")</f>
        <v>0.9171873359181425</v>
      </c>
      <c r="E332" s="136">
        <f>C333-C332</f>
        <v>0.82686845940756903</v>
      </c>
      <c r="F332" s="136">
        <f>D333-D332</f>
        <v>-0.34573851028600833</v>
      </c>
      <c r="G332" s="81"/>
      <c r="H332" s="81"/>
      <c r="I332" s="81"/>
      <c r="J332" s="81"/>
      <c r="K332" s="81"/>
      <c r="L332" s="81"/>
      <c r="M332" s="81"/>
      <c r="N332" s="81"/>
      <c r="O332" s="32"/>
      <c r="R332" s="56" t="s">
        <v>119</v>
      </c>
      <c r="S332" s="53" t="s">
        <v>115</v>
      </c>
      <c r="T332" s="33">
        <f>AVERAGEIFS($U$283:$U$329,$D$283:$D$329,"&gt;=2019-03-01",$D$283:$D$329,"&lt;=2020-02-01")</f>
        <v>5.5181575097291153</v>
      </c>
      <c r="U332" s="33">
        <f>AVERAGEIFS($T$283:$T$329,$D$283:$D$329,"&gt;=2019-03-01",$D$283:$D$329,"&lt;=2020-02-01")</f>
        <v>0.3799945049478593</v>
      </c>
      <c r="V332" s="136">
        <f>T333-T332</f>
        <v>0.70275276908540718</v>
      </c>
      <c r="W332" s="136">
        <f>U333-U332</f>
        <v>0.18588708426366979</v>
      </c>
      <c r="Y332" s="56" t="s">
        <v>119</v>
      </c>
      <c r="Z332" s="53" t="s">
        <v>115</v>
      </c>
      <c r="AA332" s="33">
        <f>AVERAGEIFS($Z$283:$Z$329,$D$283:$D$329,"&gt;=2019-03-01",$D$283:$D$329,"&lt;=2020-02-01")</f>
        <v>1.5167509651053039</v>
      </c>
      <c r="AB332" s="33">
        <f>AVERAGEIFS($Y$283:$Y$329,$D$283:$D$329,"&gt;=2019-03-01",$D$283:$D$329,"&lt;=2020-02-01")</f>
        <v>0.45127334077173331</v>
      </c>
      <c r="AC332" s="136">
        <f>AA333-AA332</f>
        <v>8.773881893052339</v>
      </c>
      <c r="AD332" s="136">
        <f>AB333-AB332</f>
        <v>0.5783943716079627</v>
      </c>
      <c r="AG332" s="56" t="s">
        <v>119</v>
      </c>
      <c r="AH332" s="53" t="s">
        <v>115</v>
      </c>
      <c r="AI332" s="33">
        <f>AVERAGEIFS($AG$283:$AG$329,$D$283:$D$329,"&gt;=2019-03-01",$D$283:$D$329,"&lt;=2020-02-01")</f>
        <v>4.1949811524647309</v>
      </c>
      <c r="AJ332" s="33">
        <f>AVERAGEIFS($AF$283:$AF$329,$D$283:$D$329,"&gt;=2019-03-01",$D$283:$D$329,"&lt;=2020-02-01")</f>
        <v>0.31721373747833376</v>
      </c>
      <c r="AK332" s="136">
        <f>AI333-AI332</f>
        <v>-0.83785329999184421</v>
      </c>
      <c r="AL332" s="136">
        <f>AJ333-AJ332</f>
        <v>8.6527549580302066E-2</v>
      </c>
    </row>
    <row r="333" spans="1:38" ht="57.6">
      <c r="A333" s="50" t="s">
        <v>116</v>
      </c>
      <c r="B333" s="54" t="s">
        <v>117</v>
      </c>
      <c r="C333" s="33">
        <f>AVERAGEIFS(Q283:Q329,D283:D329,"&gt;=2020-04-01",D283:D329,"&lt;=2021-03-01")</f>
        <v>9.3240917723498384</v>
      </c>
      <c r="D333" s="33">
        <f>AVERAGEIFS(P283:P329,D283:D329,"&gt;=2020-04-01",D283:D329,"&lt;=2021-03-01")</f>
        <v>0.57144882563213417</v>
      </c>
      <c r="E333" s="137"/>
      <c r="F333" s="137"/>
      <c r="G333" s="81"/>
      <c r="H333" s="81"/>
      <c r="I333" s="81"/>
      <c r="J333" s="81"/>
      <c r="K333" s="81"/>
      <c r="L333" s="81"/>
      <c r="M333" s="81"/>
      <c r="N333" s="81"/>
      <c r="O333" s="32"/>
      <c r="R333" s="50" t="s">
        <v>116</v>
      </c>
      <c r="S333" s="54" t="s">
        <v>117</v>
      </c>
      <c r="T333" s="33">
        <f>AVERAGEIFS($U$283:$U$329,$D$283:$D$329,"&gt;=2020-04-01",$D$283:$D$329,"&lt;=2021-03-01")</f>
        <v>6.2209102788145225</v>
      </c>
      <c r="U333" s="33">
        <f>AVERAGEIFS($T$283:$T$329,$D$283:$D$329,"&gt;=2020-04-01",$D$283:$D$329,"&lt;=2021-03-01")</f>
        <v>0.56588158921152909</v>
      </c>
      <c r="V333" s="137"/>
      <c r="W333" s="137"/>
      <c r="Y333" s="50" t="s">
        <v>116</v>
      </c>
      <c r="Z333" s="54" t="s">
        <v>117</v>
      </c>
      <c r="AA333" s="33">
        <f>AVERAGEIFS($Z$283:$Z$329,$D$283:$D$329,"&gt;=2020-04-01",$D$283:$D$329,"&lt;=2021-03-01")</f>
        <v>10.290632858157643</v>
      </c>
      <c r="AB333" s="33">
        <f>AVERAGEIFS($Y$283:$Y$329,$D$283:$D$329,"&gt;=2020-04-01",$D$283:$D$329,"&lt;=2021-03-01")</f>
        <v>1.029667712379696</v>
      </c>
      <c r="AC333" s="137"/>
      <c r="AD333" s="137"/>
      <c r="AG333" s="50" t="s">
        <v>116</v>
      </c>
      <c r="AH333" s="54" t="s">
        <v>117</v>
      </c>
      <c r="AI333" s="33">
        <f>AVERAGEIFS($AG$283:$AG$329,$D$283:$D$329,"&gt;=2020-04-01",$D$283:$D$329,"&lt;=2021-03-01")</f>
        <v>3.3571278524728867</v>
      </c>
      <c r="AJ333" s="33">
        <f>AVERAGEIFS($AF$283:$AF$329,$D$283:$D$329,"&gt;=2020-04-01",$D$283:$D$329,"&lt;=2021-03-01")</f>
        <v>0.40374128705863582</v>
      </c>
      <c r="AK333" s="137"/>
      <c r="AL333" s="137"/>
    </row>
    <row r="334" spans="1:38">
      <c r="A334" s="7"/>
      <c r="B334" s="9"/>
      <c r="C334" s="7"/>
      <c r="D334" s="80"/>
      <c r="E334" s="81"/>
      <c r="F334" s="81"/>
      <c r="G334" s="81"/>
      <c r="H334" s="81"/>
      <c r="I334" s="81"/>
      <c r="J334" s="81"/>
      <c r="K334" s="81"/>
      <c r="L334" s="81"/>
      <c r="M334" s="81"/>
      <c r="N334" s="81"/>
      <c r="O334" s="32"/>
    </row>
    <row r="335" spans="1:38">
      <c r="A335" s="7"/>
      <c r="B335" s="9"/>
      <c r="C335" s="7"/>
      <c r="D335" s="80"/>
      <c r="E335" s="81"/>
      <c r="F335" s="81"/>
      <c r="G335" s="81"/>
      <c r="H335" s="81"/>
      <c r="I335" s="81"/>
      <c r="J335" s="81"/>
      <c r="K335" s="81"/>
      <c r="L335" s="81"/>
      <c r="M335" s="81"/>
      <c r="N335" s="81"/>
      <c r="O335" s="32"/>
    </row>
    <row r="336" spans="1:38">
      <c r="A336" s="7"/>
      <c r="B336" s="9"/>
      <c r="C336" s="7"/>
      <c r="D336" s="80"/>
      <c r="E336" s="81"/>
      <c r="F336" s="81"/>
      <c r="G336" s="81"/>
      <c r="H336" s="81"/>
      <c r="I336" s="81"/>
      <c r="J336" s="81"/>
      <c r="K336" s="81"/>
      <c r="L336" s="81"/>
      <c r="M336" s="81"/>
      <c r="N336" s="81"/>
      <c r="O336" s="32"/>
    </row>
    <row r="337" spans="1:15">
      <c r="A337" s="7"/>
      <c r="B337" s="9"/>
      <c r="C337" s="7"/>
      <c r="D337" s="80"/>
      <c r="E337" s="81"/>
      <c r="F337" s="81"/>
      <c r="G337" s="81"/>
      <c r="H337" s="81"/>
      <c r="I337" s="81"/>
      <c r="J337" s="81"/>
      <c r="K337" s="81"/>
      <c r="L337" s="81"/>
      <c r="M337" s="81"/>
      <c r="N337" s="81"/>
      <c r="O337" s="32"/>
    </row>
    <row r="338" spans="1:15">
      <c r="A338" s="7"/>
      <c r="B338" s="9"/>
      <c r="C338" s="7"/>
      <c r="D338" s="80"/>
      <c r="E338" s="81"/>
      <c r="F338" s="81"/>
      <c r="G338" s="81"/>
      <c r="H338" s="81"/>
      <c r="I338" s="81"/>
      <c r="J338" s="81"/>
      <c r="K338" s="81"/>
      <c r="L338" s="81"/>
      <c r="M338" s="81"/>
      <c r="N338" s="81"/>
      <c r="O338" s="32"/>
    </row>
    <row r="339" spans="1:15">
      <c r="A339" s="7"/>
      <c r="B339" s="9"/>
      <c r="C339" s="7"/>
      <c r="D339" s="80"/>
      <c r="E339" s="81"/>
      <c r="F339" s="81"/>
      <c r="G339" s="81"/>
      <c r="H339" s="81"/>
      <c r="I339" s="81"/>
      <c r="J339" s="81"/>
      <c r="K339" s="81"/>
      <c r="L339" s="81"/>
      <c r="M339" s="81"/>
      <c r="N339" s="81"/>
      <c r="O339" s="32"/>
    </row>
    <row r="340" spans="1:15">
      <c r="A340" s="7"/>
      <c r="B340" s="9"/>
      <c r="C340" s="7"/>
      <c r="D340" s="80"/>
      <c r="E340" s="81"/>
      <c r="F340" s="81"/>
      <c r="G340" s="81"/>
      <c r="H340" s="81"/>
      <c r="I340" s="81"/>
      <c r="J340" s="81"/>
      <c r="K340" s="81"/>
      <c r="L340" s="81"/>
      <c r="M340" s="81"/>
      <c r="N340" s="81"/>
      <c r="O340" s="32"/>
    </row>
    <row r="341" spans="1:15">
      <c r="A341" s="7"/>
      <c r="B341" s="9"/>
      <c r="C341" s="7"/>
      <c r="D341" s="80"/>
      <c r="E341" s="81"/>
      <c r="F341" s="81"/>
      <c r="G341" s="81"/>
      <c r="H341" s="81"/>
      <c r="I341" s="81"/>
      <c r="J341" s="81"/>
      <c r="K341" s="81"/>
      <c r="L341" s="81"/>
      <c r="M341" s="81"/>
      <c r="N341" s="81"/>
      <c r="O341" s="32"/>
    </row>
    <row r="342" spans="1:15">
      <c r="A342" s="7"/>
      <c r="B342" s="9"/>
      <c r="C342" s="7"/>
      <c r="D342" s="80"/>
      <c r="E342" s="81"/>
      <c r="F342" s="81"/>
      <c r="G342" s="81"/>
      <c r="H342" s="81"/>
      <c r="I342" s="81"/>
      <c r="J342" s="81"/>
      <c r="K342" s="81"/>
      <c r="L342" s="81"/>
      <c r="M342" s="81"/>
      <c r="N342" s="81"/>
      <c r="O342" s="32"/>
    </row>
    <row r="343" spans="1:15">
      <c r="A343" s="7"/>
      <c r="B343" s="9"/>
      <c r="C343" s="7"/>
      <c r="D343" s="80"/>
      <c r="E343" s="81"/>
      <c r="F343" s="81"/>
      <c r="G343" s="81"/>
      <c r="H343" s="81"/>
      <c r="I343" s="81"/>
      <c r="J343" s="81"/>
      <c r="K343" s="81"/>
      <c r="L343" s="81"/>
      <c r="M343" s="81"/>
      <c r="N343" s="81"/>
      <c r="O343" s="32"/>
    </row>
    <row r="344" spans="1:15">
      <c r="A344" s="7"/>
      <c r="B344" s="9"/>
      <c r="C344" s="7"/>
      <c r="D344" s="80"/>
      <c r="E344" s="81"/>
      <c r="F344" s="81"/>
      <c r="G344" s="81"/>
      <c r="H344" s="81"/>
      <c r="I344" s="81"/>
      <c r="J344" s="81"/>
      <c r="K344" s="81"/>
      <c r="L344" s="81"/>
      <c r="M344" s="81"/>
      <c r="N344" s="81"/>
      <c r="O344" s="32"/>
    </row>
    <row r="345" spans="1:15">
      <c r="A345" s="7"/>
      <c r="B345" s="9"/>
      <c r="C345" s="7"/>
      <c r="D345" s="80"/>
      <c r="E345" s="81"/>
      <c r="F345" s="81"/>
      <c r="G345" s="81"/>
      <c r="H345" s="81"/>
      <c r="I345" s="81"/>
      <c r="J345" s="81"/>
      <c r="K345" s="81"/>
      <c r="L345" s="81"/>
      <c r="M345" s="81"/>
      <c r="N345" s="81"/>
      <c r="O345" s="32"/>
    </row>
    <row r="346" spans="1:15">
      <c r="A346" s="7"/>
      <c r="B346" s="9"/>
      <c r="C346" s="7"/>
      <c r="D346" s="80"/>
      <c r="E346" s="81"/>
      <c r="F346" s="81"/>
      <c r="G346" s="81"/>
      <c r="H346" s="81"/>
      <c r="I346" s="81"/>
      <c r="J346" s="81"/>
      <c r="K346" s="81"/>
      <c r="L346" s="81"/>
      <c r="M346" s="81"/>
      <c r="N346" s="81"/>
      <c r="O346" s="32"/>
    </row>
    <row r="347" spans="1:15">
      <c r="A347" s="7"/>
      <c r="B347" s="9"/>
      <c r="C347" s="7"/>
      <c r="D347" s="80"/>
      <c r="E347" s="81"/>
      <c r="F347" s="81"/>
      <c r="G347" s="81"/>
      <c r="H347" s="81"/>
      <c r="I347" s="81"/>
      <c r="J347" s="81"/>
      <c r="K347" s="81"/>
      <c r="L347" s="81"/>
      <c r="M347" s="81"/>
      <c r="N347" s="81"/>
      <c r="O347" s="32"/>
    </row>
    <row r="348" spans="1:15">
      <c r="A348" s="7"/>
      <c r="B348" s="9"/>
      <c r="C348" s="7"/>
      <c r="D348" s="80"/>
      <c r="E348" s="81"/>
      <c r="F348" s="81"/>
      <c r="G348" s="81"/>
      <c r="H348" s="81"/>
      <c r="I348" s="81"/>
      <c r="J348" s="81"/>
      <c r="K348" s="81"/>
      <c r="L348" s="81"/>
      <c r="M348" s="81"/>
      <c r="N348" s="81"/>
      <c r="O348" s="32"/>
    </row>
    <row r="349" spans="1:15">
      <c r="A349" s="7"/>
      <c r="B349" s="9"/>
      <c r="C349" s="7"/>
      <c r="D349" s="80"/>
      <c r="E349" s="81"/>
      <c r="F349" s="81"/>
      <c r="G349" s="81"/>
      <c r="H349" s="81"/>
      <c r="I349" s="81"/>
      <c r="J349" s="81"/>
      <c r="K349" s="81"/>
      <c r="L349" s="81"/>
      <c r="M349" s="81"/>
      <c r="N349" s="81"/>
      <c r="O349" s="32"/>
    </row>
    <row r="350" spans="1:15">
      <c r="A350" s="7"/>
      <c r="B350" s="9"/>
      <c r="C350" s="7"/>
      <c r="D350" s="80"/>
      <c r="E350" s="81"/>
      <c r="F350" s="81"/>
      <c r="G350" s="81"/>
      <c r="H350" s="81"/>
      <c r="I350" s="81"/>
      <c r="J350" s="81"/>
      <c r="K350" s="81"/>
      <c r="L350" s="81"/>
      <c r="M350" s="81"/>
      <c r="N350" s="81"/>
      <c r="O350" s="32"/>
    </row>
    <row r="351" spans="1:15">
      <c r="A351" s="7"/>
      <c r="B351" s="9"/>
      <c r="C351" s="7"/>
      <c r="D351" s="80"/>
      <c r="E351" s="81"/>
      <c r="F351" s="81"/>
      <c r="G351" s="81"/>
      <c r="H351" s="81"/>
      <c r="I351" s="81"/>
      <c r="J351" s="81"/>
      <c r="K351" s="81"/>
      <c r="L351" s="81"/>
      <c r="M351" s="81"/>
      <c r="N351" s="81"/>
      <c r="O351" s="32"/>
    </row>
    <row r="352" spans="1:15">
      <c r="A352" s="7"/>
      <c r="B352" s="9"/>
      <c r="C352" s="7"/>
      <c r="D352" s="80"/>
      <c r="E352" s="81"/>
      <c r="F352" s="81"/>
      <c r="G352" s="81"/>
      <c r="H352" s="81"/>
      <c r="I352" s="81"/>
      <c r="J352" s="81"/>
      <c r="K352" s="81"/>
      <c r="L352" s="81"/>
      <c r="M352" s="81"/>
      <c r="N352" s="81"/>
      <c r="O352" s="32"/>
    </row>
    <row r="353" spans="1:15">
      <c r="A353" s="7"/>
      <c r="B353" s="9"/>
      <c r="C353" s="7"/>
      <c r="D353" s="80"/>
      <c r="E353" s="81"/>
      <c r="F353" s="81"/>
      <c r="G353" s="81"/>
      <c r="H353" s="81"/>
      <c r="I353" s="81"/>
      <c r="J353" s="81"/>
      <c r="K353" s="81"/>
      <c r="L353" s="81"/>
      <c r="M353" s="81"/>
      <c r="N353" s="81"/>
      <c r="O353" s="32"/>
    </row>
    <row r="354" spans="1:15">
      <c r="A354" s="7"/>
      <c r="B354" s="9"/>
      <c r="C354" s="7"/>
      <c r="D354" s="80"/>
      <c r="E354" s="81"/>
      <c r="F354" s="81"/>
      <c r="G354" s="81"/>
      <c r="H354" s="81"/>
      <c r="I354" s="81"/>
      <c r="J354" s="81"/>
      <c r="K354" s="81"/>
      <c r="L354" s="81"/>
      <c r="M354" s="81"/>
      <c r="N354" s="81"/>
      <c r="O354" s="32"/>
    </row>
    <row r="355" spans="1:15">
      <c r="A355" s="7"/>
      <c r="B355" s="9"/>
      <c r="C355" s="7"/>
      <c r="D355" s="80"/>
      <c r="E355" s="81"/>
      <c r="F355" s="81"/>
      <c r="G355" s="81"/>
      <c r="H355" s="81"/>
      <c r="I355" s="81"/>
      <c r="J355" s="81"/>
      <c r="K355" s="81"/>
      <c r="L355" s="81"/>
      <c r="M355" s="81"/>
      <c r="N355" s="81"/>
      <c r="O355" s="32"/>
    </row>
    <row r="356" spans="1:15">
      <c r="A356" s="7"/>
      <c r="B356" s="9"/>
      <c r="C356" s="7"/>
      <c r="D356" s="80"/>
      <c r="E356" s="81"/>
      <c r="F356" s="81"/>
      <c r="G356" s="81"/>
      <c r="H356" s="81"/>
      <c r="I356" s="81"/>
      <c r="J356" s="81"/>
      <c r="K356" s="81"/>
      <c r="L356" s="81"/>
      <c r="M356" s="81"/>
      <c r="N356" s="81"/>
      <c r="O356" s="32"/>
    </row>
    <row r="357" spans="1:15">
      <c r="A357" s="7"/>
      <c r="B357" s="9"/>
      <c r="C357" s="7"/>
      <c r="D357" s="80"/>
      <c r="E357" s="81"/>
      <c r="F357" s="81"/>
      <c r="G357" s="81"/>
      <c r="H357" s="81"/>
      <c r="I357" s="81"/>
      <c r="J357" s="81"/>
      <c r="K357" s="81"/>
      <c r="L357" s="81"/>
      <c r="M357" s="81"/>
      <c r="N357" s="81"/>
      <c r="O357" s="32"/>
    </row>
    <row r="358" spans="1:15">
      <c r="A358" s="7"/>
      <c r="B358" s="9"/>
      <c r="C358" s="7"/>
      <c r="D358" s="80"/>
      <c r="E358" s="81"/>
      <c r="F358" s="81"/>
      <c r="G358" s="81"/>
      <c r="H358" s="81"/>
      <c r="I358" s="81"/>
      <c r="J358" s="81"/>
      <c r="K358" s="81"/>
      <c r="L358" s="81"/>
      <c r="M358" s="81"/>
      <c r="N358" s="81"/>
      <c r="O358" s="32"/>
    </row>
    <row r="359" spans="1:15">
      <c r="A359" s="7"/>
      <c r="B359" s="9"/>
      <c r="C359" s="7"/>
      <c r="D359" s="80"/>
      <c r="E359" s="81"/>
      <c r="F359" s="81"/>
      <c r="G359" s="81"/>
      <c r="H359" s="81"/>
      <c r="I359" s="81"/>
      <c r="J359" s="81"/>
      <c r="K359" s="81"/>
      <c r="L359" s="81"/>
      <c r="M359" s="81"/>
      <c r="N359" s="81"/>
      <c r="O359" s="32"/>
    </row>
    <row r="360" spans="1:15">
      <c r="A360" s="7"/>
      <c r="B360" s="9"/>
      <c r="C360" s="7"/>
      <c r="D360" s="80"/>
      <c r="E360" s="81"/>
      <c r="F360" s="81"/>
      <c r="G360" s="81"/>
      <c r="H360" s="81"/>
      <c r="I360" s="81"/>
      <c r="J360" s="81"/>
      <c r="K360" s="81"/>
      <c r="L360" s="81"/>
      <c r="M360" s="81"/>
      <c r="N360" s="81"/>
      <c r="O360" s="32"/>
    </row>
    <row r="361" spans="1:15">
      <c r="A361" s="7"/>
      <c r="B361" s="9"/>
      <c r="C361" s="7"/>
      <c r="D361" s="80"/>
      <c r="E361" s="81"/>
      <c r="F361" s="81"/>
      <c r="G361" s="81"/>
      <c r="H361" s="81"/>
      <c r="I361" s="81"/>
      <c r="J361" s="81"/>
      <c r="K361" s="81"/>
      <c r="L361" s="81"/>
      <c r="M361" s="81"/>
      <c r="N361" s="81"/>
      <c r="O361" s="32"/>
    </row>
    <row r="362" spans="1:15">
      <c r="A362" s="7"/>
      <c r="B362" s="9"/>
      <c r="C362" s="7"/>
      <c r="D362" s="80"/>
      <c r="E362" s="81"/>
      <c r="F362" s="81"/>
      <c r="G362" s="81"/>
      <c r="H362" s="81"/>
      <c r="I362" s="81"/>
      <c r="J362" s="81"/>
      <c r="K362" s="81"/>
      <c r="L362" s="81"/>
      <c r="M362" s="81"/>
      <c r="N362" s="81"/>
      <c r="O362" s="32"/>
    </row>
    <row r="363" spans="1:15">
      <c r="A363" s="7"/>
      <c r="B363" s="9"/>
      <c r="C363" s="7"/>
      <c r="D363" s="80"/>
      <c r="E363" s="81"/>
      <c r="F363" s="81"/>
      <c r="G363" s="81"/>
      <c r="H363" s="81"/>
      <c r="I363" s="81"/>
      <c r="J363" s="81"/>
      <c r="K363" s="81"/>
      <c r="L363" s="81"/>
      <c r="M363" s="81"/>
      <c r="N363" s="81"/>
      <c r="O363" s="32"/>
    </row>
    <row r="364" spans="1:15">
      <c r="A364" s="7"/>
      <c r="B364" s="9"/>
      <c r="C364" s="7"/>
      <c r="D364" s="80"/>
      <c r="E364" s="81"/>
      <c r="F364" s="81"/>
      <c r="G364" s="81"/>
      <c r="H364" s="81"/>
      <c r="I364" s="81"/>
      <c r="J364" s="81"/>
      <c r="K364" s="81"/>
      <c r="L364" s="81"/>
      <c r="M364" s="81"/>
      <c r="N364" s="81"/>
      <c r="O364" s="32"/>
    </row>
    <row r="365" spans="1:15">
      <c r="A365" s="7"/>
      <c r="B365" s="9"/>
      <c r="C365" s="7"/>
      <c r="D365" s="80"/>
      <c r="E365" s="81"/>
      <c r="F365" s="81"/>
      <c r="G365" s="81"/>
      <c r="H365" s="81"/>
      <c r="I365" s="81"/>
      <c r="J365" s="81"/>
      <c r="K365" s="81"/>
      <c r="L365" s="81"/>
      <c r="M365" s="81"/>
      <c r="N365" s="81"/>
      <c r="O365" s="32"/>
    </row>
    <row r="366" spans="1:15">
      <c r="A366" s="7"/>
      <c r="B366" s="9"/>
      <c r="C366" s="7"/>
      <c r="D366" s="80"/>
      <c r="E366" s="81"/>
      <c r="F366" s="81"/>
      <c r="G366" s="81"/>
      <c r="H366" s="81"/>
      <c r="I366" s="81"/>
      <c r="J366" s="81"/>
      <c r="K366" s="81"/>
      <c r="L366" s="81"/>
      <c r="M366" s="81"/>
      <c r="N366" s="81"/>
      <c r="O366" s="32"/>
    </row>
    <row r="367" spans="1:15">
      <c r="A367" s="7"/>
      <c r="B367" s="9"/>
      <c r="C367" s="7"/>
      <c r="D367" s="80"/>
      <c r="E367" s="81"/>
      <c r="F367" s="81"/>
      <c r="G367" s="81"/>
      <c r="H367" s="81"/>
      <c r="I367" s="81"/>
      <c r="J367" s="81"/>
      <c r="K367" s="81"/>
      <c r="L367" s="81"/>
      <c r="M367" s="81"/>
      <c r="N367" s="81"/>
      <c r="O367" s="32"/>
    </row>
    <row r="368" spans="1:15">
      <c r="A368" s="7"/>
      <c r="B368" s="9"/>
      <c r="C368" s="7"/>
      <c r="D368" s="80"/>
      <c r="E368" s="81"/>
      <c r="F368" s="81"/>
      <c r="G368" s="81"/>
      <c r="H368" s="81"/>
      <c r="I368" s="81"/>
      <c r="J368" s="81"/>
      <c r="K368" s="81"/>
      <c r="L368" s="81"/>
      <c r="M368" s="81"/>
      <c r="N368" s="81"/>
      <c r="O368" s="32"/>
    </row>
  </sheetData>
  <autoFilter ref="A2:Q49" xr:uid="{00000000-0009-0000-0000-000005000000}"/>
  <mergeCells count="24">
    <mergeCell ref="AL270:AL271"/>
    <mergeCell ref="W332:W333"/>
    <mergeCell ref="V332:V333"/>
    <mergeCell ref="AC332:AC333"/>
    <mergeCell ref="AD332:AD333"/>
    <mergeCell ref="AK332:AK333"/>
    <mergeCell ref="AL332:AL333"/>
    <mergeCell ref="V270:V271"/>
    <mergeCell ref="W270:W271"/>
    <mergeCell ref="AC270:AC271"/>
    <mergeCell ref="AD270:AD271"/>
    <mergeCell ref="AK270:AK271"/>
    <mergeCell ref="N59:N60"/>
    <mergeCell ref="O59:O60"/>
    <mergeCell ref="L110:L111"/>
    <mergeCell ref="M110:M111"/>
    <mergeCell ref="L161:L162"/>
    <mergeCell ref="M161:M162"/>
    <mergeCell ref="E52:E53"/>
    <mergeCell ref="F52:F53"/>
    <mergeCell ref="E270:E271"/>
    <mergeCell ref="F270:F271"/>
    <mergeCell ref="E332:E333"/>
    <mergeCell ref="F332:F333"/>
  </mergeCells>
  <pageMargins left="0.7" right="0.7" top="0.75" bottom="0.75" header="0.3" footer="0.3"/>
  <pageSetup paperSize="9" orientation="portrait"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373"/>
  <sheetViews>
    <sheetView topLeftCell="I255" workbookViewId="0">
      <selection activeCell="Q280" sqref="Q280"/>
    </sheetView>
  </sheetViews>
  <sheetFormatPr defaultRowHeight="14.4"/>
  <cols>
    <col min="1" max="1" width="11.88671875" bestFit="1" customWidth="1"/>
    <col min="2" max="2" width="5" bestFit="1" customWidth="1"/>
    <col min="3" max="3" width="10.88671875" bestFit="1" customWidth="1"/>
    <col min="4" max="4" width="10.88671875" customWidth="1"/>
    <col min="5" max="5" width="19.6640625" bestFit="1" customWidth="1"/>
    <col min="6" max="6" width="13.109375" bestFit="1" customWidth="1"/>
    <col min="7" max="7" width="6" bestFit="1" customWidth="1"/>
    <col min="8" max="8" width="16.88671875" bestFit="1" customWidth="1"/>
    <col min="9" max="9" width="11.88671875" bestFit="1" customWidth="1"/>
    <col min="10" max="10" width="6" bestFit="1" customWidth="1"/>
    <col min="11" max="11" width="11" bestFit="1" customWidth="1"/>
    <col min="12" max="12" width="18.88671875" bestFit="1" customWidth="1"/>
    <col min="13" max="13" width="23" bestFit="1" customWidth="1"/>
    <col min="14" max="14" width="6.5546875" bestFit="1" customWidth="1"/>
    <col min="15" max="15" width="8.44140625" bestFit="1" customWidth="1"/>
    <col min="16" max="16" width="9.44140625" bestFit="1" customWidth="1"/>
    <col min="17" max="17" width="8.109375" bestFit="1" customWidth="1"/>
    <col min="18" max="18" width="28.109375" bestFit="1" customWidth="1"/>
    <col min="19" max="19" width="6.88671875" bestFit="1" customWidth="1"/>
    <col min="20" max="20" width="27.88671875" bestFit="1" customWidth="1"/>
    <col min="21" max="21" width="9.6640625" bestFit="1" customWidth="1"/>
  </cols>
  <sheetData>
    <row r="1" spans="1:21">
      <c r="A1" s="21" t="s">
        <v>0</v>
      </c>
      <c r="B1" s="21" t="s">
        <v>1</v>
      </c>
      <c r="C1" s="21" t="s">
        <v>2</v>
      </c>
      <c r="D1" s="78" t="s">
        <v>100</v>
      </c>
      <c r="E1" s="21" t="s">
        <v>3</v>
      </c>
      <c r="F1" s="21" t="s">
        <v>4</v>
      </c>
      <c r="G1" s="21" t="s">
        <v>5</v>
      </c>
      <c r="H1" s="21" t="s">
        <v>6</v>
      </c>
      <c r="I1" s="21" t="s">
        <v>7</v>
      </c>
      <c r="J1" s="21" t="s">
        <v>8</v>
      </c>
      <c r="K1" s="21" t="s">
        <v>9</v>
      </c>
      <c r="L1" s="21" t="s">
        <v>10</v>
      </c>
      <c r="M1" s="21" t="s">
        <v>11</v>
      </c>
      <c r="N1" s="21" t="s">
        <v>12</v>
      </c>
      <c r="O1" s="21" t="s">
        <v>17</v>
      </c>
      <c r="P1" s="21" t="s">
        <v>18</v>
      </c>
      <c r="Q1" s="21" t="s">
        <v>20</v>
      </c>
      <c r="R1" s="21" t="s">
        <v>22</v>
      </c>
      <c r="S1" s="21" t="s">
        <v>23</v>
      </c>
      <c r="T1" s="21" t="s">
        <v>24</v>
      </c>
      <c r="U1" s="21" t="s">
        <v>26</v>
      </c>
    </row>
    <row r="2" spans="1:21">
      <c r="A2" s="21" t="s">
        <v>30</v>
      </c>
      <c r="B2" s="26">
        <v>2013</v>
      </c>
      <c r="C2" s="21" t="s">
        <v>31</v>
      </c>
      <c r="D2" s="79">
        <f>DATE(B2,MONTH(1&amp;C2),1)</f>
        <v>41275</v>
      </c>
      <c r="E2" s="27">
        <v>107.5</v>
      </c>
      <c r="F2" s="27">
        <v>106.3</v>
      </c>
      <c r="G2" s="27">
        <v>108.1</v>
      </c>
      <c r="H2" s="27">
        <v>104.9</v>
      </c>
      <c r="I2" s="27">
        <v>106.1</v>
      </c>
      <c r="J2" s="27">
        <v>103.9</v>
      </c>
      <c r="K2" s="27">
        <v>101.9</v>
      </c>
      <c r="L2" s="27">
        <v>106.1</v>
      </c>
      <c r="M2" s="27">
        <v>106.8</v>
      </c>
      <c r="N2" s="27">
        <v>103.1</v>
      </c>
      <c r="O2" s="21">
        <v>106.5</v>
      </c>
      <c r="P2" s="21">
        <v>105.8</v>
      </c>
      <c r="Q2" s="22">
        <v>139.25</v>
      </c>
      <c r="R2" s="21">
        <v>104.8</v>
      </c>
      <c r="S2" s="21">
        <v>104</v>
      </c>
      <c r="T2" s="27">
        <v>103.3</v>
      </c>
      <c r="U2" s="27">
        <v>103.8</v>
      </c>
    </row>
    <row r="3" spans="1:21">
      <c r="A3" s="21" t="s">
        <v>33</v>
      </c>
      <c r="B3" s="26">
        <v>2013</v>
      </c>
      <c r="C3" s="21" t="s">
        <v>31</v>
      </c>
      <c r="D3" s="79">
        <f t="shared" ref="D3:D66" si="0">DATE(B3,MONTH(1&amp;C3),1)</f>
        <v>41275</v>
      </c>
      <c r="E3" s="27">
        <v>110.5</v>
      </c>
      <c r="F3" s="27">
        <v>109.1</v>
      </c>
      <c r="G3" s="27">
        <v>113</v>
      </c>
      <c r="H3" s="27">
        <v>103.6</v>
      </c>
      <c r="I3" s="27">
        <v>103.4</v>
      </c>
      <c r="J3" s="27">
        <v>102.3</v>
      </c>
      <c r="K3" s="27">
        <v>102.9</v>
      </c>
      <c r="L3" s="27">
        <v>105.8</v>
      </c>
      <c r="M3" s="27">
        <v>105.1</v>
      </c>
      <c r="N3" s="27">
        <v>101.8</v>
      </c>
      <c r="O3" s="21">
        <v>105.9</v>
      </c>
      <c r="P3" s="21">
        <v>105</v>
      </c>
      <c r="Q3" s="22">
        <v>100.3</v>
      </c>
      <c r="R3" s="21">
        <v>104.8</v>
      </c>
      <c r="S3" s="21">
        <v>104.1</v>
      </c>
      <c r="T3" s="27">
        <v>103.2</v>
      </c>
      <c r="U3" s="27">
        <v>103.5</v>
      </c>
    </row>
    <row r="4" spans="1:21">
      <c r="A4" s="21" t="s">
        <v>34</v>
      </c>
      <c r="B4" s="26">
        <v>2013</v>
      </c>
      <c r="C4" s="21" t="s">
        <v>31</v>
      </c>
      <c r="D4" s="79">
        <f t="shared" si="0"/>
        <v>41275</v>
      </c>
      <c r="E4" s="27">
        <v>108.4</v>
      </c>
      <c r="F4" s="27">
        <v>107.3</v>
      </c>
      <c r="G4" s="27">
        <v>110</v>
      </c>
      <c r="H4" s="27">
        <v>104.4</v>
      </c>
      <c r="I4" s="27">
        <v>105.1</v>
      </c>
      <c r="J4" s="27">
        <v>103.2</v>
      </c>
      <c r="K4" s="27">
        <v>102.2</v>
      </c>
      <c r="L4" s="27">
        <v>106</v>
      </c>
      <c r="M4" s="27">
        <v>106.2</v>
      </c>
      <c r="N4" s="27">
        <v>102.7</v>
      </c>
      <c r="O4" s="21">
        <v>106.3</v>
      </c>
      <c r="P4" s="21">
        <v>105.5</v>
      </c>
      <c r="Q4" s="22">
        <v>100.3</v>
      </c>
      <c r="R4" s="21">
        <v>104.8</v>
      </c>
      <c r="S4" s="21">
        <v>104</v>
      </c>
      <c r="T4" s="27">
        <v>103.2</v>
      </c>
      <c r="U4" s="27">
        <v>103.6</v>
      </c>
    </row>
    <row r="5" spans="1:21">
      <c r="A5" s="21" t="s">
        <v>30</v>
      </c>
      <c r="B5" s="26">
        <v>2013</v>
      </c>
      <c r="C5" s="21" t="s">
        <v>35</v>
      </c>
      <c r="D5" s="79">
        <f t="shared" si="0"/>
        <v>41306</v>
      </c>
      <c r="E5" s="27">
        <v>109.2</v>
      </c>
      <c r="F5" s="27">
        <v>108.7</v>
      </c>
      <c r="G5" s="27">
        <v>110.2</v>
      </c>
      <c r="H5" s="27">
        <v>105.4</v>
      </c>
      <c r="I5" s="27">
        <v>106.7</v>
      </c>
      <c r="J5" s="27">
        <v>104</v>
      </c>
      <c r="K5" s="27">
        <v>102.4</v>
      </c>
      <c r="L5" s="27">
        <v>105.9</v>
      </c>
      <c r="M5" s="27">
        <v>105.7</v>
      </c>
      <c r="N5" s="27">
        <v>103.1</v>
      </c>
      <c r="O5" s="21">
        <v>107.1</v>
      </c>
      <c r="P5" s="21">
        <v>106.3</v>
      </c>
      <c r="Q5" s="22">
        <v>139.25</v>
      </c>
      <c r="R5" s="21">
        <v>105.2</v>
      </c>
      <c r="S5" s="21">
        <v>104.4</v>
      </c>
      <c r="T5" s="27">
        <v>103.9</v>
      </c>
      <c r="U5" s="27">
        <v>104.1</v>
      </c>
    </row>
    <row r="6" spans="1:21">
      <c r="A6" s="21" t="s">
        <v>33</v>
      </c>
      <c r="B6" s="26">
        <v>2013</v>
      </c>
      <c r="C6" s="21" t="s">
        <v>35</v>
      </c>
      <c r="D6" s="79">
        <f t="shared" si="0"/>
        <v>41306</v>
      </c>
      <c r="E6" s="27">
        <v>112.9</v>
      </c>
      <c r="F6" s="27">
        <v>112.9</v>
      </c>
      <c r="G6" s="27">
        <v>116.9</v>
      </c>
      <c r="H6" s="27">
        <v>104</v>
      </c>
      <c r="I6" s="27">
        <v>103.5</v>
      </c>
      <c r="J6" s="27">
        <v>103.1</v>
      </c>
      <c r="K6" s="27">
        <v>104.9</v>
      </c>
      <c r="L6" s="27">
        <v>104.1</v>
      </c>
      <c r="M6" s="27">
        <v>103.8</v>
      </c>
      <c r="N6" s="27">
        <v>102.3</v>
      </c>
      <c r="O6" s="21">
        <v>106.6</v>
      </c>
      <c r="P6" s="21">
        <v>105.5</v>
      </c>
      <c r="Q6" s="22">
        <v>100.4</v>
      </c>
      <c r="R6" s="21">
        <v>105.2</v>
      </c>
      <c r="S6" s="21">
        <v>104.7</v>
      </c>
      <c r="T6" s="27">
        <v>104.4</v>
      </c>
      <c r="U6" s="27">
        <v>103.7</v>
      </c>
    </row>
    <row r="7" spans="1:21">
      <c r="A7" s="21" t="s">
        <v>34</v>
      </c>
      <c r="B7" s="26">
        <v>2013</v>
      </c>
      <c r="C7" s="21" t="s">
        <v>35</v>
      </c>
      <c r="D7" s="79">
        <f t="shared" si="0"/>
        <v>41306</v>
      </c>
      <c r="E7" s="27">
        <v>110.4</v>
      </c>
      <c r="F7" s="27">
        <v>110.2</v>
      </c>
      <c r="G7" s="27">
        <v>112.8</v>
      </c>
      <c r="H7" s="27">
        <v>104.9</v>
      </c>
      <c r="I7" s="27">
        <v>105.5</v>
      </c>
      <c r="J7" s="27">
        <v>103.6</v>
      </c>
      <c r="K7" s="27">
        <v>103.2</v>
      </c>
      <c r="L7" s="27">
        <v>105.3</v>
      </c>
      <c r="M7" s="27">
        <v>105.1</v>
      </c>
      <c r="N7" s="27">
        <v>102.8</v>
      </c>
      <c r="O7" s="21">
        <v>106.9</v>
      </c>
      <c r="P7" s="21">
        <v>106</v>
      </c>
      <c r="Q7" s="22">
        <v>100.4</v>
      </c>
      <c r="R7" s="21">
        <v>105.2</v>
      </c>
      <c r="S7" s="21">
        <v>104.5</v>
      </c>
      <c r="T7" s="27">
        <v>104.2</v>
      </c>
      <c r="U7" s="27">
        <v>103.9</v>
      </c>
    </row>
    <row r="8" spans="1:21">
      <c r="A8" s="21" t="s">
        <v>30</v>
      </c>
      <c r="B8" s="26">
        <v>2013</v>
      </c>
      <c r="C8" s="21" t="s">
        <v>36</v>
      </c>
      <c r="D8" s="79">
        <f t="shared" si="0"/>
        <v>41334</v>
      </c>
      <c r="E8" s="27">
        <v>110.2</v>
      </c>
      <c r="F8" s="27">
        <v>108.8</v>
      </c>
      <c r="G8" s="27">
        <v>109.9</v>
      </c>
      <c r="H8" s="27">
        <v>105.6</v>
      </c>
      <c r="I8" s="27">
        <v>106.2</v>
      </c>
      <c r="J8" s="27">
        <v>105.7</v>
      </c>
      <c r="K8" s="27">
        <v>101.4</v>
      </c>
      <c r="L8" s="27">
        <v>105.7</v>
      </c>
      <c r="M8" s="27">
        <v>105</v>
      </c>
      <c r="N8" s="27">
        <v>103.3</v>
      </c>
      <c r="O8" s="21">
        <v>107.6</v>
      </c>
      <c r="P8" s="21">
        <v>106.8</v>
      </c>
      <c r="Q8" s="22">
        <v>139.25</v>
      </c>
      <c r="R8" s="21">
        <v>105.6</v>
      </c>
      <c r="S8" s="21">
        <v>104.7</v>
      </c>
      <c r="T8" s="27">
        <v>104.6</v>
      </c>
      <c r="U8" s="27">
        <v>104.3</v>
      </c>
    </row>
    <row r="9" spans="1:21">
      <c r="A9" s="21" t="s">
        <v>33</v>
      </c>
      <c r="B9" s="26">
        <v>2013</v>
      </c>
      <c r="C9" s="21" t="s">
        <v>36</v>
      </c>
      <c r="D9" s="79">
        <f t="shared" si="0"/>
        <v>41334</v>
      </c>
      <c r="E9" s="27">
        <v>113.9</v>
      </c>
      <c r="F9" s="27">
        <v>111.4</v>
      </c>
      <c r="G9" s="27">
        <v>113.2</v>
      </c>
      <c r="H9" s="27">
        <v>104.3</v>
      </c>
      <c r="I9" s="27">
        <v>102.7</v>
      </c>
      <c r="J9" s="27">
        <v>104.9</v>
      </c>
      <c r="K9" s="27">
        <v>103.8</v>
      </c>
      <c r="L9" s="27">
        <v>103.5</v>
      </c>
      <c r="M9" s="27">
        <v>102.6</v>
      </c>
      <c r="N9" s="27">
        <v>102.4</v>
      </c>
      <c r="O9" s="21">
        <v>107.2</v>
      </c>
      <c r="P9" s="21">
        <v>106</v>
      </c>
      <c r="Q9" s="22">
        <v>100.4</v>
      </c>
      <c r="R9" s="21">
        <v>105.7</v>
      </c>
      <c r="S9" s="21">
        <v>105.2</v>
      </c>
      <c r="T9" s="27">
        <v>105.5</v>
      </c>
      <c r="U9" s="27">
        <v>103.8</v>
      </c>
    </row>
    <row r="10" spans="1:21">
      <c r="A10" s="21" t="s">
        <v>34</v>
      </c>
      <c r="B10" s="26">
        <v>2013</v>
      </c>
      <c r="C10" s="21" t="s">
        <v>36</v>
      </c>
      <c r="D10" s="79">
        <f t="shared" si="0"/>
        <v>41334</v>
      </c>
      <c r="E10" s="27">
        <v>111.4</v>
      </c>
      <c r="F10" s="27">
        <v>109.7</v>
      </c>
      <c r="G10" s="27">
        <v>111.2</v>
      </c>
      <c r="H10" s="27">
        <v>105.1</v>
      </c>
      <c r="I10" s="27">
        <v>104.9</v>
      </c>
      <c r="J10" s="27">
        <v>105.3</v>
      </c>
      <c r="K10" s="27">
        <v>102.2</v>
      </c>
      <c r="L10" s="27">
        <v>105</v>
      </c>
      <c r="M10" s="27">
        <v>104.2</v>
      </c>
      <c r="N10" s="27">
        <v>103</v>
      </c>
      <c r="O10" s="21">
        <v>107.4</v>
      </c>
      <c r="P10" s="21">
        <v>106.5</v>
      </c>
      <c r="Q10" s="22">
        <v>100.4</v>
      </c>
      <c r="R10" s="21">
        <v>105.6</v>
      </c>
      <c r="S10" s="21">
        <v>104.9</v>
      </c>
      <c r="T10" s="27">
        <v>105.1</v>
      </c>
      <c r="U10" s="27">
        <v>104</v>
      </c>
    </row>
    <row r="11" spans="1:21">
      <c r="A11" s="21" t="s">
        <v>30</v>
      </c>
      <c r="B11" s="26">
        <v>2013</v>
      </c>
      <c r="C11" s="21" t="s">
        <v>37</v>
      </c>
      <c r="D11" s="79">
        <f t="shared" si="0"/>
        <v>41365</v>
      </c>
      <c r="E11" s="27">
        <v>110.2</v>
      </c>
      <c r="F11" s="27">
        <v>109.5</v>
      </c>
      <c r="G11" s="27">
        <v>106.9</v>
      </c>
      <c r="H11" s="27">
        <v>106.3</v>
      </c>
      <c r="I11" s="27">
        <v>105.7</v>
      </c>
      <c r="J11" s="27">
        <v>108.3</v>
      </c>
      <c r="K11" s="27">
        <v>103.4</v>
      </c>
      <c r="L11" s="27">
        <v>105.7</v>
      </c>
      <c r="M11" s="27">
        <v>104.2</v>
      </c>
      <c r="N11" s="27">
        <v>103.2</v>
      </c>
      <c r="O11" s="21">
        <v>108.1</v>
      </c>
      <c r="P11" s="21">
        <v>107.4</v>
      </c>
      <c r="Q11" s="22">
        <v>139.25</v>
      </c>
      <c r="R11" s="21">
        <v>106.1</v>
      </c>
      <c r="S11" s="21">
        <v>105.1</v>
      </c>
      <c r="T11" s="27">
        <v>104.4</v>
      </c>
      <c r="U11" s="27">
        <v>104.8</v>
      </c>
    </row>
    <row r="12" spans="1:21">
      <c r="A12" s="21" t="s">
        <v>33</v>
      </c>
      <c r="B12" s="26">
        <v>2013</v>
      </c>
      <c r="C12" s="21" t="s">
        <v>37</v>
      </c>
      <c r="D12" s="79">
        <f t="shared" si="0"/>
        <v>41365</v>
      </c>
      <c r="E12" s="27">
        <v>114.6</v>
      </c>
      <c r="F12" s="27">
        <v>113.4</v>
      </c>
      <c r="G12" s="27">
        <v>106</v>
      </c>
      <c r="H12" s="27">
        <v>104.7</v>
      </c>
      <c r="I12" s="27">
        <v>102.1</v>
      </c>
      <c r="J12" s="27">
        <v>109.5</v>
      </c>
      <c r="K12" s="27">
        <v>109.7</v>
      </c>
      <c r="L12" s="27">
        <v>104.6</v>
      </c>
      <c r="M12" s="27">
        <v>102</v>
      </c>
      <c r="N12" s="27">
        <v>103.5</v>
      </c>
      <c r="O12" s="21">
        <v>107.9</v>
      </c>
      <c r="P12" s="21">
        <v>106.4</v>
      </c>
      <c r="Q12" s="22">
        <v>100.5</v>
      </c>
      <c r="R12" s="21">
        <v>106.5</v>
      </c>
      <c r="S12" s="21">
        <v>105.7</v>
      </c>
      <c r="T12" s="27">
        <v>105</v>
      </c>
      <c r="U12" s="27">
        <v>105.2</v>
      </c>
    </row>
    <row r="13" spans="1:21">
      <c r="A13" s="21" t="s">
        <v>34</v>
      </c>
      <c r="B13" s="26">
        <v>2013</v>
      </c>
      <c r="C13" s="21" t="s">
        <v>37</v>
      </c>
      <c r="D13" s="79">
        <f t="shared" si="0"/>
        <v>41365</v>
      </c>
      <c r="E13" s="27">
        <v>111.6</v>
      </c>
      <c r="F13" s="27">
        <v>110.9</v>
      </c>
      <c r="G13" s="27">
        <v>106.6</v>
      </c>
      <c r="H13" s="27">
        <v>105.7</v>
      </c>
      <c r="I13" s="27">
        <v>104.4</v>
      </c>
      <c r="J13" s="27">
        <v>108.9</v>
      </c>
      <c r="K13" s="27">
        <v>105.5</v>
      </c>
      <c r="L13" s="27">
        <v>105.3</v>
      </c>
      <c r="M13" s="27">
        <v>103.5</v>
      </c>
      <c r="N13" s="27">
        <v>103.3</v>
      </c>
      <c r="O13" s="21">
        <v>108</v>
      </c>
      <c r="P13" s="21">
        <v>107</v>
      </c>
      <c r="Q13" s="22">
        <v>100.5</v>
      </c>
      <c r="R13" s="21">
        <v>106.3</v>
      </c>
      <c r="S13" s="21">
        <v>105.3</v>
      </c>
      <c r="T13" s="27">
        <v>104.7</v>
      </c>
      <c r="U13" s="27">
        <v>105</v>
      </c>
    </row>
    <row r="14" spans="1:21">
      <c r="A14" s="21" t="s">
        <v>30</v>
      </c>
      <c r="B14" s="26">
        <v>2013</v>
      </c>
      <c r="C14" s="21" t="s">
        <v>38</v>
      </c>
      <c r="D14" s="79">
        <f t="shared" si="0"/>
        <v>41395</v>
      </c>
      <c r="E14" s="27">
        <v>110.9</v>
      </c>
      <c r="F14" s="27">
        <v>109.8</v>
      </c>
      <c r="G14" s="27">
        <v>105.9</v>
      </c>
      <c r="H14" s="27">
        <v>107.5</v>
      </c>
      <c r="I14" s="27">
        <v>105.3</v>
      </c>
      <c r="J14" s="27">
        <v>108.1</v>
      </c>
      <c r="K14" s="27">
        <v>107.3</v>
      </c>
      <c r="L14" s="27">
        <v>106.1</v>
      </c>
      <c r="M14" s="27">
        <v>103.7</v>
      </c>
      <c r="N14" s="27">
        <v>104</v>
      </c>
      <c r="O14" s="21">
        <v>108.8</v>
      </c>
      <c r="P14" s="21">
        <v>107.9</v>
      </c>
      <c r="Q14" s="22">
        <v>139.25</v>
      </c>
      <c r="R14" s="21">
        <v>106.8</v>
      </c>
      <c r="S14" s="21">
        <v>105.7</v>
      </c>
      <c r="T14" s="27">
        <v>104.1</v>
      </c>
      <c r="U14" s="27">
        <v>105.5</v>
      </c>
    </row>
    <row r="15" spans="1:21">
      <c r="A15" s="21" t="s">
        <v>33</v>
      </c>
      <c r="B15" s="26">
        <v>2013</v>
      </c>
      <c r="C15" s="21" t="s">
        <v>38</v>
      </c>
      <c r="D15" s="79">
        <f t="shared" si="0"/>
        <v>41395</v>
      </c>
      <c r="E15" s="27">
        <v>115.4</v>
      </c>
      <c r="F15" s="27">
        <v>114.2</v>
      </c>
      <c r="G15" s="27">
        <v>102.7</v>
      </c>
      <c r="H15" s="27">
        <v>105.5</v>
      </c>
      <c r="I15" s="27">
        <v>101.5</v>
      </c>
      <c r="J15" s="27">
        <v>110.6</v>
      </c>
      <c r="K15" s="27">
        <v>123.7</v>
      </c>
      <c r="L15" s="27">
        <v>105.2</v>
      </c>
      <c r="M15" s="27">
        <v>101.9</v>
      </c>
      <c r="N15" s="27">
        <v>105</v>
      </c>
      <c r="O15" s="21">
        <v>108.5</v>
      </c>
      <c r="P15" s="21">
        <v>106.7</v>
      </c>
      <c r="Q15" s="22">
        <v>100.5</v>
      </c>
      <c r="R15" s="21">
        <v>107.1</v>
      </c>
      <c r="S15" s="21">
        <v>106.2</v>
      </c>
      <c r="T15" s="27">
        <v>103.9</v>
      </c>
      <c r="U15" s="27">
        <v>105.7</v>
      </c>
    </row>
    <row r="16" spans="1:21">
      <c r="A16" s="21" t="s">
        <v>34</v>
      </c>
      <c r="B16" s="26">
        <v>2013</v>
      </c>
      <c r="C16" s="21" t="s">
        <v>38</v>
      </c>
      <c r="D16" s="79">
        <f t="shared" si="0"/>
        <v>41395</v>
      </c>
      <c r="E16" s="27">
        <v>112.3</v>
      </c>
      <c r="F16" s="27">
        <v>111.3</v>
      </c>
      <c r="G16" s="27">
        <v>104.7</v>
      </c>
      <c r="H16" s="27">
        <v>106.8</v>
      </c>
      <c r="I16" s="27">
        <v>103.9</v>
      </c>
      <c r="J16" s="27">
        <v>109.3</v>
      </c>
      <c r="K16" s="27">
        <v>112.9</v>
      </c>
      <c r="L16" s="27">
        <v>105.8</v>
      </c>
      <c r="M16" s="27">
        <v>103.1</v>
      </c>
      <c r="N16" s="27">
        <v>104.3</v>
      </c>
      <c r="O16" s="21">
        <v>108.7</v>
      </c>
      <c r="P16" s="21">
        <v>107.4</v>
      </c>
      <c r="Q16" s="22">
        <v>100.5</v>
      </c>
      <c r="R16" s="21">
        <v>106.9</v>
      </c>
      <c r="S16" s="21">
        <v>105.9</v>
      </c>
      <c r="T16" s="27">
        <v>104</v>
      </c>
      <c r="U16" s="27">
        <v>105.6</v>
      </c>
    </row>
    <row r="17" spans="1:21">
      <c r="A17" s="21" t="s">
        <v>30</v>
      </c>
      <c r="B17" s="26">
        <v>2013</v>
      </c>
      <c r="C17" s="21" t="s">
        <v>39</v>
      </c>
      <c r="D17" s="79">
        <f t="shared" si="0"/>
        <v>41426</v>
      </c>
      <c r="E17" s="27">
        <v>112.3</v>
      </c>
      <c r="F17" s="27">
        <v>112.1</v>
      </c>
      <c r="G17" s="27">
        <v>108.1</v>
      </c>
      <c r="H17" s="27">
        <v>108.3</v>
      </c>
      <c r="I17" s="27">
        <v>105.9</v>
      </c>
      <c r="J17" s="27">
        <v>109.2</v>
      </c>
      <c r="K17" s="27">
        <v>118</v>
      </c>
      <c r="L17" s="27">
        <v>106.8</v>
      </c>
      <c r="M17" s="27">
        <v>104.1</v>
      </c>
      <c r="N17" s="27">
        <v>105.4</v>
      </c>
      <c r="O17" s="21">
        <v>109.7</v>
      </c>
      <c r="P17" s="21">
        <v>108.8</v>
      </c>
      <c r="Q17" s="22">
        <v>139.25</v>
      </c>
      <c r="R17" s="21">
        <v>107.5</v>
      </c>
      <c r="S17" s="21">
        <v>106.3</v>
      </c>
      <c r="T17" s="27">
        <v>105</v>
      </c>
      <c r="U17" s="27">
        <v>106.5</v>
      </c>
    </row>
    <row r="18" spans="1:21">
      <c r="A18" s="21" t="s">
        <v>33</v>
      </c>
      <c r="B18" s="26">
        <v>2013</v>
      </c>
      <c r="C18" s="21" t="s">
        <v>39</v>
      </c>
      <c r="D18" s="79">
        <f t="shared" si="0"/>
        <v>41426</v>
      </c>
      <c r="E18" s="27">
        <v>117</v>
      </c>
      <c r="F18" s="27">
        <v>120.1</v>
      </c>
      <c r="G18" s="27">
        <v>112.5</v>
      </c>
      <c r="H18" s="27">
        <v>107.3</v>
      </c>
      <c r="I18" s="27">
        <v>101.3</v>
      </c>
      <c r="J18" s="27">
        <v>112.4</v>
      </c>
      <c r="K18" s="27">
        <v>143.6</v>
      </c>
      <c r="L18" s="27">
        <v>105.4</v>
      </c>
      <c r="M18" s="27">
        <v>101.4</v>
      </c>
      <c r="N18" s="27">
        <v>106.4</v>
      </c>
      <c r="O18" s="21">
        <v>109.2</v>
      </c>
      <c r="P18" s="21">
        <v>107.2</v>
      </c>
      <c r="Q18" s="22">
        <v>106.6</v>
      </c>
      <c r="R18" s="21">
        <v>107.7</v>
      </c>
      <c r="S18" s="21">
        <v>106.5</v>
      </c>
      <c r="T18" s="27">
        <v>105.2</v>
      </c>
      <c r="U18" s="27">
        <v>108.1</v>
      </c>
    </row>
    <row r="19" spans="1:21">
      <c r="A19" s="21" t="s">
        <v>34</v>
      </c>
      <c r="B19" s="26">
        <v>2013</v>
      </c>
      <c r="C19" s="21" t="s">
        <v>39</v>
      </c>
      <c r="D19" s="79">
        <f t="shared" si="0"/>
        <v>41426</v>
      </c>
      <c r="E19" s="27">
        <v>113.8</v>
      </c>
      <c r="F19" s="27">
        <v>114.9</v>
      </c>
      <c r="G19" s="27">
        <v>109.8</v>
      </c>
      <c r="H19" s="27">
        <v>107.9</v>
      </c>
      <c r="I19" s="27">
        <v>104.2</v>
      </c>
      <c r="J19" s="27">
        <v>110.7</v>
      </c>
      <c r="K19" s="27">
        <v>126.7</v>
      </c>
      <c r="L19" s="27">
        <v>106.3</v>
      </c>
      <c r="M19" s="27">
        <v>103.2</v>
      </c>
      <c r="N19" s="27">
        <v>105.7</v>
      </c>
      <c r="O19" s="21">
        <v>109.5</v>
      </c>
      <c r="P19" s="21">
        <v>108.1</v>
      </c>
      <c r="Q19" s="22">
        <v>106.6</v>
      </c>
      <c r="R19" s="21">
        <v>107.6</v>
      </c>
      <c r="S19" s="21">
        <v>106.4</v>
      </c>
      <c r="T19" s="27">
        <v>105.1</v>
      </c>
      <c r="U19" s="27">
        <v>107.4</v>
      </c>
    </row>
    <row r="20" spans="1:21">
      <c r="A20" s="21" t="s">
        <v>30</v>
      </c>
      <c r="B20" s="26">
        <v>2013</v>
      </c>
      <c r="C20" s="21" t="s">
        <v>40</v>
      </c>
      <c r="D20" s="79">
        <f t="shared" si="0"/>
        <v>41456</v>
      </c>
      <c r="E20" s="27">
        <v>113.4</v>
      </c>
      <c r="F20" s="27">
        <v>114.9</v>
      </c>
      <c r="G20" s="27">
        <v>110.5</v>
      </c>
      <c r="H20" s="27">
        <v>109.3</v>
      </c>
      <c r="I20" s="27">
        <v>106.2</v>
      </c>
      <c r="J20" s="27">
        <v>110.3</v>
      </c>
      <c r="K20" s="27">
        <v>129.19999999999999</v>
      </c>
      <c r="L20" s="27">
        <v>107.1</v>
      </c>
      <c r="M20" s="27">
        <v>104.3</v>
      </c>
      <c r="N20" s="27">
        <v>106.4</v>
      </c>
      <c r="O20" s="21">
        <v>110.5</v>
      </c>
      <c r="P20" s="21">
        <v>109.5</v>
      </c>
      <c r="Q20" s="22">
        <v>139.25</v>
      </c>
      <c r="R20" s="21">
        <v>108.3</v>
      </c>
      <c r="S20" s="21">
        <v>106.9</v>
      </c>
      <c r="T20" s="27">
        <v>106.8</v>
      </c>
      <c r="U20" s="27">
        <v>107.8</v>
      </c>
    </row>
    <row r="21" spans="1:21">
      <c r="A21" s="21" t="s">
        <v>33</v>
      </c>
      <c r="B21" s="26">
        <v>2013</v>
      </c>
      <c r="C21" s="21" t="s">
        <v>40</v>
      </c>
      <c r="D21" s="79">
        <f t="shared" si="0"/>
        <v>41456</v>
      </c>
      <c r="E21" s="27">
        <v>117.8</v>
      </c>
      <c r="F21" s="27">
        <v>119.2</v>
      </c>
      <c r="G21" s="27">
        <v>114</v>
      </c>
      <c r="H21" s="27">
        <v>108.3</v>
      </c>
      <c r="I21" s="27">
        <v>101.1</v>
      </c>
      <c r="J21" s="27">
        <v>113.2</v>
      </c>
      <c r="K21" s="27">
        <v>160.9</v>
      </c>
      <c r="L21" s="27">
        <v>105.1</v>
      </c>
      <c r="M21" s="27">
        <v>101.3</v>
      </c>
      <c r="N21" s="27">
        <v>107.5</v>
      </c>
      <c r="O21" s="21">
        <v>109.8</v>
      </c>
      <c r="P21" s="21">
        <v>107.8</v>
      </c>
      <c r="Q21" s="22">
        <v>107.7</v>
      </c>
      <c r="R21" s="21">
        <v>108.1</v>
      </c>
      <c r="S21" s="21">
        <v>107.1</v>
      </c>
      <c r="T21" s="27">
        <v>107.3</v>
      </c>
      <c r="U21" s="27">
        <v>110.1</v>
      </c>
    </row>
    <row r="22" spans="1:21">
      <c r="A22" s="21" t="s">
        <v>34</v>
      </c>
      <c r="B22" s="26">
        <v>2013</v>
      </c>
      <c r="C22" s="21" t="s">
        <v>40</v>
      </c>
      <c r="D22" s="79">
        <f t="shared" si="0"/>
        <v>41456</v>
      </c>
      <c r="E22" s="27">
        <v>114.8</v>
      </c>
      <c r="F22" s="27">
        <v>116.4</v>
      </c>
      <c r="G22" s="27">
        <v>111.9</v>
      </c>
      <c r="H22" s="27">
        <v>108.9</v>
      </c>
      <c r="I22" s="27">
        <v>104.3</v>
      </c>
      <c r="J22" s="27">
        <v>111.7</v>
      </c>
      <c r="K22" s="27">
        <v>140</v>
      </c>
      <c r="L22" s="27">
        <v>106.4</v>
      </c>
      <c r="M22" s="27">
        <v>103.3</v>
      </c>
      <c r="N22" s="27">
        <v>106.8</v>
      </c>
      <c r="O22" s="21">
        <v>110.2</v>
      </c>
      <c r="P22" s="21">
        <v>108.8</v>
      </c>
      <c r="Q22" s="22">
        <v>107.7</v>
      </c>
      <c r="R22" s="21">
        <v>108.2</v>
      </c>
      <c r="S22" s="21">
        <v>107</v>
      </c>
      <c r="T22" s="27">
        <v>107.1</v>
      </c>
      <c r="U22" s="27">
        <v>109.1</v>
      </c>
    </row>
    <row r="23" spans="1:21">
      <c r="A23" s="21" t="s">
        <v>30</v>
      </c>
      <c r="B23" s="26">
        <v>2013</v>
      </c>
      <c r="C23" s="21" t="s">
        <v>41</v>
      </c>
      <c r="D23" s="79">
        <f t="shared" si="0"/>
        <v>41487</v>
      </c>
      <c r="E23" s="27">
        <v>114.3</v>
      </c>
      <c r="F23" s="27">
        <v>115.4</v>
      </c>
      <c r="G23" s="27">
        <v>111.1</v>
      </c>
      <c r="H23" s="27">
        <v>110</v>
      </c>
      <c r="I23" s="27">
        <v>106.4</v>
      </c>
      <c r="J23" s="27">
        <v>110.8</v>
      </c>
      <c r="K23" s="27">
        <v>138.9</v>
      </c>
      <c r="L23" s="27">
        <v>107.4</v>
      </c>
      <c r="M23" s="27">
        <v>104.1</v>
      </c>
      <c r="N23" s="27">
        <v>106.9</v>
      </c>
      <c r="O23" s="21">
        <v>111.3</v>
      </c>
      <c r="P23" s="21">
        <v>110.2</v>
      </c>
      <c r="Q23" s="22">
        <v>139.25</v>
      </c>
      <c r="R23" s="21">
        <v>108.7</v>
      </c>
      <c r="S23" s="21">
        <v>107.5</v>
      </c>
      <c r="T23" s="27">
        <v>107.8</v>
      </c>
      <c r="U23" s="27">
        <v>108.7</v>
      </c>
    </row>
    <row r="24" spans="1:21">
      <c r="A24" s="21" t="s">
        <v>33</v>
      </c>
      <c r="B24" s="26">
        <v>2013</v>
      </c>
      <c r="C24" s="21" t="s">
        <v>41</v>
      </c>
      <c r="D24" s="79">
        <f t="shared" si="0"/>
        <v>41487</v>
      </c>
      <c r="E24" s="27">
        <v>118.3</v>
      </c>
      <c r="F24" s="27">
        <v>120.4</v>
      </c>
      <c r="G24" s="27">
        <v>112.7</v>
      </c>
      <c r="H24" s="27">
        <v>108.9</v>
      </c>
      <c r="I24" s="27">
        <v>101.1</v>
      </c>
      <c r="J24" s="27">
        <v>108.7</v>
      </c>
      <c r="K24" s="27">
        <v>177</v>
      </c>
      <c r="L24" s="27">
        <v>104.7</v>
      </c>
      <c r="M24" s="27">
        <v>101</v>
      </c>
      <c r="N24" s="27">
        <v>108.5</v>
      </c>
      <c r="O24" s="21">
        <v>110.6</v>
      </c>
      <c r="P24" s="21">
        <v>108.3</v>
      </c>
      <c r="Q24" s="22">
        <v>108.9</v>
      </c>
      <c r="R24" s="21">
        <v>108.7</v>
      </c>
      <c r="S24" s="21">
        <v>107.6</v>
      </c>
      <c r="T24" s="27">
        <v>108.1</v>
      </c>
      <c r="U24" s="27">
        <v>110.8</v>
      </c>
    </row>
    <row r="25" spans="1:21">
      <c r="A25" s="21" t="s">
        <v>34</v>
      </c>
      <c r="B25" s="26">
        <v>2013</v>
      </c>
      <c r="C25" s="21" t="s">
        <v>41</v>
      </c>
      <c r="D25" s="79">
        <f t="shared" si="0"/>
        <v>41487</v>
      </c>
      <c r="E25" s="27">
        <v>115.6</v>
      </c>
      <c r="F25" s="27">
        <v>117.2</v>
      </c>
      <c r="G25" s="27">
        <v>111.7</v>
      </c>
      <c r="H25" s="27">
        <v>109.6</v>
      </c>
      <c r="I25" s="27">
        <v>104.5</v>
      </c>
      <c r="J25" s="27">
        <v>109.8</v>
      </c>
      <c r="K25" s="27">
        <v>151.80000000000001</v>
      </c>
      <c r="L25" s="27">
        <v>106.5</v>
      </c>
      <c r="M25" s="27">
        <v>103.1</v>
      </c>
      <c r="N25" s="27">
        <v>107.4</v>
      </c>
      <c r="O25" s="21">
        <v>111</v>
      </c>
      <c r="P25" s="21">
        <v>109.4</v>
      </c>
      <c r="Q25" s="22">
        <v>108.9</v>
      </c>
      <c r="R25" s="21">
        <v>108.7</v>
      </c>
      <c r="S25" s="21">
        <v>107.5</v>
      </c>
      <c r="T25" s="27">
        <v>108</v>
      </c>
      <c r="U25" s="27">
        <v>109.9</v>
      </c>
    </row>
    <row r="26" spans="1:21">
      <c r="A26" s="21" t="s">
        <v>30</v>
      </c>
      <c r="B26" s="26">
        <v>2013</v>
      </c>
      <c r="C26" s="21" t="s">
        <v>42</v>
      </c>
      <c r="D26" s="79">
        <f t="shared" si="0"/>
        <v>41518</v>
      </c>
      <c r="E26" s="27">
        <v>115.4</v>
      </c>
      <c r="F26" s="27">
        <v>115.7</v>
      </c>
      <c r="G26" s="27">
        <v>111.7</v>
      </c>
      <c r="H26" s="27">
        <v>111</v>
      </c>
      <c r="I26" s="27">
        <v>107.4</v>
      </c>
      <c r="J26" s="27">
        <v>110.9</v>
      </c>
      <c r="K26" s="27">
        <v>154</v>
      </c>
      <c r="L26" s="27">
        <v>108.1</v>
      </c>
      <c r="M26" s="27">
        <v>104.2</v>
      </c>
      <c r="N26" s="27">
        <v>107.9</v>
      </c>
      <c r="O26" s="21">
        <v>112.7</v>
      </c>
      <c r="P26" s="21">
        <v>111.4</v>
      </c>
      <c r="Q26" s="22">
        <v>139.25</v>
      </c>
      <c r="R26" s="21">
        <v>109.6</v>
      </c>
      <c r="S26" s="21">
        <v>108.3</v>
      </c>
      <c r="T26" s="27">
        <v>109.3</v>
      </c>
      <c r="U26" s="27">
        <v>109.8</v>
      </c>
    </row>
    <row r="27" spans="1:21">
      <c r="A27" s="21" t="s">
        <v>33</v>
      </c>
      <c r="B27" s="26">
        <v>2013</v>
      </c>
      <c r="C27" s="21" t="s">
        <v>42</v>
      </c>
      <c r="D27" s="79">
        <f t="shared" si="0"/>
        <v>41518</v>
      </c>
      <c r="E27" s="27">
        <v>118.6</v>
      </c>
      <c r="F27" s="27">
        <v>119.1</v>
      </c>
      <c r="G27" s="27">
        <v>113.2</v>
      </c>
      <c r="H27" s="27">
        <v>109.6</v>
      </c>
      <c r="I27" s="27">
        <v>101.7</v>
      </c>
      <c r="J27" s="27">
        <v>103.2</v>
      </c>
      <c r="K27" s="27">
        <v>174.3</v>
      </c>
      <c r="L27" s="27">
        <v>105.1</v>
      </c>
      <c r="M27" s="27">
        <v>100.8</v>
      </c>
      <c r="N27" s="27">
        <v>109.1</v>
      </c>
      <c r="O27" s="21">
        <v>111.4</v>
      </c>
      <c r="P27" s="21">
        <v>109</v>
      </c>
      <c r="Q27" s="22">
        <v>109.7</v>
      </c>
      <c r="R27" s="21">
        <v>109.6</v>
      </c>
      <c r="S27" s="21">
        <v>107.9</v>
      </c>
      <c r="T27" s="27">
        <v>110.4</v>
      </c>
      <c r="U27" s="27">
        <v>111.2</v>
      </c>
    </row>
    <row r="28" spans="1:21">
      <c r="A28" s="21" t="s">
        <v>34</v>
      </c>
      <c r="B28" s="26">
        <v>2013</v>
      </c>
      <c r="C28" s="21" t="s">
        <v>42</v>
      </c>
      <c r="D28" s="79">
        <f t="shared" si="0"/>
        <v>41518</v>
      </c>
      <c r="E28" s="27">
        <v>116.4</v>
      </c>
      <c r="F28" s="27">
        <v>116.9</v>
      </c>
      <c r="G28" s="27">
        <v>112.3</v>
      </c>
      <c r="H28" s="27">
        <v>110.5</v>
      </c>
      <c r="I28" s="27">
        <v>105.3</v>
      </c>
      <c r="J28" s="27">
        <v>107.3</v>
      </c>
      <c r="K28" s="27">
        <v>160.9</v>
      </c>
      <c r="L28" s="27">
        <v>107.1</v>
      </c>
      <c r="M28" s="27">
        <v>103.1</v>
      </c>
      <c r="N28" s="27">
        <v>108.3</v>
      </c>
      <c r="O28" s="21">
        <v>112.2</v>
      </c>
      <c r="P28" s="21">
        <v>110.4</v>
      </c>
      <c r="Q28" s="22">
        <v>109.7</v>
      </c>
      <c r="R28" s="21">
        <v>109.6</v>
      </c>
      <c r="S28" s="21">
        <v>108.1</v>
      </c>
      <c r="T28" s="27">
        <v>109.9</v>
      </c>
      <c r="U28" s="27">
        <v>110.6</v>
      </c>
    </row>
    <row r="29" spans="1:21">
      <c r="A29" s="21" t="s">
        <v>30</v>
      </c>
      <c r="B29" s="26">
        <v>2013</v>
      </c>
      <c r="C29" s="21" t="s">
        <v>43</v>
      </c>
      <c r="D29" s="79">
        <f t="shared" si="0"/>
        <v>41548</v>
      </c>
      <c r="E29" s="27">
        <v>116.3</v>
      </c>
      <c r="F29" s="27">
        <v>115.4</v>
      </c>
      <c r="G29" s="27">
        <v>112.6</v>
      </c>
      <c r="H29" s="27">
        <v>111.7</v>
      </c>
      <c r="I29" s="27">
        <v>107.7</v>
      </c>
      <c r="J29" s="27">
        <v>113.2</v>
      </c>
      <c r="K29" s="27">
        <v>164.9</v>
      </c>
      <c r="L29" s="27">
        <v>108.3</v>
      </c>
      <c r="M29" s="27">
        <v>103.9</v>
      </c>
      <c r="N29" s="27">
        <v>108.2</v>
      </c>
      <c r="O29" s="21">
        <v>113.6</v>
      </c>
      <c r="P29" s="21">
        <v>112.3</v>
      </c>
      <c r="Q29" s="22">
        <v>139.25</v>
      </c>
      <c r="R29" s="21">
        <v>110.4</v>
      </c>
      <c r="S29" s="21">
        <v>108.9</v>
      </c>
      <c r="T29" s="27">
        <v>109.3</v>
      </c>
      <c r="U29" s="27">
        <v>110.2</v>
      </c>
    </row>
    <row r="30" spans="1:21">
      <c r="A30" s="21" t="s">
        <v>33</v>
      </c>
      <c r="B30" s="26">
        <v>2013</v>
      </c>
      <c r="C30" s="21" t="s">
        <v>43</v>
      </c>
      <c r="D30" s="79">
        <f t="shared" si="0"/>
        <v>41548</v>
      </c>
      <c r="E30" s="27">
        <v>118.9</v>
      </c>
      <c r="F30" s="27">
        <v>118.1</v>
      </c>
      <c r="G30" s="27">
        <v>114.5</v>
      </c>
      <c r="H30" s="27">
        <v>110.4</v>
      </c>
      <c r="I30" s="27">
        <v>102.3</v>
      </c>
      <c r="J30" s="27">
        <v>106.2</v>
      </c>
      <c r="K30" s="27">
        <v>183.5</v>
      </c>
      <c r="L30" s="27">
        <v>105.3</v>
      </c>
      <c r="M30" s="27">
        <v>100.2</v>
      </c>
      <c r="N30" s="27">
        <v>109.6</v>
      </c>
      <c r="O30" s="21">
        <v>112.5</v>
      </c>
      <c r="P30" s="21">
        <v>109.7</v>
      </c>
      <c r="Q30" s="22">
        <v>110.5</v>
      </c>
      <c r="R30" s="21">
        <v>110.2</v>
      </c>
      <c r="S30" s="21">
        <v>108.2</v>
      </c>
      <c r="T30" s="27">
        <v>109.7</v>
      </c>
      <c r="U30" s="27">
        <v>111.3</v>
      </c>
    </row>
    <row r="31" spans="1:21">
      <c r="A31" s="21" t="s">
        <v>34</v>
      </c>
      <c r="B31" s="26">
        <v>2013</v>
      </c>
      <c r="C31" s="21" t="s">
        <v>43</v>
      </c>
      <c r="D31" s="79">
        <f t="shared" si="0"/>
        <v>41548</v>
      </c>
      <c r="E31" s="27">
        <v>117.1</v>
      </c>
      <c r="F31" s="27">
        <v>116.3</v>
      </c>
      <c r="G31" s="27">
        <v>113.3</v>
      </c>
      <c r="H31" s="27">
        <v>111.2</v>
      </c>
      <c r="I31" s="27">
        <v>105.7</v>
      </c>
      <c r="J31" s="27">
        <v>109.9</v>
      </c>
      <c r="K31" s="27">
        <v>171.2</v>
      </c>
      <c r="L31" s="27">
        <v>107.3</v>
      </c>
      <c r="M31" s="27">
        <v>102.7</v>
      </c>
      <c r="N31" s="27">
        <v>108.7</v>
      </c>
      <c r="O31" s="21">
        <v>113.2</v>
      </c>
      <c r="P31" s="21">
        <v>111.2</v>
      </c>
      <c r="Q31" s="22">
        <v>110.5</v>
      </c>
      <c r="R31" s="21">
        <v>110.3</v>
      </c>
      <c r="S31" s="21">
        <v>108.6</v>
      </c>
      <c r="T31" s="27">
        <v>109.5</v>
      </c>
      <c r="U31" s="27">
        <v>110.8</v>
      </c>
    </row>
    <row r="32" spans="1:21">
      <c r="A32" s="21" t="s">
        <v>30</v>
      </c>
      <c r="B32" s="26">
        <v>2013</v>
      </c>
      <c r="C32" s="21" t="s">
        <v>44</v>
      </c>
      <c r="D32" s="79">
        <f t="shared" si="0"/>
        <v>41579</v>
      </c>
      <c r="E32" s="27">
        <v>117.3</v>
      </c>
      <c r="F32" s="27">
        <v>114.9</v>
      </c>
      <c r="G32" s="27">
        <v>116.2</v>
      </c>
      <c r="H32" s="27">
        <v>112.8</v>
      </c>
      <c r="I32" s="27">
        <v>108.9</v>
      </c>
      <c r="J32" s="27">
        <v>116.6</v>
      </c>
      <c r="K32" s="27">
        <v>178.1</v>
      </c>
      <c r="L32" s="27">
        <v>109.1</v>
      </c>
      <c r="M32" s="27">
        <v>103.6</v>
      </c>
      <c r="N32" s="27">
        <v>109</v>
      </c>
      <c r="O32" s="21">
        <v>114.6</v>
      </c>
      <c r="P32" s="21">
        <v>113.1</v>
      </c>
      <c r="Q32" s="22">
        <v>139.25</v>
      </c>
      <c r="R32" s="21">
        <v>111.3</v>
      </c>
      <c r="S32" s="21">
        <v>109.7</v>
      </c>
      <c r="T32" s="27">
        <v>109.6</v>
      </c>
      <c r="U32" s="27">
        <v>111</v>
      </c>
    </row>
    <row r="33" spans="1:21">
      <c r="A33" s="21" t="s">
        <v>33</v>
      </c>
      <c r="B33" s="26">
        <v>2013</v>
      </c>
      <c r="C33" s="21" t="s">
        <v>45</v>
      </c>
      <c r="D33" s="79">
        <f t="shared" si="0"/>
        <v>41579</v>
      </c>
      <c r="E33" s="27">
        <v>119.8</v>
      </c>
      <c r="F33" s="27">
        <v>116.3</v>
      </c>
      <c r="G33" s="27">
        <v>122.6</v>
      </c>
      <c r="H33" s="27">
        <v>112</v>
      </c>
      <c r="I33" s="27">
        <v>103.2</v>
      </c>
      <c r="J33" s="27">
        <v>110</v>
      </c>
      <c r="K33" s="27">
        <v>192.8</v>
      </c>
      <c r="L33" s="27">
        <v>106.3</v>
      </c>
      <c r="M33" s="27">
        <v>99.5</v>
      </c>
      <c r="N33" s="27">
        <v>110.3</v>
      </c>
      <c r="O33" s="21">
        <v>113.5</v>
      </c>
      <c r="P33" s="21">
        <v>110.3</v>
      </c>
      <c r="Q33" s="22">
        <v>111.1</v>
      </c>
      <c r="R33" s="21">
        <v>110.9</v>
      </c>
      <c r="S33" s="21">
        <v>108.6</v>
      </c>
      <c r="T33" s="27">
        <v>109.5</v>
      </c>
      <c r="U33" s="27">
        <v>111.3</v>
      </c>
    </row>
    <row r="34" spans="1:21">
      <c r="A34" s="21" t="s">
        <v>34</v>
      </c>
      <c r="B34" s="26">
        <v>2013</v>
      </c>
      <c r="C34" s="21" t="s">
        <v>45</v>
      </c>
      <c r="D34" s="79">
        <f t="shared" si="0"/>
        <v>41579</v>
      </c>
      <c r="E34" s="27">
        <v>118.1</v>
      </c>
      <c r="F34" s="27">
        <v>115.4</v>
      </c>
      <c r="G34" s="27">
        <v>118.7</v>
      </c>
      <c r="H34" s="27">
        <v>112.5</v>
      </c>
      <c r="I34" s="27">
        <v>106.8</v>
      </c>
      <c r="J34" s="27">
        <v>113.5</v>
      </c>
      <c r="K34" s="27">
        <v>183.1</v>
      </c>
      <c r="L34" s="27">
        <v>108.2</v>
      </c>
      <c r="M34" s="27">
        <v>102.2</v>
      </c>
      <c r="N34" s="27">
        <v>109.4</v>
      </c>
      <c r="O34" s="21">
        <v>114.2</v>
      </c>
      <c r="P34" s="21">
        <v>111.9</v>
      </c>
      <c r="Q34" s="22">
        <v>111.1</v>
      </c>
      <c r="R34" s="21">
        <v>111.1</v>
      </c>
      <c r="S34" s="21">
        <v>109.3</v>
      </c>
      <c r="T34" s="27">
        <v>109.5</v>
      </c>
      <c r="U34" s="27">
        <v>111.2</v>
      </c>
    </row>
    <row r="35" spans="1:21">
      <c r="A35" s="21" t="s">
        <v>30</v>
      </c>
      <c r="B35" s="26">
        <v>2013</v>
      </c>
      <c r="C35" s="21" t="s">
        <v>46</v>
      </c>
      <c r="D35" s="79">
        <f t="shared" si="0"/>
        <v>41609</v>
      </c>
      <c r="E35" s="27">
        <v>118.4</v>
      </c>
      <c r="F35" s="27">
        <v>115.9</v>
      </c>
      <c r="G35" s="27">
        <v>120.4</v>
      </c>
      <c r="H35" s="27">
        <v>113.8</v>
      </c>
      <c r="I35" s="27">
        <v>109.5</v>
      </c>
      <c r="J35" s="27">
        <v>115.5</v>
      </c>
      <c r="K35" s="27">
        <v>145.69999999999999</v>
      </c>
      <c r="L35" s="27">
        <v>109.5</v>
      </c>
      <c r="M35" s="27">
        <v>102.9</v>
      </c>
      <c r="N35" s="27">
        <v>109.8</v>
      </c>
      <c r="O35" s="21">
        <v>115.8</v>
      </c>
      <c r="P35" s="21">
        <v>114</v>
      </c>
      <c r="Q35" s="22">
        <v>139.25</v>
      </c>
      <c r="R35" s="21">
        <v>112.1</v>
      </c>
      <c r="S35" s="21">
        <v>110.1</v>
      </c>
      <c r="T35" s="27">
        <v>109.9</v>
      </c>
      <c r="U35" s="27">
        <v>111.6</v>
      </c>
    </row>
    <row r="36" spans="1:21">
      <c r="A36" s="21" t="s">
        <v>33</v>
      </c>
      <c r="B36" s="26">
        <v>2013</v>
      </c>
      <c r="C36" s="21" t="s">
        <v>46</v>
      </c>
      <c r="D36" s="79">
        <f t="shared" si="0"/>
        <v>41609</v>
      </c>
      <c r="E36" s="27">
        <v>120.5</v>
      </c>
      <c r="F36" s="27">
        <v>118.1</v>
      </c>
      <c r="G36" s="27">
        <v>128.5</v>
      </c>
      <c r="H36" s="27">
        <v>112.8</v>
      </c>
      <c r="I36" s="27">
        <v>103.4</v>
      </c>
      <c r="J36" s="27">
        <v>110.7</v>
      </c>
      <c r="K36" s="27">
        <v>144.80000000000001</v>
      </c>
      <c r="L36" s="27">
        <v>107.1</v>
      </c>
      <c r="M36" s="27">
        <v>98.6</v>
      </c>
      <c r="N36" s="27">
        <v>111.9</v>
      </c>
      <c r="O36" s="21">
        <v>114.2</v>
      </c>
      <c r="P36" s="21">
        <v>110.9</v>
      </c>
      <c r="Q36" s="22">
        <v>110.7</v>
      </c>
      <c r="R36" s="21">
        <v>111.3</v>
      </c>
      <c r="S36" s="21">
        <v>109</v>
      </c>
      <c r="T36" s="27">
        <v>109.7</v>
      </c>
      <c r="U36" s="27">
        <v>111.4</v>
      </c>
    </row>
    <row r="37" spans="1:21">
      <c r="A37" s="21" t="s">
        <v>34</v>
      </c>
      <c r="B37" s="26">
        <v>2013</v>
      </c>
      <c r="C37" s="21" t="s">
        <v>46</v>
      </c>
      <c r="D37" s="79">
        <f t="shared" si="0"/>
        <v>41609</v>
      </c>
      <c r="E37" s="27">
        <v>119.1</v>
      </c>
      <c r="F37" s="27">
        <v>116.7</v>
      </c>
      <c r="G37" s="27">
        <v>123.5</v>
      </c>
      <c r="H37" s="27">
        <v>113.4</v>
      </c>
      <c r="I37" s="27">
        <v>107.3</v>
      </c>
      <c r="J37" s="27">
        <v>113.3</v>
      </c>
      <c r="K37" s="27">
        <v>145.4</v>
      </c>
      <c r="L37" s="27">
        <v>108.7</v>
      </c>
      <c r="M37" s="27">
        <v>101.5</v>
      </c>
      <c r="N37" s="27">
        <v>110.5</v>
      </c>
      <c r="O37" s="21">
        <v>115.2</v>
      </c>
      <c r="P37" s="21">
        <v>112.7</v>
      </c>
      <c r="Q37" s="22">
        <v>110.7</v>
      </c>
      <c r="R37" s="21">
        <v>111.7</v>
      </c>
      <c r="S37" s="21">
        <v>109.7</v>
      </c>
      <c r="T37" s="27">
        <v>109.8</v>
      </c>
      <c r="U37" s="27">
        <v>111.5</v>
      </c>
    </row>
    <row r="38" spans="1:21">
      <c r="A38" s="21" t="s">
        <v>30</v>
      </c>
      <c r="B38" s="26">
        <v>2014</v>
      </c>
      <c r="C38" s="21" t="s">
        <v>31</v>
      </c>
      <c r="D38" s="79">
        <f t="shared" si="0"/>
        <v>41640</v>
      </c>
      <c r="E38" s="27">
        <v>118.9</v>
      </c>
      <c r="F38" s="27">
        <v>117.1</v>
      </c>
      <c r="G38" s="27">
        <v>120.5</v>
      </c>
      <c r="H38" s="27">
        <v>114.4</v>
      </c>
      <c r="I38" s="27">
        <v>109</v>
      </c>
      <c r="J38" s="27">
        <v>115.5</v>
      </c>
      <c r="K38" s="27">
        <v>123.9</v>
      </c>
      <c r="L38" s="27">
        <v>109.6</v>
      </c>
      <c r="M38" s="27">
        <v>101.8</v>
      </c>
      <c r="N38" s="27">
        <v>110.2</v>
      </c>
      <c r="O38" s="21">
        <v>116.5</v>
      </c>
      <c r="P38" s="21">
        <v>114.5</v>
      </c>
      <c r="Q38" s="22">
        <v>139.25</v>
      </c>
      <c r="R38" s="21">
        <v>112.6</v>
      </c>
      <c r="S38" s="21">
        <v>110.6</v>
      </c>
      <c r="T38" s="27">
        <v>110.5</v>
      </c>
      <c r="U38" s="27">
        <v>111.8</v>
      </c>
    </row>
    <row r="39" spans="1:21">
      <c r="A39" s="21" t="s">
        <v>33</v>
      </c>
      <c r="B39" s="26">
        <v>2014</v>
      </c>
      <c r="C39" s="21" t="s">
        <v>31</v>
      </c>
      <c r="D39" s="79">
        <f t="shared" si="0"/>
        <v>41640</v>
      </c>
      <c r="E39" s="27">
        <v>121.2</v>
      </c>
      <c r="F39" s="27">
        <v>122</v>
      </c>
      <c r="G39" s="27">
        <v>129.9</v>
      </c>
      <c r="H39" s="27">
        <v>113.6</v>
      </c>
      <c r="I39" s="27">
        <v>102.9</v>
      </c>
      <c r="J39" s="27">
        <v>112.1</v>
      </c>
      <c r="K39" s="27">
        <v>118.9</v>
      </c>
      <c r="L39" s="27">
        <v>107.5</v>
      </c>
      <c r="M39" s="27">
        <v>96.9</v>
      </c>
      <c r="N39" s="27">
        <v>112.7</v>
      </c>
      <c r="O39" s="21">
        <v>114.8</v>
      </c>
      <c r="P39" s="21">
        <v>111.3</v>
      </c>
      <c r="Q39" s="22">
        <v>111.6</v>
      </c>
      <c r="R39" s="21">
        <v>111.9</v>
      </c>
      <c r="S39" s="21">
        <v>109.7</v>
      </c>
      <c r="T39" s="27">
        <v>110.8</v>
      </c>
      <c r="U39" s="27">
        <v>111.5</v>
      </c>
    </row>
    <row r="40" spans="1:21">
      <c r="A40" s="21" t="s">
        <v>34</v>
      </c>
      <c r="B40" s="26">
        <v>2014</v>
      </c>
      <c r="C40" s="21" t="s">
        <v>31</v>
      </c>
      <c r="D40" s="79">
        <f t="shared" si="0"/>
        <v>41640</v>
      </c>
      <c r="E40" s="27">
        <v>119.6</v>
      </c>
      <c r="F40" s="27">
        <v>118.8</v>
      </c>
      <c r="G40" s="27">
        <v>124.1</v>
      </c>
      <c r="H40" s="27">
        <v>114.1</v>
      </c>
      <c r="I40" s="27">
        <v>106.8</v>
      </c>
      <c r="J40" s="27">
        <v>113.9</v>
      </c>
      <c r="K40" s="27">
        <v>122.2</v>
      </c>
      <c r="L40" s="27">
        <v>108.9</v>
      </c>
      <c r="M40" s="27">
        <v>100.2</v>
      </c>
      <c r="N40" s="27">
        <v>111</v>
      </c>
      <c r="O40" s="21">
        <v>115.8</v>
      </c>
      <c r="P40" s="21">
        <v>113.2</v>
      </c>
      <c r="Q40" s="22">
        <v>111.6</v>
      </c>
      <c r="R40" s="21">
        <v>112.3</v>
      </c>
      <c r="S40" s="21">
        <v>110.3</v>
      </c>
      <c r="T40" s="27">
        <v>110.7</v>
      </c>
      <c r="U40" s="27">
        <v>111.6</v>
      </c>
    </row>
    <row r="41" spans="1:21">
      <c r="A41" s="21" t="s">
        <v>30</v>
      </c>
      <c r="B41" s="26">
        <v>2014</v>
      </c>
      <c r="C41" s="21" t="s">
        <v>35</v>
      </c>
      <c r="D41" s="79">
        <f t="shared" si="0"/>
        <v>41671</v>
      </c>
      <c r="E41" s="27">
        <v>119.4</v>
      </c>
      <c r="F41" s="27">
        <v>117.7</v>
      </c>
      <c r="G41" s="27">
        <v>121.2</v>
      </c>
      <c r="H41" s="27">
        <v>115</v>
      </c>
      <c r="I41" s="27">
        <v>109</v>
      </c>
      <c r="J41" s="27">
        <v>116.6</v>
      </c>
      <c r="K41" s="27">
        <v>116</v>
      </c>
      <c r="L41" s="27">
        <v>109.8</v>
      </c>
      <c r="M41" s="27">
        <v>101.1</v>
      </c>
      <c r="N41" s="27">
        <v>110.4</v>
      </c>
      <c r="O41" s="21">
        <v>117.1</v>
      </c>
      <c r="P41" s="21">
        <v>114.5</v>
      </c>
      <c r="Q41" s="22">
        <v>139.25</v>
      </c>
      <c r="R41" s="21">
        <v>112.9</v>
      </c>
      <c r="S41" s="21">
        <v>110.9</v>
      </c>
      <c r="T41" s="27">
        <v>110.8</v>
      </c>
      <c r="U41" s="27">
        <v>112</v>
      </c>
    </row>
    <row r="42" spans="1:21">
      <c r="A42" s="21" t="s">
        <v>33</v>
      </c>
      <c r="B42" s="26">
        <v>2014</v>
      </c>
      <c r="C42" s="21" t="s">
        <v>35</v>
      </c>
      <c r="D42" s="79">
        <f t="shared" si="0"/>
        <v>41671</v>
      </c>
      <c r="E42" s="27">
        <v>121.9</v>
      </c>
      <c r="F42" s="27">
        <v>122</v>
      </c>
      <c r="G42" s="27">
        <v>124.5</v>
      </c>
      <c r="H42" s="27">
        <v>115.2</v>
      </c>
      <c r="I42" s="27">
        <v>102.5</v>
      </c>
      <c r="J42" s="27">
        <v>114.1</v>
      </c>
      <c r="K42" s="27">
        <v>111.5</v>
      </c>
      <c r="L42" s="27">
        <v>108.2</v>
      </c>
      <c r="M42" s="27">
        <v>95.4</v>
      </c>
      <c r="N42" s="27">
        <v>113.5</v>
      </c>
      <c r="O42" s="21">
        <v>115.3</v>
      </c>
      <c r="P42" s="21">
        <v>111.7</v>
      </c>
      <c r="Q42" s="22">
        <v>112.5</v>
      </c>
      <c r="R42" s="21">
        <v>112.6</v>
      </c>
      <c r="S42" s="21">
        <v>110.4</v>
      </c>
      <c r="T42" s="27">
        <v>111.3</v>
      </c>
      <c r="U42" s="27">
        <v>111.6</v>
      </c>
    </row>
    <row r="43" spans="1:21">
      <c r="A43" s="21" t="s">
        <v>34</v>
      </c>
      <c r="B43" s="26">
        <v>2014</v>
      </c>
      <c r="C43" s="21" t="s">
        <v>35</v>
      </c>
      <c r="D43" s="79">
        <f t="shared" si="0"/>
        <v>41671</v>
      </c>
      <c r="E43" s="27">
        <v>120.2</v>
      </c>
      <c r="F43" s="27">
        <v>119.2</v>
      </c>
      <c r="G43" s="27">
        <v>122.5</v>
      </c>
      <c r="H43" s="27">
        <v>115.1</v>
      </c>
      <c r="I43" s="27">
        <v>106.6</v>
      </c>
      <c r="J43" s="27">
        <v>115.4</v>
      </c>
      <c r="K43" s="27">
        <v>114.5</v>
      </c>
      <c r="L43" s="27">
        <v>109.3</v>
      </c>
      <c r="M43" s="27">
        <v>99.2</v>
      </c>
      <c r="N43" s="27">
        <v>111.4</v>
      </c>
      <c r="O43" s="21">
        <v>116.4</v>
      </c>
      <c r="P43" s="21">
        <v>113.3</v>
      </c>
      <c r="Q43" s="22">
        <v>112.5</v>
      </c>
      <c r="R43" s="21">
        <v>112.8</v>
      </c>
      <c r="S43" s="21">
        <v>110.7</v>
      </c>
      <c r="T43" s="27">
        <v>111.1</v>
      </c>
      <c r="U43" s="27">
        <v>111.8</v>
      </c>
    </row>
    <row r="44" spans="1:21">
      <c r="A44" s="21" t="s">
        <v>30</v>
      </c>
      <c r="B44" s="26">
        <v>2014</v>
      </c>
      <c r="C44" s="21" t="s">
        <v>36</v>
      </c>
      <c r="D44" s="79">
        <f t="shared" si="0"/>
        <v>41699</v>
      </c>
      <c r="E44" s="27">
        <v>120.1</v>
      </c>
      <c r="F44" s="27">
        <v>118.1</v>
      </c>
      <c r="G44" s="27">
        <v>120.7</v>
      </c>
      <c r="H44" s="27">
        <v>116.1</v>
      </c>
      <c r="I44" s="27">
        <v>109.3</v>
      </c>
      <c r="J44" s="27">
        <v>119.6</v>
      </c>
      <c r="K44" s="27">
        <v>117.9</v>
      </c>
      <c r="L44" s="27">
        <v>110.2</v>
      </c>
      <c r="M44" s="27">
        <v>101.2</v>
      </c>
      <c r="N44" s="27">
        <v>110.7</v>
      </c>
      <c r="O44" s="21">
        <v>117.5</v>
      </c>
      <c r="P44" s="21">
        <v>114.9</v>
      </c>
      <c r="Q44" s="22">
        <v>139.25</v>
      </c>
      <c r="R44" s="21">
        <v>113.4</v>
      </c>
      <c r="S44" s="21">
        <v>111.4</v>
      </c>
      <c r="T44" s="27">
        <v>111.2</v>
      </c>
      <c r="U44" s="27">
        <v>112.4</v>
      </c>
    </row>
    <row r="45" spans="1:21">
      <c r="A45" s="21" t="s">
        <v>33</v>
      </c>
      <c r="B45" s="26">
        <v>2014</v>
      </c>
      <c r="C45" s="21" t="s">
        <v>36</v>
      </c>
      <c r="D45" s="79">
        <f t="shared" si="0"/>
        <v>41699</v>
      </c>
      <c r="E45" s="27">
        <v>122.1</v>
      </c>
      <c r="F45" s="27">
        <v>121.4</v>
      </c>
      <c r="G45" s="27">
        <v>121.5</v>
      </c>
      <c r="H45" s="27">
        <v>116.2</v>
      </c>
      <c r="I45" s="27">
        <v>102.8</v>
      </c>
      <c r="J45" s="27">
        <v>117.7</v>
      </c>
      <c r="K45" s="27">
        <v>113.3</v>
      </c>
      <c r="L45" s="27">
        <v>108.9</v>
      </c>
      <c r="M45" s="27">
        <v>96.3</v>
      </c>
      <c r="N45" s="27">
        <v>114.1</v>
      </c>
      <c r="O45" s="21">
        <v>115.8</v>
      </c>
      <c r="P45" s="21">
        <v>112.1</v>
      </c>
      <c r="Q45" s="22">
        <v>113.2</v>
      </c>
      <c r="R45" s="21">
        <v>113</v>
      </c>
      <c r="S45" s="21">
        <v>110.8</v>
      </c>
      <c r="T45" s="27">
        <v>111.6</v>
      </c>
      <c r="U45" s="27">
        <v>111.8</v>
      </c>
    </row>
    <row r="46" spans="1:21">
      <c r="A46" s="21" t="s">
        <v>34</v>
      </c>
      <c r="B46" s="26">
        <v>2014</v>
      </c>
      <c r="C46" s="51" t="s">
        <v>36</v>
      </c>
      <c r="D46" s="79">
        <f t="shared" si="0"/>
        <v>41699</v>
      </c>
      <c r="E46" s="27">
        <v>120.7</v>
      </c>
      <c r="F46" s="27">
        <v>119.3</v>
      </c>
      <c r="G46" s="27">
        <v>121</v>
      </c>
      <c r="H46" s="27">
        <v>116.1</v>
      </c>
      <c r="I46" s="27">
        <v>106.9</v>
      </c>
      <c r="J46" s="27">
        <v>118.7</v>
      </c>
      <c r="K46" s="27">
        <v>116.3</v>
      </c>
      <c r="L46" s="27">
        <v>109.8</v>
      </c>
      <c r="M46" s="27">
        <v>99.6</v>
      </c>
      <c r="N46" s="27">
        <v>111.8</v>
      </c>
      <c r="O46" s="21">
        <v>116.8</v>
      </c>
      <c r="P46" s="21">
        <v>113.7</v>
      </c>
      <c r="Q46" s="22">
        <v>113.2</v>
      </c>
      <c r="R46" s="21">
        <v>113.2</v>
      </c>
      <c r="S46" s="21">
        <v>111.2</v>
      </c>
      <c r="T46" s="27">
        <v>111.4</v>
      </c>
      <c r="U46" s="27">
        <v>112</v>
      </c>
    </row>
    <row r="47" spans="1:21">
      <c r="A47" s="21" t="s">
        <v>30</v>
      </c>
      <c r="B47" s="26">
        <v>2014</v>
      </c>
      <c r="C47" s="21" t="s">
        <v>37</v>
      </c>
      <c r="D47" s="79">
        <f t="shared" si="0"/>
        <v>41730</v>
      </c>
      <c r="E47" s="27">
        <v>120.2</v>
      </c>
      <c r="F47" s="27">
        <v>118.9</v>
      </c>
      <c r="G47" s="27">
        <v>118.1</v>
      </c>
      <c r="H47" s="27">
        <v>117</v>
      </c>
      <c r="I47" s="27">
        <v>109.7</v>
      </c>
      <c r="J47" s="27">
        <v>125.5</v>
      </c>
      <c r="K47" s="27">
        <v>120.5</v>
      </c>
      <c r="L47" s="27">
        <v>111</v>
      </c>
      <c r="M47" s="27">
        <v>102.6</v>
      </c>
      <c r="N47" s="27">
        <v>111.2</v>
      </c>
      <c r="O47" s="21">
        <v>118.1</v>
      </c>
      <c r="P47" s="21">
        <v>116.1</v>
      </c>
      <c r="Q47" s="22">
        <v>139.25</v>
      </c>
      <c r="R47" s="21">
        <v>113.7</v>
      </c>
      <c r="S47" s="21">
        <v>111.8</v>
      </c>
      <c r="T47" s="27">
        <v>111.2</v>
      </c>
      <c r="U47" s="27">
        <v>113</v>
      </c>
    </row>
    <row r="48" spans="1:21">
      <c r="A48" s="21" t="s">
        <v>33</v>
      </c>
      <c r="B48" s="26">
        <v>2014</v>
      </c>
      <c r="C48" s="21" t="s">
        <v>37</v>
      </c>
      <c r="D48" s="79">
        <f t="shared" si="0"/>
        <v>41730</v>
      </c>
      <c r="E48" s="27">
        <v>122.5</v>
      </c>
      <c r="F48" s="27">
        <v>121.7</v>
      </c>
      <c r="G48" s="27">
        <v>113.3</v>
      </c>
      <c r="H48" s="27">
        <v>117</v>
      </c>
      <c r="I48" s="27">
        <v>103.1</v>
      </c>
      <c r="J48" s="27">
        <v>126.7</v>
      </c>
      <c r="K48" s="27">
        <v>121.2</v>
      </c>
      <c r="L48" s="27">
        <v>111</v>
      </c>
      <c r="M48" s="27">
        <v>100.3</v>
      </c>
      <c r="N48" s="27">
        <v>115.3</v>
      </c>
      <c r="O48" s="21">
        <v>116.3</v>
      </c>
      <c r="P48" s="21">
        <v>112.5</v>
      </c>
      <c r="Q48" s="22">
        <v>113.9</v>
      </c>
      <c r="R48" s="21">
        <v>113.4</v>
      </c>
      <c r="S48" s="21">
        <v>111</v>
      </c>
      <c r="T48" s="27">
        <v>111.2</v>
      </c>
      <c r="U48" s="27">
        <v>112.5</v>
      </c>
    </row>
    <row r="49" spans="1:21">
      <c r="A49" s="21" t="s">
        <v>34</v>
      </c>
      <c r="B49" s="26">
        <v>2014</v>
      </c>
      <c r="C49" s="21" t="s">
        <v>37</v>
      </c>
      <c r="D49" s="79">
        <f t="shared" si="0"/>
        <v>41730</v>
      </c>
      <c r="E49" s="27">
        <v>120.9</v>
      </c>
      <c r="F49" s="27">
        <v>119.9</v>
      </c>
      <c r="G49" s="27">
        <v>116.2</v>
      </c>
      <c r="H49" s="27">
        <v>117</v>
      </c>
      <c r="I49" s="27">
        <v>107.3</v>
      </c>
      <c r="J49" s="27">
        <v>126.1</v>
      </c>
      <c r="K49" s="27">
        <v>120.7</v>
      </c>
      <c r="L49" s="27">
        <v>111</v>
      </c>
      <c r="M49" s="27">
        <v>101.8</v>
      </c>
      <c r="N49" s="27">
        <v>112.6</v>
      </c>
      <c r="O49" s="21">
        <v>117.4</v>
      </c>
      <c r="P49" s="21">
        <v>114.6</v>
      </c>
      <c r="Q49" s="22">
        <v>113.9</v>
      </c>
      <c r="R49" s="21">
        <v>113.6</v>
      </c>
      <c r="S49" s="21">
        <v>111.5</v>
      </c>
      <c r="T49" s="27">
        <v>111.2</v>
      </c>
      <c r="U49" s="27">
        <v>112.7</v>
      </c>
    </row>
    <row r="50" spans="1:21">
      <c r="A50" s="21" t="s">
        <v>30</v>
      </c>
      <c r="B50" s="26">
        <v>2014</v>
      </c>
      <c r="C50" s="21" t="s">
        <v>38</v>
      </c>
      <c r="D50" s="79">
        <f t="shared" si="0"/>
        <v>41760</v>
      </c>
      <c r="E50" s="27">
        <v>120.3</v>
      </c>
      <c r="F50" s="27">
        <v>120.2</v>
      </c>
      <c r="G50" s="27">
        <v>116.9</v>
      </c>
      <c r="H50" s="27">
        <v>118</v>
      </c>
      <c r="I50" s="27">
        <v>110.1</v>
      </c>
      <c r="J50" s="27">
        <v>126.3</v>
      </c>
      <c r="K50" s="27">
        <v>123.9</v>
      </c>
      <c r="L50" s="27">
        <v>111.5</v>
      </c>
      <c r="M50" s="27">
        <v>103.5</v>
      </c>
      <c r="N50" s="27">
        <v>111.6</v>
      </c>
      <c r="O50" s="21">
        <v>118.7</v>
      </c>
      <c r="P50" s="21">
        <v>116.8</v>
      </c>
      <c r="Q50" s="22">
        <v>139.25</v>
      </c>
      <c r="R50" s="21">
        <v>114.1</v>
      </c>
      <c r="S50" s="21">
        <v>112.1</v>
      </c>
      <c r="T50" s="27">
        <v>111.4</v>
      </c>
      <c r="U50" s="27">
        <v>113.1</v>
      </c>
    </row>
    <row r="51" spans="1:21">
      <c r="A51" s="21" t="s">
        <v>33</v>
      </c>
      <c r="B51" s="26">
        <v>2014</v>
      </c>
      <c r="C51" s="21" t="s">
        <v>38</v>
      </c>
      <c r="D51" s="79">
        <f t="shared" si="0"/>
        <v>41760</v>
      </c>
      <c r="E51" s="27">
        <v>122.7</v>
      </c>
      <c r="F51" s="27">
        <v>124.1</v>
      </c>
      <c r="G51" s="27">
        <v>114.2</v>
      </c>
      <c r="H51" s="27">
        <v>119.1</v>
      </c>
      <c r="I51" s="27">
        <v>103.5</v>
      </c>
      <c r="J51" s="27">
        <v>129.19999999999999</v>
      </c>
      <c r="K51" s="27">
        <v>127</v>
      </c>
      <c r="L51" s="27">
        <v>112.6</v>
      </c>
      <c r="M51" s="27">
        <v>101.3</v>
      </c>
      <c r="N51" s="27">
        <v>117</v>
      </c>
      <c r="O51" s="21">
        <v>116.8</v>
      </c>
      <c r="P51" s="21">
        <v>112.9</v>
      </c>
      <c r="Q51" s="22">
        <v>114.3</v>
      </c>
      <c r="R51" s="21">
        <v>114.1</v>
      </c>
      <c r="S51" s="21">
        <v>111.2</v>
      </c>
      <c r="T51" s="27">
        <v>111.3</v>
      </c>
      <c r="U51" s="27">
        <v>112.9</v>
      </c>
    </row>
    <row r="52" spans="1:21">
      <c r="A52" s="21" t="s">
        <v>34</v>
      </c>
      <c r="B52" s="26">
        <v>2014</v>
      </c>
      <c r="C52" s="21" t="s">
        <v>38</v>
      </c>
      <c r="D52" s="79">
        <f t="shared" si="0"/>
        <v>41760</v>
      </c>
      <c r="E52" s="27">
        <v>121.1</v>
      </c>
      <c r="F52" s="27">
        <v>121.6</v>
      </c>
      <c r="G52" s="27">
        <v>115.9</v>
      </c>
      <c r="H52" s="27">
        <v>118.4</v>
      </c>
      <c r="I52" s="27">
        <v>107.7</v>
      </c>
      <c r="J52" s="27">
        <v>127.7</v>
      </c>
      <c r="K52" s="27">
        <v>125</v>
      </c>
      <c r="L52" s="27">
        <v>111.9</v>
      </c>
      <c r="M52" s="27">
        <v>102.8</v>
      </c>
      <c r="N52" s="27">
        <v>113.4</v>
      </c>
      <c r="O52" s="21">
        <v>118</v>
      </c>
      <c r="P52" s="21">
        <v>115.2</v>
      </c>
      <c r="Q52" s="22">
        <v>114.3</v>
      </c>
      <c r="R52" s="21">
        <v>114.1</v>
      </c>
      <c r="S52" s="21">
        <v>111.8</v>
      </c>
      <c r="T52" s="27">
        <v>111.3</v>
      </c>
      <c r="U52" s="27">
        <v>113</v>
      </c>
    </row>
    <row r="53" spans="1:21">
      <c r="A53" s="21" t="s">
        <v>30</v>
      </c>
      <c r="B53" s="26">
        <v>2014</v>
      </c>
      <c r="C53" s="21" t="s">
        <v>39</v>
      </c>
      <c r="D53" s="79">
        <f t="shared" si="0"/>
        <v>41791</v>
      </c>
      <c r="E53" s="27">
        <v>120.7</v>
      </c>
      <c r="F53" s="27">
        <v>121.6</v>
      </c>
      <c r="G53" s="27">
        <v>116.1</v>
      </c>
      <c r="H53" s="27">
        <v>119.3</v>
      </c>
      <c r="I53" s="27">
        <v>110.3</v>
      </c>
      <c r="J53" s="27">
        <v>125.8</v>
      </c>
      <c r="K53" s="27">
        <v>129.30000000000001</v>
      </c>
      <c r="L53" s="27">
        <v>112.2</v>
      </c>
      <c r="M53" s="27">
        <v>103.6</v>
      </c>
      <c r="N53" s="27">
        <v>112.3</v>
      </c>
      <c r="O53" s="21">
        <v>119.7</v>
      </c>
      <c r="P53" s="21">
        <v>117.3</v>
      </c>
      <c r="Q53" s="22">
        <v>139.25</v>
      </c>
      <c r="R53" s="21">
        <v>114.9</v>
      </c>
      <c r="S53" s="21">
        <v>112.8</v>
      </c>
      <c r="T53" s="27">
        <v>112.2</v>
      </c>
      <c r="U53" s="27">
        <v>114.3</v>
      </c>
    </row>
    <row r="54" spans="1:21">
      <c r="A54" s="21" t="s">
        <v>33</v>
      </c>
      <c r="B54" s="26">
        <v>2014</v>
      </c>
      <c r="C54" s="21" t="s">
        <v>39</v>
      </c>
      <c r="D54" s="79">
        <f t="shared" si="0"/>
        <v>41791</v>
      </c>
      <c r="E54" s="27">
        <v>123.1</v>
      </c>
      <c r="F54" s="27">
        <v>125.9</v>
      </c>
      <c r="G54" s="27">
        <v>115.4</v>
      </c>
      <c r="H54" s="27">
        <v>120.4</v>
      </c>
      <c r="I54" s="27">
        <v>103.4</v>
      </c>
      <c r="J54" s="27">
        <v>131.19999999999999</v>
      </c>
      <c r="K54" s="27">
        <v>137.5</v>
      </c>
      <c r="L54" s="27">
        <v>112.8</v>
      </c>
      <c r="M54" s="27">
        <v>101.4</v>
      </c>
      <c r="N54" s="27">
        <v>118.3</v>
      </c>
      <c r="O54" s="21">
        <v>117.4</v>
      </c>
      <c r="P54" s="21">
        <v>113.2</v>
      </c>
      <c r="Q54" s="22">
        <v>113.9</v>
      </c>
      <c r="R54" s="21">
        <v>114.3</v>
      </c>
      <c r="S54" s="21">
        <v>111.4</v>
      </c>
      <c r="T54" s="27">
        <v>111.5</v>
      </c>
      <c r="U54" s="27">
        <v>115.1</v>
      </c>
    </row>
    <row r="55" spans="1:21">
      <c r="A55" s="21" t="s">
        <v>34</v>
      </c>
      <c r="B55" s="26">
        <v>2014</v>
      </c>
      <c r="C55" s="21" t="s">
        <v>39</v>
      </c>
      <c r="D55" s="79">
        <f t="shared" si="0"/>
        <v>41791</v>
      </c>
      <c r="E55" s="27">
        <v>121.5</v>
      </c>
      <c r="F55" s="27">
        <v>123.1</v>
      </c>
      <c r="G55" s="27">
        <v>115.8</v>
      </c>
      <c r="H55" s="27">
        <v>119.7</v>
      </c>
      <c r="I55" s="27">
        <v>107.8</v>
      </c>
      <c r="J55" s="27">
        <v>128.30000000000001</v>
      </c>
      <c r="K55" s="27">
        <v>132.1</v>
      </c>
      <c r="L55" s="27">
        <v>112.4</v>
      </c>
      <c r="M55" s="27">
        <v>102.9</v>
      </c>
      <c r="N55" s="27">
        <v>114.3</v>
      </c>
      <c r="O55" s="21">
        <v>118.8</v>
      </c>
      <c r="P55" s="21">
        <v>115.6</v>
      </c>
      <c r="Q55" s="22">
        <v>113.9</v>
      </c>
      <c r="R55" s="21">
        <v>114.6</v>
      </c>
      <c r="S55" s="21">
        <v>112.3</v>
      </c>
      <c r="T55" s="27">
        <v>111.8</v>
      </c>
      <c r="U55" s="27">
        <v>114.8</v>
      </c>
    </row>
    <row r="56" spans="1:21">
      <c r="A56" s="21" t="s">
        <v>30</v>
      </c>
      <c r="B56" s="26">
        <v>2014</v>
      </c>
      <c r="C56" s="21" t="s">
        <v>40</v>
      </c>
      <c r="D56" s="79">
        <f t="shared" si="0"/>
        <v>41821</v>
      </c>
      <c r="E56" s="27">
        <v>121.7</v>
      </c>
      <c r="F56" s="27">
        <v>122.5</v>
      </c>
      <c r="G56" s="27">
        <v>117.7</v>
      </c>
      <c r="H56" s="27">
        <v>120.6</v>
      </c>
      <c r="I56" s="27">
        <v>110.4</v>
      </c>
      <c r="J56" s="27">
        <v>129.1</v>
      </c>
      <c r="K56" s="27">
        <v>150.1</v>
      </c>
      <c r="L56" s="27">
        <v>113.2</v>
      </c>
      <c r="M56" s="27">
        <v>104.8</v>
      </c>
      <c r="N56" s="27">
        <v>113.3</v>
      </c>
      <c r="O56" s="21">
        <v>120.7</v>
      </c>
      <c r="P56" s="21">
        <v>118.3</v>
      </c>
      <c r="Q56" s="22">
        <v>139.25</v>
      </c>
      <c r="R56" s="21">
        <v>115.4</v>
      </c>
      <c r="S56" s="21">
        <v>113.4</v>
      </c>
      <c r="T56" s="27">
        <v>113.2</v>
      </c>
      <c r="U56" s="27">
        <v>115.5</v>
      </c>
    </row>
    <row r="57" spans="1:21">
      <c r="A57" s="21" t="s">
        <v>33</v>
      </c>
      <c r="B57" s="26">
        <v>2014</v>
      </c>
      <c r="C57" s="21" t="s">
        <v>40</v>
      </c>
      <c r="D57" s="79">
        <f t="shared" si="0"/>
        <v>41821</v>
      </c>
      <c r="E57" s="27">
        <v>123.8</v>
      </c>
      <c r="F57" s="27">
        <v>126.4</v>
      </c>
      <c r="G57" s="27">
        <v>118</v>
      </c>
      <c r="H57" s="27">
        <v>121.6</v>
      </c>
      <c r="I57" s="27">
        <v>103.5</v>
      </c>
      <c r="J57" s="27">
        <v>133.69999999999999</v>
      </c>
      <c r="K57" s="27">
        <v>172.4</v>
      </c>
      <c r="L57" s="27">
        <v>113.1</v>
      </c>
      <c r="M57" s="27">
        <v>102.7</v>
      </c>
      <c r="N57" s="27">
        <v>120</v>
      </c>
      <c r="O57" s="21">
        <v>118</v>
      </c>
      <c r="P57" s="21">
        <v>113.6</v>
      </c>
      <c r="Q57" s="22">
        <v>114.8</v>
      </c>
      <c r="R57" s="21">
        <v>114.9</v>
      </c>
      <c r="S57" s="21">
        <v>111.5</v>
      </c>
      <c r="T57" s="27">
        <v>113</v>
      </c>
      <c r="U57" s="27">
        <v>117.8</v>
      </c>
    </row>
    <row r="58" spans="1:21">
      <c r="A58" s="21" t="s">
        <v>34</v>
      </c>
      <c r="B58" s="26">
        <v>2014</v>
      </c>
      <c r="C58" s="21" t="s">
        <v>40</v>
      </c>
      <c r="D58" s="79">
        <f t="shared" si="0"/>
        <v>41821</v>
      </c>
      <c r="E58" s="27">
        <v>122.4</v>
      </c>
      <c r="F58" s="27">
        <v>123.9</v>
      </c>
      <c r="G58" s="27">
        <v>117.8</v>
      </c>
      <c r="H58" s="27">
        <v>121</v>
      </c>
      <c r="I58" s="27">
        <v>107.9</v>
      </c>
      <c r="J58" s="27">
        <v>131.19999999999999</v>
      </c>
      <c r="K58" s="27">
        <v>157.69999999999999</v>
      </c>
      <c r="L58" s="27">
        <v>113.2</v>
      </c>
      <c r="M58" s="27">
        <v>104.1</v>
      </c>
      <c r="N58" s="27">
        <v>115.5</v>
      </c>
      <c r="O58" s="21">
        <v>119.6</v>
      </c>
      <c r="P58" s="21">
        <v>116.3</v>
      </c>
      <c r="Q58" s="22">
        <v>114.8</v>
      </c>
      <c r="R58" s="21">
        <v>115.2</v>
      </c>
      <c r="S58" s="21">
        <v>112.7</v>
      </c>
      <c r="T58" s="27">
        <v>113.1</v>
      </c>
      <c r="U58" s="27">
        <v>116.8</v>
      </c>
    </row>
    <row r="59" spans="1:21">
      <c r="A59" s="21" t="s">
        <v>30</v>
      </c>
      <c r="B59" s="26">
        <v>2014</v>
      </c>
      <c r="C59" s="21" t="s">
        <v>41</v>
      </c>
      <c r="D59" s="79">
        <f t="shared" si="0"/>
        <v>41852</v>
      </c>
      <c r="E59" s="27">
        <v>121.8</v>
      </c>
      <c r="F59" s="27">
        <v>122.8</v>
      </c>
      <c r="G59" s="27">
        <v>117.8</v>
      </c>
      <c r="H59" s="27">
        <v>121.9</v>
      </c>
      <c r="I59" s="27">
        <v>110.6</v>
      </c>
      <c r="J59" s="27">
        <v>129.69999999999999</v>
      </c>
      <c r="K59" s="27">
        <v>161.1</v>
      </c>
      <c r="L59" s="27">
        <v>114.1</v>
      </c>
      <c r="M59" s="27">
        <v>105.1</v>
      </c>
      <c r="N59" s="27">
        <v>114.6</v>
      </c>
      <c r="O59" s="21">
        <v>120.9</v>
      </c>
      <c r="P59" s="21">
        <v>118.8</v>
      </c>
      <c r="Q59" s="22">
        <v>139.25</v>
      </c>
      <c r="R59" s="21">
        <v>115.9</v>
      </c>
      <c r="S59" s="21">
        <v>114</v>
      </c>
      <c r="T59" s="27">
        <v>113.2</v>
      </c>
      <c r="U59" s="27">
        <v>116.2</v>
      </c>
    </row>
    <row r="60" spans="1:21">
      <c r="A60" s="21" t="s">
        <v>33</v>
      </c>
      <c r="B60" s="26">
        <v>2014</v>
      </c>
      <c r="C60" s="21" t="s">
        <v>41</v>
      </c>
      <c r="D60" s="79">
        <f t="shared" si="0"/>
        <v>41852</v>
      </c>
      <c r="E60" s="27">
        <v>124.8</v>
      </c>
      <c r="F60" s="27">
        <v>127.3</v>
      </c>
      <c r="G60" s="27">
        <v>116.5</v>
      </c>
      <c r="H60" s="27">
        <v>122.2</v>
      </c>
      <c r="I60" s="27">
        <v>103.6</v>
      </c>
      <c r="J60" s="27">
        <v>132.69999999999999</v>
      </c>
      <c r="K60" s="27">
        <v>181.9</v>
      </c>
      <c r="L60" s="27">
        <v>115.2</v>
      </c>
      <c r="M60" s="27">
        <v>102.7</v>
      </c>
      <c r="N60" s="27">
        <v>122.1</v>
      </c>
      <c r="O60" s="21">
        <v>118.6</v>
      </c>
      <c r="P60" s="21">
        <v>114.1</v>
      </c>
      <c r="Q60" s="22">
        <v>115.5</v>
      </c>
      <c r="R60" s="21">
        <v>115.3</v>
      </c>
      <c r="S60" s="21">
        <v>112.2</v>
      </c>
      <c r="T60" s="27">
        <v>112.5</v>
      </c>
      <c r="U60" s="27">
        <v>119.2</v>
      </c>
    </row>
    <row r="61" spans="1:21">
      <c r="A61" s="21" t="s">
        <v>34</v>
      </c>
      <c r="B61" s="26">
        <v>2014</v>
      </c>
      <c r="C61" s="21" t="s">
        <v>41</v>
      </c>
      <c r="D61" s="79">
        <f t="shared" si="0"/>
        <v>41852</v>
      </c>
      <c r="E61" s="27">
        <v>122.7</v>
      </c>
      <c r="F61" s="27">
        <v>124.4</v>
      </c>
      <c r="G61" s="27">
        <v>117.3</v>
      </c>
      <c r="H61" s="27">
        <v>122</v>
      </c>
      <c r="I61" s="27">
        <v>108</v>
      </c>
      <c r="J61" s="27">
        <v>131.1</v>
      </c>
      <c r="K61" s="27">
        <v>168.2</v>
      </c>
      <c r="L61" s="27">
        <v>114.5</v>
      </c>
      <c r="M61" s="27">
        <v>104.3</v>
      </c>
      <c r="N61" s="27">
        <v>117.1</v>
      </c>
      <c r="O61" s="21">
        <v>120</v>
      </c>
      <c r="P61" s="21">
        <v>116.8</v>
      </c>
      <c r="Q61" s="22">
        <v>115.5</v>
      </c>
      <c r="R61" s="21">
        <v>115.6</v>
      </c>
      <c r="S61" s="21">
        <v>113.3</v>
      </c>
      <c r="T61" s="27">
        <v>112.8</v>
      </c>
      <c r="U61" s="27">
        <v>118</v>
      </c>
    </row>
    <row r="62" spans="1:21">
      <c r="A62" s="21" t="s">
        <v>30</v>
      </c>
      <c r="B62" s="26">
        <v>2014</v>
      </c>
      <c r="C62" s="21" t="s">
        <v>42</v>
      </c>
      <c r="D62" s="79">
        <f t="shared" si="0"/>
        <v>41883</v>
      </c>
      <c r="E62" s="27">
        <v>122.3</v>
      </c>
      <c r="F62" s="27">
        <v>122.4</v>
      </c>
      <c r="G62" s="27">
        <v>117.8</v>
      </c>
      <c r="H62" s="27">
        <v>122.7</v>
      </c>
      <c r="I62" s="27">
        <v>110.4</v>
      </c>
      <c r="J62" s="27">
        <v>129.80000000000001</v>
      </c>
      <c r="K62" s="27">
        <v>158.80000000000001</v>
      </c>
      <c r="L62" s="27">
        <v>115</v>
      </c>
      <c r="M62" s="27">
        <v>104.7</v>
      </c>
      <c r="N62" s="27">
        <v>114.9</v>
      </c>
      <c r="O62" s="21">
        <v>121.7</v>
      </c>
      <c r="P62" s="21">
        <v>119.2</v>
      </c>
      <c r="Q62" s="22">
        <v>139.25</v>
      </c>
      <c r="R62" s="21">
        <v>116.7</v>
      </c>
      <c r="S62" s="21">
        <v>114.5</v>
      </c>
      <c r="T62" s="27">
        <v>112.8</v>
      </c>
      <c r="U62" s="27">
        <v>116.6</v>
      </c>
    </row>
    <row r="63" spans="1:21">
      <c r="A63" s="21" t="s">
        <v>33</v>
      </c>
      <c r="B63" s="26">
        <v>2014</v>
      </c>
      <c r="C63" s="21" t="s">
        <v>42</v>
      </c>
      <c r="D63" s="79">
        <f t="shared" si="0"/>
        <v>41883</v>
      </c>
      <c r="E63" s="27">
        <v>124.2</v>
      </c>
      <c r="F63" s="27">
        <v>125.4</v>
      </c>
      <c r="G63" s="27">
        <v>116.4</v>
      </c>
      <c r="H63" s="27">
        <v>122.7</v>
      </c>
      <c r="I63" s="27">
        <v>103.5</v>
      </c>
      <c r="J63" s="27">
        <v>124.5</v>
      </c>
      <c r="K63" s="27">
        <v>168.6</v>
      </c>
      <c r="L63" s="27">
        <v>116.9</v>
      </c>
      <c r="M63" s="27">
        <v>101.9</v>
      </c>
      <c r="N63" s="27">
        <v>122.9</v>
      </c>
      <c r="O63" s="21">
        <v>119.2</v>
      </c>
      <c r="P63" s="21">
        <v>114.5</v>
      </c>
      <c r="Q63" s="22">
        <v>116.1</v>
      </c>
      <c r="R63" s="21">
        <v>115.5</v>
      </c>
      <c r="S63" s="21">
        <v>112.3</v>
      </c>
      <c r="T63" s="27">
        <v>111.2</v>
      </c>
      <c r="U63" s="27">
        <v>120</v>
      </c>
    </row>
    <row r="64" spans="1:21">
      <c r="A64" s="21" t="s">
        <v>34</v>
      </c>
      <c r="B64" s="26">
        <v>2014</v>
      </c>
      <c r="C64" s="21" t="s">
        <v>42</v>
      </c>
      <c r="D64" s="79">
        <f t="shared" si="0"/>
        <v>41883</v>
      </c>
      <c r="E64" s="27">
        <v>122.9</v>
      </c>
      <c r="F64" s="27">
        <v>123.5</v>
      </c>
      <c r="G64" s="27">
        <v>117.3</v>
      </c>
      <c r="H64" s="27">
        <v>122.7</v>
      </c>
      <c r="I64" s="27">
        <v>107.9</v>
      </c>
      <c r="J64" s="27">
        <v>127.3</v>
      </c>
      <c r="K64" s="27">
        <v>162.1</v>
      </c>
      <c r="L64" s="27">
        <v>115.6</v>
      </c>
      <c r="M64" s="27">
        <v>103.8</v>
      </c>
      <c r="N64" s="27">
        <v>117.6</v>
      </c>
      <c r="O64" s="21">
        <v>120.7</v>
      </c>
      <c r="P64" s="21">
        <v>117.2</v>
      </c>
      <c r="Q64" s="22">
        <v>116.1</v>
      </c>
      <c r="R64" s="21">
        <v>116.1</v>
      </c>
      <c r="S64" s="21">
        <v>113.7</v>
      </c>
      <c r="T64" s="27">
        <v>112</v>
      </c>
      <c r="U64" s="27">
        <v>118.6</v>
      </c>
    </row>
    <row r="65" spans="1:21">
      <c r="A65" s="21" t="s">
        <v>30</v>
      </c>
      <c r="B65" s="26">
        <v>2014</v>
      </c>
      <c r="C65" s="21" t="s">
        <v>43</v>
      </c>
      <c r="D65" s="79">
        <f t="shared" si="0"/>
        <v>41913</v>
      </c>
      <c r="E65" s="27">
        <v>122.6</v>
      </c>
      <c r="F65" s="27">
        <v>122.5</v>
      </c>
      <c r="G65" s="27">
        <v>118.3</v>
      </c>
      <c r="H65" s="27">
        <v>123.2</v>
      </c>
      <c r="I65" s="27">
        <v>110.5</v>
      </c>
      <c r="J65" s="27">
        <v>128.9</v>
      </c>
      <c r="K65" s="27">
        <v>155.30000000000001</v>
      </c>
      <c r="L65" s="27">
        <v>115.5</v>
      </c>
      <c r="M65" s="27">
        <v>104</v>
      </c>
      <c r="N65" s="27">
        <v>115.3</v>
      </c>
      <c r="O65" s="21">
        <v>122.7</v>
      </c>
      <c r="P65" s="21">
        <v>120.3</v>
      </c>
      <c r="Q65" s="22">
        <v>139.25</v>
      </c>
      <c r="R65" s="21">
        <v>117.5</v>
      </c>
      <c r="S65" s="21">
        <v>115.3</v>
      </c>
      <c r="T65" s="27">
        <v>112.6</v>
      </c>
      <c r="U65" s="27">
        <v>116.9</v>
      </c>
    </row>
    <row r="66" spans="1:21">
      <c r="A66" s="21" t="s">
        <v>33</v>
      </c>
      <c r="B66" s="26">
        <v>2014</v>
      </c>
      <c r="C66" s="21" t="s">
        <v>43</v>
      </c>
      <c r="D66" s="79">
        <f t="shared" si="0"/>
        <v>41913</v>
      </c>
      <c r="E66" s="27">
        <v>124.6</v>
      </c>
      <c r="F66" s="27">
        <v>126.1</v>
      </c>
      <c r="G66" s="27">
        <v>117.8</v>
      </c>
      <c r="H66" s="27">
        <v>123.1</v>
      </c>
      <c r="I66" s="27">
        <v>103.5</v>
      </c>
      <c r="J66" s="27">
        <v>123.5</v>
      </c>
      <c r="K66" s="27">
        <v>159.6</v>
      </c>
      <c r="L66" s="27">
        <v>117.4</v>
      </c>
      <c r="M66" s="27">
        <v>101.2</v>
      </c>
      <c r="N66" s="27">
        <v>123.8</v>
      </c>
      <c r="O66" s="21">
        <v>119.6</v>
      </c>
      <c r="P66" s="21">
        <v>114.9</v>
      </c>
      <c r="Q66" s="22">
        <v>116.7</v>
      </c>
      <c r="R66" s="21">
        <v>115.8</v>
      </c>
      <c r="S66" s="21">
        <v>112.6</v>
      </c>
      <c r="T66" s="27">
        <v>111</v>
      </c>
      <c r="U66" s="27">
        <v>120.2</v>
      </c>
    </row>
    <row r="67" spans="1:21">
      <c r="A67" s="21" t="s">
        <v>34</v>
      </c>
      <c r="B67" s="26">
        <v>2014</v>
      </c>
      <c r="C67" s="21" t="s">
        <v>43</v>
      </c>
      <c r="D67" s="79">
        <f t="shared" ref="D67:D130" si="1">DATE(B67,MONTH(1&amp;C67),1)</f>
        <v>41913</v>
      </c>
      <c r="E67" s="27">
        <v>123.2</v>
      </c>
      <c r="F67" s="27">
        <v>123.8</v>
      </c>
      <c r="G67" s="27">
        <v>118.1</v>
      </c>
      <c r="H67" s="27">
        <v>123.2</v>
      </c>
      <c r="I67" s="27">
        <v>107.9</v>
      </c>
      <c r="J67" s="27">
        <v>126.4</v>
      </c>
      <c r="K67" s="27">
        <v>156.80000000000001</v>
      </c>
      <c r="L67" s="27">
        <v>116.1</v>
      </c>
      <c r="M67" s="27">
        <v>103.1</v>
      </c>
      <c r="N67" s="27">
        <v>118.1</v>
      </c>
      <c r="O67" s="21">
        <v>121.5</v>
      </c>
      <c r="P67" s="21">
        <v>118.1</v>
      </c>
      <c r="Q67" s="22">
        <v>116.7</v>
      </c>
      <c r="R67" s="21">
        <v>116.7</v>
      </c>
      <c r="S67" s="21">
        <v>114.3</v>
      </c>
      <c r="T67" s="27">
        <v>111.8</v>
      </c>
      <c r="U67" s="27">
        <v>118.8</v>
      </c>
    </row>
    <row r="68" spans="1:21">
      <c r="A68" s="21" t="s">
        <v>30</v>
      </c>
      <c r="B68" s="26">
        <v>2014</v>
      </c>
      <c r="C68" s="21" t="s">
        <v>45</v>
      </c>
      <c r="D68" s="79">
        <f t="shared" si="1"/>
        <v>41944</v>
      </c>
      <c r="E68" s="27">
        <v>122.7</v>
      </c>
      <c r="F68" s="27">
        <v>122.6</v>
      </c>
      <c r="G68" s="27">
        <v>119.9</v>
      </c>
      <c r="H68" s="27">
        <v>124</v>
      </c>
      <c r="I68" s="27">
        <v>110.5</v>
      </c>
      <c r="J68" s="27">
        <v>128.80000000000001</v>
      </c>
      <c r="K68" s="27">
        <v>152</v>
      </c>
      <c r="L68" s="27">
        <v>116.2</v>
      </c>
      <c r="M68" s="27">
        <v>103.3</v>
      </c>
      <c r="N68" s="27">
        <v>115.8</v>
      </c>
      <c r="O68" s="21">
        <v>123.3</v>
      </c>
      <c r="P68" s="21">
        <v>120.5</v>
      </c>
      <c r="Q68" s="22">
        <v>139.25</v>
      </c>
      <c r="R68" s="21">
        <v>118.1</v>
      </c>
      <c r="S68" s="21">
        <v>115.9</v>
      </c>
      <c r="T68" s="27">
        <v>112</v>
      </c>
      <c r="U68" s="27">
        <v>117.2</v>
      </c>
    </row>
    <row r="69" spans="1:21">
      <c r="A69" s="21" t="s">
        <v>33</v>
      </c>
      <c r="B69" s="26">
        <v>2014</v>
      </c>
      <c r="C69" s="21" t="s">
        <v>45</v>
      </c>
      <c r="D69" s="79">
        <f t="shared" si="1"/>
        <v>41944</v>
      </c>
      <c r="E69" s="27">
        <v>124.5</v>
      </c>
      <c r="F69" s="27">
        <v>125.6</v>
      </c>
      <c r="G69" s="27">
        <v>122.7</v>
      </c>
      <c r="H69" s="27">
        <v>124.6</v>
      </c>
      <c r="I69" s="27">
        <v>103.2</v>
      </c>
      <c r="J69" s="27">
        <v>122.2</v>
      </c>
      <c r="K69" s="27">
        <v>153.19999999999999</v>
      </c>
      <c r="L69" s="27">
        <v>119.3</v>
      </c>
      <c r="M69" s="27">
        <v>99.8</v>
      </c>
      <c r="N69" s="27">
        <v>124.6</v>
      </c>
      <c r="O69" s="21">
        <v>120.3</v>
      </c>
      <c r="P69" s="21">
        <v>115.4</v>
      </c>
      <c r="Q69" s="22">
        <v>117.1</v>
      </c>
      <c r="R69" s="21">
        <v>116.4</v>
      </c>
      <c r="S69" s="21">
        <v>113</v>
      </c>
      <c r="T69" s="27">
        <v>109.7</v>
      </c>
      <c r="U69" s="27">
        <v>120.3</v>
      </c>
    </row>
    <row r="70" spans="1:21">
      <c r="A70" s="21" t="s">
        <v>34</v>
      </c>
      <c r="B70" s="26">
        <v>2014</v>
      </c>
      <c r="C70" s="21" t="s">
        <v>45</v>
      </c>
      <c r="D70" s="79">
        <f t="shared" si="1"/>
        <v>41944</v>
      </c>
      <c r="E70" s="27">
        <v>123.3</v>
      </c>
      <c r="F70" s="27">
        <v>123.7</v>
      </c>
      <c r="G70" s="27">
        <v>121</v>
      </c>
      <c r="H70" s="27">
        <v>124.2</v>
      </c>
      <c r="I70" s="27">
        <v>107.8</v>
      </c>
      <c r="J70" s="27">
        <v>125.7</v>
      </c>
      <c r="K70" s="27">
        <v>152.4</v>
      </c>
      <c r="L70" s="27">
        <v>117.2</v>
      </c>
      <c r="M70" s="27">
        <v>102.1</v>
      </c>
      <c r="N70" s="27">
        <v>118.7</v>
      </c>
      <c r="O70" s="21">
        <v>122.1</v>
      </c>
      <c r="P70" s="21">
        <v>118.4</v>
      </c>
      <c r="Q70" s="22">
        <v>117.1</v>
      </c>
      <c r="R70" s="21">
        <v>117.3</v>
      </c>
      <c r="S70" s="21">
        <v>114.8</v>
      </c>
      <c r="T70" s="27">
        <v>110.8</v>
      </c>
      <c r="U70" s="27">
        <v>119</v>
      </c>
    </row>
    <row r="71" spans="1:21">
      <c r="A71" s="21" t="s">
        <v>30</v>
      </c>
      <c r="B71" s="26">
        <v>2014</v>
      </c>
      <c r="C71" s="21" t="s">
        <v>46</v>
      </c>
      <c r="D71" s="79">
        <f t="shared" si="1"/>
        <v>41974</v>
      </c>
      <c r="E71" s="27">
        <v>122.4</v>
      </c>
      <c r="F71" s="27">
        <v>122.4</v>
      </c>
      <c r="G71" s="27">
        <v>121.8</v>
      </c>
      <c r="H71" s="27">
        <v>124.2</v>
      </c>
      <c r="I71" s="27">
        <v>110.2</v>
      </c>
      <c r="J71" s="27">
        <v>128.6</v>
      </c>
      <c r="K71" s="27">
        <v>140.30000000000001</v>
      </c>
      <c r="L71" s="27">
        <v>116.3</v>
      </c>
      <c r="M71" s="27">
        <v>102</v>
      </c>
      <c r="N71" s="27">
        <v>116</v>
      </c>
      <c r="O71" s="21">
        <v>123.8</v>
      </c>
      <c r="P71" s="21">
        <v>120.6</v>
      </c>
      <c r="Q71" s="22">
        <v>139.25</v>
      </c>
      <c r="R71" s="21">
        <v>118.2</v>
      </c>
      <c r="S71" s="21">
        <v>116.2</v>
      </c>
      <c r="T71" s="27">
        <v>111.5</v>
      </c>
      <c r="U71" s="27">
        <v>117.7</v>
      </c>
    </row>
    <row r="72" spans="1:21">
      <c r="A72" s="21" t="s">
        <v>33</v>
      </c>
      <c r="B72" s="26">
        <v>2014</v>
      </c>
      <c r="C72" s="21" t="s">
        <v>46</v>
      </c>
      <c r="D72" s="79">
        <f t="shared" si="1"/>
        <v>41974</v>
      </c>
      <c r="E72" s="27">
        <v>124</v>
      </c>
      <c r="F72" s="27">
        <v>124.7</v>
      </c>
      <c r="G72" s="27">
        <v>126.3</v>
      </c>
      <c r="H72" s="27">
        <v>124.9</v>
      </c>
      <c r="I72" s="27">
        <v>103</v>
      </c>
      <c r="J72" s="27">
        <v>122.3</v>
      </c>
      <c r="K72" s="27">
        <v>141</v>
      </c>
      <c r="L72" s="27">
        <v>120.1</v>
      </c>
      <c r="M72" s="27">
        <v>97.8</v>
      </c>
      <c r="N72" s="27">
        <v>125.4</v>
      </c>
      <c r="O72" s="21">
        <v>120.7</v>
      </c>
      <c r="P72" s="21">
        <v>115.8</v>
      </c>
      <c r="Q72" s="22">
        <v>116.5</v>
      </c>
      <c r="R72" s="21">
        <v>116.8</v>
      </c>
      <c r="S72" s="21">
        <v>113.2</v>
      </c>
      <c r="T72" s="27">
        <v>108.8</v>
      </c>
      <c r="U72" s="27">
        <v>120.7</v>
      </c>
    </row>
    <row r="73" spans="1:21">
      <c r="A73" s="21" t="s">
        <v>34</v>
      </c>
      <c r="B73" s="26">
        <v>2014</v>
      </c>
      <c r="C73" s="21" t="s">
        <v>46</v>
      </c>
      <c r="D73" s="79">
        <f t="shared" si="1"/>
        <v>41974</v>
      </c>
      <c r="E73" s="27">
        <v>122.9</v>
      </c>
      <c r="F73" s="27">
        <v>123.2</v>
      </c>
      <c r="G73" s="27">
        <v>123.5</v>
      </c>
      <c r="H73" s="27">
        <v>124.5</v>
      </c>
      <c r="I73" s="27">
        <v>107.6</v>
      </c>
      <c r="J73" s="27">
        <v>125.7</v>
      </c>
      <c r="K73" s="27">
        <v>140.5</v>
      </c>
      <c r="L73" s="27">
        <v>117.6</v>
      </c>
      <c r="M73" s="27">
        <v>100.6</v>
      </c>
      <c r="N73" s="27">
        <v>119.1</v>
      </c>
      <c r="O73" s="21">
        <v>122.6</v>
      </c>
      <c r="P73" s="21">
        <v>118.6</v>
      </c>
      <c r="Q73" s="22">
        <v>116.5</v>
      </c>
      <c r="R73" s="21">
        <v>117.5</v>
      </c>
      <c r="S73" s="21">
        <v>115.1</v>
      </c>
      <c r="T73" s="27">
        <v>110.1</v>
      </c>
      <c r="U73" s="27">
        <v>119.5</v>
      </c>
    </row>
    <row r="74" spans="1:21">
      <c r="A74" s="21" t="s">
        <v>30</v>
      </c>
      <c r="B74" s="26">
        <v>2015</v>
      </c>
      <c r="C74" s="21" t="s">
        <v>31</v>
      </c>
      <c r="D74" s="79">
        <f t="shared" si="1"/>
        <v>42005</v>
      </c>
      <c r="E74" s="27">
        <v>123.1</v>
      </c>
      <c r="F74" s="27">
        <v>123.1</v>
      </c>
      <c r="G74" s="27">
        <v>122.1</v>
      </c>
      <c r="H74" s="27">
        <v>124.9</v>
      </c>
      <c r="I74" s="27">
        <v>111</v>
      </c>
      <c r="J74" s="27">
        <v>130.4</v>
      </c>
      <c r="K74" s="27">
        <v>132.30000000000001</v>
      </c>
      <c r="L74" s="27">
        <v>117.2</v>
      </c>
      <c r="M74" s="27">
        <v>100.5</v>
      </c>
      <c r="N74" s="27">
        <v>117.2</v>
      </c>
      <c r="O74" s="21">
        <v>124.4</v>
      </c>
      <c r="P74" s="21">
        <v>121.6</v>
      </c>
      <c r="Q74" s="22">
        <v>139.25</v>
      </c>
      <c r="R74" s="21">
        <v>118.9</v>
      </c>
      <c r="S74" s="21">
        <v>116.6</v>
      </c>
      <c r="T74" s="27">
        <v>111</v>
      </c>
      <c r="U74" s="27">
        <v>118.2</v>
      </c>
    </row>
    <row r="75" spans="1:21">
      <c r="A75" s="21" t="s">
        <v>33</v>
      </c>
      <c r="B75" s="26">
        <v>2015</v>
      </c>
      <c r="C75" s="21" t="s">
        <v>31</v>
      </c>
      <c r="D75" s="79">
        <f t="shared" si="1"/>
        <v>42005</v>
      </c>
      <c r="E75" s="27">
        <v>124</v>
      </c>
      <c r="F75" s="27">
        <v>125.5</v>
      </c>
      <c r="G75" s="27">
        <v>126.6</v>
      </c>
      <c r="H75" s="27">
        <v>125.2</v>
      </c>
      <c r="I75" s="27">
        <v>104.3</v>
      </c>
      <c r="J75" s="27">
        <v>121.3</v>
      </c>
      <c r="K75" s="27">
        <v>134.4</v>
      </c>
      <c r="L75" s="27">
        <v>122.9</v>
      </c>
      <c r="M75" s="27">
        <v>96.1</v>
      </c>
      <c r="N75" s="27">
        <v>126.6</v>
      </c>
      <c r="O75" s="21">
        <v>121</v>
      </c>
      <c r="P75" s="21">
        <v>116.1</v>
      </c>
      <c r="Q75" s="22">
        <v>117.3</v>
      </c>
      <c r="R75" s="21">
        <v>117.2</v>
      </c>
      <c r="S75" s="21">
        <v>113.7</v>
      </c>
      <c r="T75" s="27">
        <v>107.9</v>
      </c>
      <c r="U75" s="27">
        <v>120.8</v>
      </c>
    </row>
    <row r="76" spans="1:21">
      <c r="A76" s="21" t="s">
        <v>34</v>
      </c>
      <c r="B76" s="26">
        <v>2015</v>
      </c>
      <c r="C76" s="21" t="s">
        <v>31</v>
      </c>
      <c r="D76" s="79">
        <f t="shared" si="1"/>
        <v>42005</v>
      </c>
      <c r="E76" s="27">
        <v>123.4</v>
      </c>
      <c r="F76" s="27">
        <v>123.9</v>
      </c>
      <c r="G76" s="27">
        <v>123.8</v>
      </c>
      <c r="H76" s="27">
        <v>125</v>
      </c>
      <c r="I76" s="27">
        <v>108.5</v>
      </c>
      <c r="J76" s="27">
        <v>126.2</v>
      </c>
      <c r="K76" s="27">
        <v>133</v>
      </c>
      <c r="L76" s="27">
        <v>119.1</v>
      </c>
      <c r="M76" s="27">
        <v>99</v>
      </c>
      <c r="N76" s="27">
        <v>120.3</v>
      </c>
      <c r="O76" s="21">
        <v>123.1</v>
      </c>
      <c r="P76" s="21">
        <v>119.3</v>
      </c>
      <c r="Q76" s="22">
        <v>117.3</v>
      </c>
      <c r="R76" s="21">
        <v>118.1</v>
      </c>
      <c r="S76" s="21">
        <v>115.5</v>
      </c>
      <c r="T76" s="27">
        <v>109.4</v>
      </c>
      <c r="U76" s="27">
        <v>119.7</v>
      </c>
    </row>
    <row r="77" spans="1:21">
      <c r="A77" s="21" t="s">
        <v>30</v>
      </c>
      <c r="B77" s="26">
        <v>2015</v>
      </c>
      <c r="C77" s="21" t="s">
        <v>35</v>
      </c>
      <c r="D77" s="79">
        <f t="shared" si="1"/>
        <v>42036</v>
      </c>
      <c r="E77" s="27">
        <v>123.4</v>
      </c>
      <c r="F77" s="27">
        <v>124.4</v>
      </c>
      <c r="G77" s="27">
        <v>122.1</v>
      </c>
      <c r="H77" s="27">
        <v>125.8</v>
      </c>
      <c r="I77" s="27">
        <v>111.5</v>
      </c>
      <c r="J77" s="27">
        <v>129.4</v>
      </c>
      <c r="K77" s="27">
        <v>128.19999999999999</v>
      </c>
      <c r="L77" s="27">
        <v>118.8</v>
      </c>
      <c r="M77" s="27">
        <v>100</v>
      </c>
      <c r="N77" s="27">
        <v>118.6</v>
      </c>
      <c r="O77" s="21">
        <v>125.4</v>
      </c>
      <c r="P77" s="21">
        <v>122.7</v>
      </c>
      <c r="Q77" s="22">
        <v>139.25</v>
      </c>
      <c r="R77" s="21">
        <v>119.6</v>
      </c>
      <c r="S77" s="21">
        <v>117.7</v>
      </c>
      <c r="T77" s="27">
        <v>110.9</v>
      </c>
      <c r="U77" s="27">
        <v>118.7</v>
      </c>
    </row>
    <row r="78" spans="1:21">
      <c r="A78" s="21" t="s">
        <v>33</v>
      </c>
      <c r="B78" s="26">
        <v>2015</v>
      </c>
      <c r="C78" s="21" t="s">
        <v>35</v>
      </c>
      <c r="D78" s="79">
        <f t="shared" si="1"/>
        <v>42036</v>
      </c>
      <c r="E78" s="27">
        <v>124.3</v>
      </c>
      <c r="F78" s="27">
        <v>126.5</v>
      </c>
      <c r="G78" s="27">
        <v>119.5</v>
      </c>
      <c r="H78" s="27">
        <v>125.6</v>
      </c>
      <c r="I78" s="27">
        <v>104.9</v>
      </c>
      <c r="J78" s="27">
        <v>121.6</v>
      </c>
      <c r="K78" s="27">
        <v>131.80000000000001</v>
      </c>
      <c r="L78" s="27">
        <v>125.1</v>
      </c>
      <c r="M78" s="27">
        <v>95</v>
      </c>
      <c r="N78" s="27">
        <v>127.7</v>
      </c>
      <c r="O78" s="21">
        <v>121.3</v>
      </c>
      <c r="P78" s="21">
        <v>116.5</v>
      </c>
      <c r="Q78" s="22">
        <v>118.1</v>
      </c>
      <c r="R78" s="21">
        <v>117.7</v>
      </c>
      <c r="S78" s="21">
        <v>114.1</v>
      </c>
      <c r="T78" s="27">
        <v>106.8</v>
      </c>
      <c r="U78" s="27">
        <v>120.4</v>
      </c>
    </row>
    <row r="79" spans="1:21">
      <c r="A79" s="21" t="s">
        <v>34</v>
      </c>
      <c r="B79" s="26">
        <v>2015</v>
      </c>
      <c r="C79" s="21" t="s">
        <v>35</v>
      </c>
      <c r="D79" s="79">
        <f t="shared" si="1"/>
        <v>42036</v>
      </c>
      <c r="E79" s="27">
        <v>123.7</v>
      </c>
      <c r="F79" s="27">
        <v>125.1</v>
      </c>
      <c r="G79" s="27">
        <v>121.1</v>
      </c>
      <c r="H79" s="27">
        <v>125.7</v>
      </c>
      <c r="I79" s="27">
        <v>109.1</v>
      </c>
      <c r="J79" s="27">
        <v>125.8</v>
      </c>
      <c r="K79" s="27">
        <v>129.4</v>
      </c>
      <c r="L79" s="27">
        <v>120.9</v>
      </c>
      <c r="M79" s="27">
        <v>98.3</v>
      </c>
      <c r="N79" s="27">
        <v>121.6</v>
      </c>
      <c r="O79" s="21">
        <v>123.8</v>
      </c>
      <c r="P79" s="21">
        <v>120.1</v>
      </c>
      <c r="Q79" s="22">
        <v>118.1</v>
      </c>
      <c r="R79" s="21">
        <v>118.7</v>
      </c>
      <c r="S79" s="21">
        <v>116.3</v>
      </c>
      <c r="T79" s="27">
        <v>108.7</v>
      </c>
      <c r="U79" s="27">
        <v>119.7</v>
      </c>
    </row>
    <row r="80" spans="1:21">
      <c r="A80" s="21" t="s">
        <v>30</v>
      </c>
      <c r="B80" s="26">
        <v>2015</v>
      </c>
      <c r="C80" s="21" t="s">
        <v>36</v>
      </c>
      <c r="D80" s="79">
        <f t="shared" si="1"/>
        <v>42064</v>
      </c>
      <c r="E80" s="27">
        <v>123.3</v>
      </c>
      <c r="F80" s="27">
        <v>124.7</v>
      </c>
      <c r="G80" s="27">
        <v>118.9</v>
      </c>
      <c r="H80" s="27">
        <v>126</v>
      </c>
      <c r="I80" s="27">
        <v>111.8</v>
      </c>
      <c r="J80" s="27">
        <v>130.9</v>
      </c>
      <c r="K80" s="27">
        <v>128</v>
      </c>
      <c r="L80" s="27">
        <v>119.9</v>
      </c>
      <c r="M80" s="27">
        <v>98.9</v>
      </c>
      <c r="N80" s="27">
        <v>119.4</v>
      </c>
      <c r="O80" s="21">
        <v>126</v>
      </c>
      <c r="P80" s="21">
        <v>122.9</v>
      </c>
      <c r="Q80" s="22">
        <v>139.25</v>
      </c>
      <c r="R80" s="21">
        <v>120.2</v>
      </c>
      <c r="S80" s="21">
        <v>118.2</v>
      </c>
      <c r="T80" s="27">
        <v>111.6</v>
      </c>
      <c r="U80" s="27">
        <v>119.4</v>
      </c>
    </row>
    <row r="81" spans="1:21">
      <c r="A81" s="21" t="s">
        <v>33</v>
      </c>
      <c r="B81" s="26">
        <v>2015</v>
      </c>
      <c r="C81" s="21" t="s">
        <v>36</v>
      </c>
      <c r="D81" s="79">
        <f t="shared" si="1"/>
        <v>42064</v>
      </c>
      <c r="E81" s="27">
        <v>124</v>
      </c>
      <c r="F81" s="27">
        <v>126.7</v>
      </c>
      <c r="G81" s="27">
        <v>113.5</v>
      </c>
      <c r="H81" s="27">
        <v>125.9</v>
      </c>
      <c r="I81" s="27">
        <v>104.8</v>
      </c>
      <c r="J81" s="27">
        <v>123.8</v>
      </c>
      <c r="K81" s="27">
        <v>131.4</v>
      </c>
      <c r="L81" s="27">
        <v>127.2</v>
      </c>
      <c r="M81" s="27">
        <v>93.2</v>
      </c>
      <c r="N81" s="27">
        <v>127.4</v>
      </c>
      <c r="O81" s="21">
        <v>121.7</v>
      </c>
      <c r="P81" s="21">
        <v>116.9</v>
      </c>
      <c r="Q81" s="22">
        <v>118.6</v>
      </c>
      <c r="R81" s="21">
        <v>118</v>
      </c>
      <c r="S81" s="21">
        <v>114.3</v>
      </c>
      <c r="T81" s="27">
        <v>108.4</v>
      </c>
      <c r="U81" s="27">
        <v>120.6</v>
      </c>
    </row>
    <row r="82" spans="1:21">
      <c r="A82" s="21" t="s">
        <v>34</v>
      </c>
      <c r="B82" s="26">
        <v>2015</v>
      </c>
      <c r="C82" s="21" t="s">
        <v>36</v>
      </c>
      <c r="D82" s="79">
        <f t="shared" si="1"/>
        <v>42064</v>
      </c>
      <c r="E82" s="27">
        <v>123.5</v>
      </c>
      <c r="F82" s="27">
        <v>125.4</v>
      </c>
      <c r="G82" s="27">
        <v>116.8</v>
      </c>
      <c r="H82" s="27">
        <v>126</v>
      </c>
      <c r="I82" s="27">
        <v>109.2</v>
      </c>
      <c r="J82" s="27">
        <v>127.6</v>
      </c>
      <c r="K82" s="27">
        <v>129.19999999999999</v>
      </c>
      <c r="L82" s="27">
        <v>122.4</v>
      </c>
      <c r="M82" s="27">
        <v>97</v>
      </c>
      <c r="N82" s="27">
        <v>122.1</v>
      </c>
      <c r="O82" s="21">
        <v>124.3</v>
      </c>
      <c r="P82" s="21">
        <v>120.4</v>
      </c>
      <c r="Q82" s="22">
        <v>118.6</v>
      </c>
      <c r="R82" s="21">
        <v>119.2</v>
      </c>
      <c r="S82" s="21">
        <v>116.7</v>
      </c>
      <c r="T82" s="27">
        <v>109.9</v>
      </c>
      <c r="U82" s="27">
        <v>120.1</v>
      </c>
    </row>
    <row r="83" spans="1:21">
      <c r="A83" s="21" t="s">
        <v>30</v>
      </c>
      <c r="B83" s="26">
        <v>2015</v>
      </c>
      <c r="C83" s="21" t="s">
        <v>37</v>
      </c>
      <c r="D83" s="79">
        <f t="shared" si="1"/>
        <v>42095</v>
      </c>
      <c r="E83" s="27">
        <v>123.3</v>
      </c>
      <c r="F83" s="27">
        <v>125.5</v>
      </c>
      <c r="G83" s="27">
        <v>117.2</v>
      </c>
      <c r="H83" s="27">
        <v>126.8</v>
      </c>
      <c r="I83" s="27">
        <v>111.9</v>
      </c>
      <c r="J83" s="27">
        <v>134.19999999999999</v>
      </c>
      <c r="K83" s="27">
        <v>127.5</v>
      </c>
      <c r="L83" s="27">
        <v>121.5</v>
      </c>
      <c r="M83" s="27">
        <v>97.8</v>
      </c>
      <c r="N83" s="27">
        <v>119.8</v>
      </c>
      <c r="O83" s="21">
        <v>126.4</v>
      </c>
      <c r="P83" s="21">
        <v>123.3</v>
      </c>
      <c r="Q83" s="22">
        <v>139.25</v>
      </c>
      <c r="R83" s="21">
        <v>120.9</v>
      </c>
      <c r="S83" s="21">
        <v>118.6</v>
      </c>
      <c r="T83" s="27">
        <v>111.9</v>
      </c>
      <c r="U83" s="27">
        <v>119.9</v>
      </c>
    </row>
    <row r="84" spans="1:21">
      <c r="A84" s="21" t="s">
        <v>33</v>
      </c>
      <c r="B84" s="26">
        <v>2015</v>
      </c>
      <c r="C84" s="21" t="s">
        <v>37</v>
      </c>
      <c r="D84" s="79">
        <f t="shared" si="1"/>
        <v>42095</v>
      </c>
      <c r="E84" s="27">
        <v>123.8</v>
      </c>
      <c r="F84" s="27">
        <v>128.19999999999999</v>
      </c>
      <c r="G84" s="27">
        <v>110</v>
      </c>
      <c r="H84" s="27">
        <v>126.3</v>
      </c>
      <c r="I84" s="27">
        <v>104.5</v>
      </c>
      <c r="J84" s="27">
        <v>130.6</v>
      </c>
      <c r="K84" s="27">
        <v>130.80000000000001</v>
      </c>
      <c r="L84" s="27">
        <v>131.30000000000001</v>
      </c>
      <c r="M84" s="27">
        <v>91.6</v>
      </c>
      <c r="N84" s="27">
        <v>127.7</v>
      </c>
      <c r="O84" s="21">
        <v>122.1</v>
      </c>
      <c r="P84" s="21">
        <v>117.2</v>
      </c>
      <c r="Q84" s="22">
        <v>119.2</v>
      </c>
      <c r="R84" s="21">
        <v>118.4</v>
      </c>
      <c r="S84" s="21">
        <v>114.6</v>
      </c>
      <c r="T84" s="27">
        <v>108.4</v>
      </c>
      <c r="U84" s="27">
        <v>121.7</v>
      </c>
    </row>
    <row r="85" spans="1:21">
      <c r="A85" s="21" t="s">
        <v>34</v>
      </c>
      <c r="B85" s="26">
        <v>2015</v>
      </c>
      <c r="C85" s="21" t="s">
        <v>37</v>
      </c>
      <c r="D85" s="79">
        <f t="shared" si="1"/>
        <v>42095</v>
      </c>
      <c r="E85" s="27">
        <v>123.5</v>
      </c>
      <c r="F85" s="27">
        <v>126.4</v>
      </c>
      <c r="G85" s="27">
        <v>114.4</v>
      </c>
      <c r="H85" s="27">
        <v>126.6</v>
      </c>
      <c r="I85" s="27">
        <v>109.2</v>
      </c>
      <c r="J85" s="27">
        <v>132.5</v>
      </c>
      <c r="K85" s="27">
        <v>128.6</v>
      </c>
      <c r="L85" s="27">
        <v>124.8</v>
      </c>
      <c r="M85" s="27">
        <v>95.7</v>
      </c>
      <c r="N85" s="27">
        <v>122.4</v>
      </c>
      <c r="O85" s="21">
        <v>124.7</v>
      </c>
      <c r="P85" s="21">
        <v>120.8</v>
      </c>
      <c r="Q85" s="22">
        <v>119.2</v>
      </c>
      <c r="R85" s="21">
        <v>119.7</v>
      </c>
      <c r="S85" s="21">
        <v>117.1</v>
      </c>
      <c r="T85" s="27">
        <v>110.1</v>
      </c>
      <c r="U85" s="27">
        <v>121</v>
      </c>
    </row>
    <row r="86" spans="1:21">
      <c r="A86" s="21" t="s">
        <v>30</v>
      </c>
      <c r="B86" s="26">
        <v>2015</v>
      </c>
      <c r="C86" s="21" t="s">
        <v>38</v>
      </c>
      <c r="D86" s="79">
        <f t="shared" si="1"/>
        <v>42125</v>
      </c>
      <c r="E86" s="27">
        <v>123.5</v>
      </c>
      <c r="F86" s="27">
        <v>127.1</v>
      </c>
      <c r="G86" s="27">
        <v>117.3</v>
      </c>
      <c r="H86" s="27">
        <v>127.7</v>
      </c>
      <c r="I86" s="27">
        <v>112.5</v>
      </c>
      <c r="J86" s="27">
        <v>134.1</v>
      </c>
      <c r="K86" s="27">
        <v>128.5</v>
      </c>
      <c r="L86" s="27">
        <v>124.3</v>
      </c>
      <c r="M86" s="27">
        <v>97.6</v>
      </c>
      <c r="N86" s="27">
        <v>120.7</v>
      </c>
      <c r="O86" s="21">
        <v>127.3</v>
      </c>
      <c r="P86" s="21">
        <v>124.1</v>
      </c>
      <c r="Q86" s="22">
        <v>139.25</v>
      </c>
      <c r="R86" s="21">
        <v>121.5</v>
      </c>
      <c r="S86" s="21">
        <v>119.4</v>
      </c>
      <c r="T86" s="27">
        <v>113.3</v>
      </c>
      <c r="U86" s="27">
        <v>120.5</v>
      </c>
    </row>
    <row r="87" spans="1:21">
      <c r="A87" s="21" t="s">
        <v>33</v>
      </c>
      <c r="B87" s="26">
        <v>2015</v>
      </c>
      <c r="C87" s="21" t="s">
        <v>38</v>
      </c>
      <c r="D87" s="79">
        <f t="shared" si="1"/>
        <v>42125</v>
      </c>
      <c r="E87" s="27">
        <v>123.8</v>
      </c>
      <c r="F87" s="27">
        <v>129.69999999999999</v>
      </c>
      <c r="G87" s="27">
        <v>111.3</v>
      </c>
      <c r="H87" s="27">
        <v>126.6</v>
      </c>
      <c r="I87" s="27">
        <v>105.2</v>
      </c>
      <c r="J87" s="27">
        <v>130.80000000000001</v>
      </c>
      <c r="K87" s="27">
        <v>135.6</v>
      </c>
      <c r="L87" s="27">
        <v>142.6</v>
      </c>
      <c r="M87" s="27">
        <v>90.8</v>
      </c>
      <c r="N87" s="27">
        <v>128.80000000000001</v>
      </c>
      <c r="O87" s="21">
        <v>122.4</v>
      </c>
      <c r="P87" s="21">
        <v>117.4</v>
      </c>
      <c r="Q87" s="22">
        <v>119.6</v>
      </c>
      <c r="R87" s="21">
        <v>118.7</v>
      </c>
      <c r="S87" s="21">
        <v>114.9</v>
      </c>
      <c r="T87" s="27">
        <v>110.8</v>
      </c>
      <c r="U87" s="27">
        <v>122</v>
      </c>
    </row>
    <row r="88" spans="1:21">
      <c r="A88" s="21" t="s">
        <v>34</v>
      </c>
      <c r="B88" s="26">
        <v>2015</v>
      </c>
      <c r="C88" s="21" t="s">
        <v>38</v>
      </c>
      <c r="D88" s="79">
        <f t="shared" si="1"/>
        <v>42125</v>
      </c>
      <c r="E88" s="27">
        <v>123.6</v>
      </c>
      <c r="F88" s="27">
        <v>128</v>
      </c>
      <c r="G88" s="27">
        <v>115</v>
      </c>
      <c r="H88" s="27">
        <v>127.3</v>
      </c>
      <c r="I88" s="27">
        <v>109.8</v>
      </c>
      <c r="J88" s="27">
        <v>132.6</v>
      </c>
      <c r="K88" s="27">
        <v>130.9</v>
      </c>
      <c r="L88" s="27">
        <v>130.5</v>
      </c>
      <c r="M88" s="27">
        <v>95.3</v>
      </c>
      <c r="N88" s="27">
        <v>123.4</v>
      </c>
      <c r="O88" s="21">
        <v>125.4</v>
      </c>
      <c r="P88" s="21">
        <v>121.3</v>
      </c>
      <c r="Q88" s="22">
        <v>119.6</v>
      </c>
      <c r="R88" s="21">
        <v>120.2</v>
      </c>
      <c r="S88" s="21">
        <v>117.7</v>
      </c>
      <c r="T88" s="27">
        <v>112</v>
      </c>
      <c r="U88" s="27">
        <v>121.4</v>
      </c>
    </row>
    <row r="89" spans="1:21">
      <c r="A89" s="21" t="s">
        <v>30</v>
      </c>
      <c r="B89" s="26">
        <v>2015</v>
      </c>
      <c r="C89" s="21" t="s">
        <v>39</v>
      </c>
      <c r="D89" s="79">
        <f t="shared" si="1"/>
        <v>42156</v>
      </c>
      <c r="E89" s="27">
        <v>124.1</v>
      </c>
      <c r="F89" s="27">
        <v>130.4</v>
      </c>
      <c r="G89" s="27">
        <v>122.1</v>
      </c>
      <c r="H89" s="27">
        <v>128.69999999999999</v>
      </c>
      <c r="I89" s="27">
        <v>114.1</v>
      </c>
      <c r="J89" s="27">
        <v>133.19999999999999</v>
      </c>
      <c r="K89" s="27">
        <v>135.19999999999999</v>
      </c>
      <c r="L89" s="27">
        <v>131.9</v>
      </c>
      <c r="M89" s="27">
        <v>96.3</v>
      </c>
      <c r="N89" s="27">
        <v>123</v>
      </c>
      <c r="O89" s="21">
        <v>128.4</v>
      </c>
      <c r="P89" s="21">
        <v>125.1</v>
      </c>
      <c r="Q89" s="22">
        <v>139.25</v>
      </c>
      <c r="R89" s="21">
        <v>122.8</v>
      </c>
      <c r="S89" s="21">
        <v>120.4</v>
      </c>
      <c r="T89" s="27">
        <v>114.2</v>
      </c>
      <c r="U89" s="27">
        <v>122</v>
      </c>
    </row>
    <row r="90" spans="1:21">
      <c r="A90" s="21" t="s">
        <v>33</v>
      </c>
      <c r="B90" s="26">
        <v>2015</v>
      </c>
      <c r="C90" s="21" t="s">
        <v>39</v>
      </c>
      <c r="D90" s="79">
        <f t="shared" si="1"/>
        <v>42156</v>
      </c>
      <c r="E90" s="27">
        <v>123.6</v>
      </c>
      <c r="F90" s="27">
        <v>134.4</v>
      </c>
      <c r="G90" s="27">
        <v>120.9</v>
      </c>
      <c r="H90" s="27">
        <v>127.3</v>
      </c>
      <c r="I90" s="27">
        <v>106</v>
      </c>
      <c r="J90" s="27">
        <v>132.30000000000001</v>
      </c>
      <c r="K90" s="27">
        <v>146.69999999999999</v>
      </c>
      <c r="L90" s="27">
        <v>148.1</v>
      </c>
      <c r="M90" s="27">
        <v>89.8</v>
      </c>
      <c r="N90" s="27">
        <v>130.5</v>
      </c>
      <c r="O90" s="21">
        <v>123.2</v>
      </c>
      <c r="P90" s="21">
        <v>117.6</v>
      </c>
      <c r="Q90" s="22">
        <v>119</v>
      </c>
      <c r="R90" s="21">
        <v>119.2</v>
      </c>
      <c r="S90" s="21">
        <v>115.4</v>
      </c>
      <c r="T90" s="27">
        <v>111.7</v>
      </c>
      <c r="U90" s="27">
        <v>123.8</v>
      </c>
    </row>
    <row r="91" spans="1:21">
      <c r="A91" s="21" t="s">
        <v>34</v>
      </c>
      <c r="B91" s="26">
        <v>2015</v>
      </c>
      <c r="C91" s="21" t="s">
        <v>39</v>
      </c>
      <c r="D91" s="79">
        <f t="shared" si="1"/>
        <v>42156</v>
      </c>
      <c r="E91" s="27">
        <v>123.9</v>
      </c>
      <c r="F91" s="27">
        <v>131.80000000000001</v>
      </c>
      <c r="G91" s="27">
        <v>121.6</v>
      </c>
      <c r="H91" s="27">
        <v>128.19999999999999</v>
      </c>
      <c r="I91" s="27">
        <v>111.1</v>
      </c>
      <c r="J91" s="27">
        <v>132.80000000000001</v>
      </c>
      <c r="K91" s="27">
        <v>139.1</v>
      </c>
      <c r="L91" s="27">
        <v>137.4</v>
      </c>
      <c r="M91" s="27">
        <v>94.1</v>
      </c>
      <c r="N91" s="27">
        <v>125.5</v>
      </c>
      <c r="O91" s="21">
        <v>126.4</v>
      </c>
      <c r="P91" s="21">
        <v>122</v>
      </c>
      <c r="Q91" s="22">
        <v>119</v>
      </c>
      <c r="R91" s="21">
        <v>121.1</v>
      </c>
      <c r="S91" s="21">
        <v>118.5</v>
      </c>
      <c r="T91" s="27">
        <v>112.9</v>
      </c>
      <c r="U91" s="27">
        <v>123.1</v>
      </c>
    </row>
    <row r="92" spans="1:21">
      <c r="A92" s="21" t="s">
        <v>30</v>
      </c>
      <c r="B92" s="26">
        <v>2015</v>
      </c>
      <c r="C92" s="21" t="s">
        <v>40</v>
      </c>
      <c r="D92" s="79">
        <f t="shared" si="1"/>
        <v>42186</v>
      </c>
      <c r="E92" s="27">
        <v>124</v>
      </c>
      <c r="F92" s="27">
        <v>131.5</v>
      </c>
      <c r="G92" s="27">
        <v>122</v>
      </c>
      <c r="H92" s="27">
        <v>128.69999999999999</v>
      </c>
      <c r="I92" s="27">
        <v>113.5</v>
      </c>
      <c r="J92" s="27">
        <v>133.30000000000001</v>
      </c>
      <c r="K92" s="27">
        <v>140.80000000000001</v>
      </c>
      <c r="L92" s="27">
        <v>133.80000000000001</v>
      </c>
      <c r="M92" s="27">
        <v>94.1</v>
      </c>
      <c r="N92" s="27">
        <v>123.4</v>
      </c>
      <c r="O92" s="21">
        <v>128.80000000000001</v>
      </c>
      <c r="P92" s="21">
        <v>125.5</v>
      </c>
      <c r="Q92" s="22">
        <v>139.25</v>
      </c>
      <c r="R92" s="21">
        <v>123</v>
      </c>
      <c r="S92" s="21">
        <v>120.8</v>
      </c>
      <c r="T92" s="27">
        <v>114.1</v>
      </c>
      <c r="U92" s="27">
        <v>122.9</v>
      </c>
    </row>
    <row r="93" spans="1:21">
      <c r="A93" s="21" t="s">
        <v>33</v>
      </c>
      <c r="B93" s="26">
        <v>2015</v>
      </c>
      <c r="C93" s="21" t="s">
        <v>40</v>
      </c>
      <c r="D93" s="79">
        <f t="shared" si="1"/>
        <v>42186</v>
      </c>
      <c r="E93" s="27">
        <v>123.2</v>
      </c>
      <c r="F93" s="27">
        <v>134.30000000000001</v>
      </c>
      <c r="G93" s="27">
        <v>119.5</v>
      </c>
      <c r="H93" s="27">
        <v>127.7</v>
      </c>
      <c r="I93" s="27">
        <v>106.3</v>
      </c>
      <c r="J93" s="27">
        <v>132.80000000000001</v>
      </c>
      <c r="K93" s="27">
        <v>153.5</v>
      </c>
      <c r="L93" s="27">
        <v>149.5</v>
      </c>
      <c r="M93" s="27">
        <v>85.7</v>
      </c>
      <c r="N93" s="27">
        <v>131.5</v>
      </c>
      <c r="O93" s="21">
        <v>123.5</v>
      </c>
      <c r="P93" s="21">
        <v>117.9</v>
      </c>
      <c r="Q93" s="22">
        <v>119.9</v>
      </c>
      <c r="R93" s="21">
        <v>119.5</v>
      </c>
      <c r="S93" s="21">
        <v>116</v>
      </c>
      <c r="T93" s="27">
        <v>111.5</v>
      </c>
      <c r="U93" s="27">
        <v>125.4</v>
      </c>
    </row>
    <row r="94" spans="1:21">
      <c r="A94" s="21" t="s">
        <v>34</v>
      </c>
      <c r="B94" s="26">
        <v>2015</v>
      </c>
      <c r="C94" s="21" t="s">
        <v>40</v>
      </c>
      <c r="D94" s="79">
        <f t="shared" si="1"/>
        <v>42186</v>
      </c>
      <c r="E94" s="27">
        <v>123.7</v>
      </c>
      <c r="F94" s="27">
        <v>132.5</v>
      </c>
      <c r="G94" s="27">
        <v>121</v>
      </c>
      <c r="H94" s="27">
        <v>128.30000000000001</v>
      </c>
      <c r="I94" s="27">
        <v>110.9</v>
      </c>
      <c r="J94" s="27">
        <v>133.1</v>
      </c>
      <c r="K94" s="27">
        <v>145.1</v>
      </c>
      <c r="L94" s="27">
        <v>139.1</v>
      </c>
      <c r="M94" s="27">
        <v>91.3</v>
      </c>
      <c r="N94" s="27">
        <v>126.1</v>
      </c>
      <c r="O94" s="21">
        <v>126.7</v>
      </c>
      <c r="P94" s="21">
        <v>122.3</v>
      </c>
      <c r="Q94" s="22">
        <v>119.9</v>
      </c>
      <c r="R94" s="21">
        <v>121.3</v>
      </c>
      <c r="S94" s="21">
        <v>119</v>
      </c>
      <c r="T94" s="27">
        <v>112.7</v>
      </c>
      <c r="U94" s="27">
        <v>124.4</v>
      </c>
    </row>
    <row r="95" spans="1:21">
      <c r="A95" s="21" t="s">
        <v>30</v>
      </c>
      <c r="B95" s="26">
        <v>2015</v>
      </c>
      <c r="C95" s="21" t="s">
        <v>41</v>
      </c>
      <c r="D95" s="79">
        <f t="shared" si="1"/>
        <v>42217</v>
      </c>
      <c r="E95" s="27">
        <v>124.7</v>
      </c>
      <c r="F95" s="27">
        <v>131.30000000000001</v>
      </c>
      <c r="G95" s="27">
        <v>121.3</v>
      </c>
      <c r="H95" s="27">
        <v>128.80000000000001</v>
      </c>
      <c r="I95" s="27">
        <v>114</v>
      </c>
      <c r="J95" s="27">
        <v>134.19999999999999</v>
      </c>
      <c r="K95" s="27">
        <v>153.6</v>
      </c>
      <c r="L95" s="27">
        <v>137.9</v>
      </c>
      <c r="M95" s="27">
        <v>93.1</v>
      </c>
      <c r="N95" s="27">
        <v>123.9</v>
      </c>
      <c r="O95" s="21">
        <v>129.5</v>
      </c>
      <c r="P95" s="21">
        <v>126.3</v>
      </c>
      <c r="Q95" s="22">
        <v>139.25</v>
      </c>
      <c r="R95" s="21">
        <v>123.7</v>
      </c>
      <c r="S95" s="21">
        <v>121.1</v>
      </c>
      <c r="T95" s="27">
        <v>113.6</v>
      </c>
      <c r="U95" s="27">
        <v>123.6</v>
      </c>
    </row>
    <row r="96" spans="1:21">
      <c r="A96" s="21" t="s">
        <v>33</v>
      </c>
      <c r="B96" s="26">
        <v>2015</v>
      </c>
      <c r="C96" s="21" t="s">
        <v>41</v>
      </c>
      <c r="D96" s="79">
        <f t="shared" si="1"/>
        <v>42217</v>
      </c>
      <c r="E96" s="27">
        <v>123.1</v>
      </c>
      <c r="F96" s="27">
        <v>131.69999999999999</v>
      </c>
      <c r="G96" s="27">
        <v>118.1</v>
      </c>
      <c r="H96" s="27">
        <v>128</v>
      </c>
      <c r="I96" s="27">
        <v>106.8</v>
      </c>
      <c r="J96" s="27">
        <v>130.1</v>
      </c>
      <c r="K96" s="27">
        <v>165.5</v>
      </c>
      <c r="L96" s="27">
        <v>156</v>
      </c>
      <c r="M96" s="27">
        <v>85.3</v>
      </c>
      <c r="N96" s="27">
        <v>132.69999999999999</v>
      </c>
      <c r="O96" s="21">
        <v>123.7</v>
      </c>
      <c r="P96" s="21">
        <v>118.2</v>
      </c>
      <c r="Q96" s="22">
        <v>120.9</v>
      </c>
      <c r="R96" s="21">
        <v>120</v>
      </c>
      <c r="S96" s="21">
        <v>116.6</v>
      </c>
      <c r="T96" s="27">
        <v>109.9</v>
      </c>
      <c r="U96" s="27">
        <v>126.2</v>
      </c>
    </row>
    <row r="97" spans="1:21">
      <c r="A97" s="21" t="s">
        <v>34</v>
      </c>
      <c r="B97" s="26">
        <v>2015</v>
      </c>
      <c r="C97" s="21" t="s">
        <v>41</v>
      </c>
      <c r="D97" s="79">
        <f t="shared" si="1"/>
        <v>42217</v>
      </c>
      <c r="E97" s="27">
        <v>124.2</v>
      </c>
      <c r="F97" s="27">
        <v>131.4</v>
      </c>
      <c r="G97" s="27">
        <v>120.1</v>
      </c>
      <c r="H97" s="27">
        <v>128.5</v>
      </c>
      <c r="I97" s="27">
        <v>111.4</v>
      </c>
      <c r="J97" s="27">
        <v>132.30000000000001</v>
      </c>
      <c r="K97" s="27">
        <v>157.6</v>
      </c>
      <c r="L97" s="27">
        <v>144</v>
      </c>
      <c r="M97" s="27">
        <v>90.5</v>
      </c>
      <c r="N97" s="27">
        <v>126.8</v>
      </c>
      <c r="O97" s="21">
        <v>127.2</v>
      </c>
      <c r="P97" s="21">
        <v>122.9</v>
      </c>
      <c r="Q97" s="22">
        <v>120.9</v>
      </c>
      <c r="R97" s="21">
        <v>122</v>
      </c>
      <c r="S97" s="21">
        <v>119.4</v>
      </c>
      <c r="T97" s="27">
        <v>111.7</v>
      </c>
      <c r="U97" s="27">
        <v>125.1</v>
      </c>
    </row>
    <row r="98" spans="1:21">
      <c r="A98" s="21" t="s">
        <v>30</v>
      </c>
      <c r="B98" s="26">
        <v>2015</v>
      </c>
      <c r="C98" s="21" t="s">
        <v>42</v>
      </c>
      <c r="D98" s="79">
        <f t="shared" si="1"/>
        <v>42248</v>
      </c>
      <c r="E98" s="27">
        <v>125.1</v>
      </c>
      <c r="F98" s="27">
        <v>131.1</v>
      </c>
      <c r="G98" s="27">
        <v>120.7</v>
      </c>
      <c r="H98" s="27">
        <v>129.19999999999999</v>
      </c>
      <c r="I98" s="27">
        <v>114.7</v>
      </c>
      <c r="J98" s="27">
        <v>132.30000000000001</v>
      </c>
      <c r="K98" s="27">
        <v>158.9</v>
      </c>
      <c r="L98" s="27">
        <v>142.1</v>
      </c>
      <c r="M98" s="27">
        <v>92.5</v>
      </c>
      <c r="N98" s="27">
        <v>125.4</v>
      </c>
      <c r="O98" s="21">
        <v>130.4</v>
      </c>
      <c r="P98" s="21">
        <v>126.8</v>
      </c>
      <c r="Q98" s="22">
        <v>139.25</v>
      </c>
      <c r="R98" s="21">
        <v>124.5</v>
      </c>
      <c r="S98" s="21">
        <v>121.4</v>
      </c>
      <c r="T98" s="27">
        <v>113.8</v>
      </c>
      <c r="U98" s="27">
        <v>124.5</v>
      </c>
    </row>
    <row r="99" spans="1:21">
      <c r="A99" s="21" t="s">
        <v>33</v>
      </c>
      <c r="B99" s="26">
        <v>2015</v>
      </c>
      <c r="C99" s="21" t="s">
        <v>42</v>
      </c>
      <c r="D99" s="79">
        <f t="shared" si="1"/>
        <v>42248</v>
      </c>
      <c r="E99" s="27">
        <v>123.4</v>
      </c>
      <c r="F99" s="27">
        <v>129</v>
      </c>
      <c r="G99" s="27">
        <v>115.6</v>
      </c>
      <c r="H99" s="27">
        <v>128.30000000000001</v>
      </c>
      <c r="I99" s="27">
        <v>107</v>
      </c>
      <c r="J99" s="27">
        <v>124</v>
      </c>
      <c r="K99" s="27">
        <v>168.5</v>
      </c>
      <c r="L99" s="27">
        <v>165.4</v>
      </c>
      <c r="M99" s="27">
        <v>86.3</v>
      </c>
      <c r="N99" s="27">
        <v>134.4</v>
      </c>
      <c r="O99" s="21">
        <v>124</v>
      </c>
      <c r="P99" s="21">
        <v>118.6</v>
      </c>
      <c r="Q99" s="22">
        <v>121.6</v>
      </c>
      <c r="R99" s="21">
        <v>120.4</v>
      </c>
      <c r="S99" s="21">
        <v>117.1</v>
      </c>
      <c r="T99" s="27">
        <v>109.1</v>
      </c>
      <c r="U99" s="27">
        <v>126.5</v>
      </c>
    </row>
    <row r="100" spans="1:21">
      <c r="A100" s="21" t="s">
        <v>34</v>
      </c>
      <c r="B100" s="26">
        <v>2015</v>
      </c>
      <c r="C100" s="21" t="s">
        <v>42</v>
      </c>
      <c r="D100" s="79">
        <f t="shared" si="1"/>
        <v>42248</v>
      </c>
      <c r="E100" s="27">
        <v>124.6</v>
      </c>
      <c r="F100" s="27">
        <v>130.4</v>
      </c>
      <c r="G100" s="27">
        <v>118.7</v>
      </c>
      <c r="H100" s="27">
        <v>128.9</v>
      </c>
      <c r="I100" s="27">
        <v>111.9</v>
      </c>
      <c r="J100" s="27">
        <v>128.4</v>
      </c>
      <c r="K100" s="27">
        <v>162.19999999999999</v>
      </c>
      <c r="L100" s="27">
        <v>150</v>
      </c>
      <c r="M100" s="27">
        <v>90.4</v>
      </c>
      <c r="N100" s="27">
        <v>128.4</v>
      </c>
      <c r="O100" s="21">
        <v>127.9</v>
      </c>
      <c r="P100" s="21">
        <v>123.4</v>
      </c>
      <c r="Q100" s="22">
        <v>121.6</v>
      </c>
      <c r="R100" s="21">
        <v>122.6</v>
      </c>
      <c r="S100" s="21">
        <v>119.8</v>
      </c>
      <c r="T100" s="27">
        <v>111.3</v>
      </c>
      <c r="U100" s="27">
        <v>125.7</v>
      </c>
    </row>
    <row r="101" spans="1:21">
      <c r="A101" s="21" t="s">
        <v>30</v>
      </c>
      <c r="B101" s="26">
        <v>2015</v>
      </c>
      <c r="C101" s="21" t="s">
        <v>43</v>
      </c>
      <c r="D101" s="79">
        <f t="shared" si="1"/>
        <v>42278</v>
      </c>
      <c r="E101" s="27">
        <v>125.6</v>
      </c>
      <c r="F101" s="27">
        <v>130.4</v>
      </c>
      <c r="G101" s="27">
        <v>120.8</v>
      </c>
      <c r="H101" s="27">
        <v>129.4</v>
      </c>
      <c r="I101" s="27">
        <v>115.8</v>
      </c>
      <c r="J101" s="27">
        <v>133.19999999999999</v>
      </c>
      <c r="K101" s="27">
        <v>157.69999999999999</v>
      </c>
      <c r="L101" s="27">
        <v>154.19999999999999</v>
      </c>
      <c r="M101" s="27">
        <v>93.7</v>
      </c>
      <c r="N101" s="27">
        <v>126.6</v>
      </c>
      <c r="O101" s="21">
        <v>131.1</v>
      </c>
      <c r="P101" s="21">
        <v>127.3</v>
      </c>
      <c r="Q101" s="22">
        <v>139.25</v>
      </c>
      <c r="R101" s="21">
        <v>125.1</v>
      </c>
      <c r="S101" s="21">
        <v>122</v>
      </c>
      <c r="T101" s="27">
        <v>113.8</v>
      </c>
      <c r="U101" s="27">
        <v>125.1</v>
      </c>
    </row>
    <row r="102" spans="1:21">
      <c r="A102" s="21" t="s">
        <v>33</v>
      </c>
      <c r="B102" s="26">
        <v>2015</v>
      </c>
      <c r="C102" s="21" t="s">
        <v>43</v>
      </c>
      <c r="D102" s="79">
        <f t="shared" si="1"/>
        <v>42278</v>
      </c>
      <c r="E102" s="27">
        <v>123.6</v>
      </c>
      <c r="F102" s="27">
        <v>128.6</v>
      </c>
      <c r="G102" s="27">
        <v>115.9</v>
      </c>
      <c r="H102" s="27">
        <v>128.5</v>
      </c>
      <c r="I102" s="27">
        <v>109</v>
      </c>
      <c r="J102" s="27">
        <v>124.1</v>
      </c>
      <c r="K102" s="27">
        <v>165.8</v>
      </c>
      <c r="L102" s="27">
        <v>187.2</v>
      </c>
      <c r="M102" s="27">
        <v>89.4</v>
      </c>
      <c r="N102" s="27">
        <v>135.80000000000001</v>
      </c>
      <c r="O102" s="21">
        <v>124.4</v>
      </c>
      <c r="P102" s="21">
        <v>118.8</v>
      </c>
      <c r="Q102" s="22">
        <v>122.4</v>
      </c>
      <c r="R102" s="21">
        <v>120.7</v>
      </c>
      <c r="S102" s="21">
        <v>117.7</v>
      </c>
      <c r="T102" s="27">
        <v>109.3</v>
      </c>
      <c r="U102" s="27">
        <v>126.5</v>
      </c>
    </row>
    <row r="103" spans="1:21">
      <c r="A103" s="21" t="s">
        <v>34</v>
      </c>
      <c r="B103" s="26">
        <v>2015</v>
      </c>
      <c r="C103" s="21" t="s">
        <v>43</v>
      </c>
      <c r="D103" s="79">
        <f t="shared" si="1"/>
        <v>42278</v>
      </c>
      <c r="E103" s="27">
        <v>125</v>
      </c>
      <c r="F103" s="27">
        <v>129.80000000000001</v>
      </c>
      <c r="G103" s="27">
        <v>118.9</v>
      </c>
      <c r="H103" s="27">
        <v>129.1</v>
      </c>
      <c r="I103" s="27">
        <v>113.3</v>
      </c>
      <c r="J103" s="27">
        <v>129</v>
      </c>
      <c r="K103" s="27">
        <v>160.4</v>
      </c>
      <c r="L103" s="27">
        <v>165.3</v>
      </c>
      <c r="M103" s="27">
        <v>92.3</v>
      </c>
      <c r="N103" s="27">
        <v>129.69999999999999</v>
      </c>
      <c r="O103" s="21">
        <v>128.5</v>
      </c>
      <c r="P103" s="21">
        <v>123.8</v>
      </c>
      <c r="Q103" s="22">
        <v>122.4</v>
      </c>
      <c r="R103" s="21">
        <v>123</v>
      </c>
      <c r="S103" s="21">
        <v>120.4</v>
      </c>
      <c r="T103" s="27">
        <v>111.4</v>
      </c>
      <c r="U103" s="27">
        <v>125.9</v>
      </c>
    </row>
    <row r="104" spans="1:21">
      <c r="A104" s="21" t="s">
        <v>30</v>
      </c>
      <c r="B104" s="26">
        <v>2015</v>
      </c>
      <c r="C104" s="21" t="s">
        <v>45</v>
      </c>
      <c r="D104" s="79">
        <f t="shared" si="1"/>
        <v>42309</v>
      </c>
      <c r="E104" s="27">
        <v>126.1</v>
      </c>
      <c r="F104" s="27">
        <v>130.6</v>
      </c>
      <c r="G104" s="27">
        <v>121.7</v>
      </c>
      <c r="H104" s="27">
        <v>129.5</v>
      </c>
      <c r="I104" s="27">
        <v>117.8</v>
      </c>
      <c r="J104" s="27">
        <v>132.1</v>
      </c>
      <c r="K104" s="27">
        <v>155.19999999999999</v>
      </c>
      <c r="L104" s="27">
        <v>160.80000000000001</v>
      </c>
      <c r="M104" s="27">
        <v>94.5</v>
      </c>
      <c r="N104" s="27">
        <v>128.30000000000001</v>
      </c>
      <c r="O104" s="21">
        <v>132.1</v>
      </c>
      <c r="P104" s="21">
        <v>128.19999999999999</v>
      </c>
      <c r="Q104" s="22">
        <v>139.25</v>
      </c>
      <c r="R104" s="21">
        <v>125.6</v>
      </c>
      <c r="S104" s="21">
        <v>122.6</v>
      </c>
      <c r="T104" s="27">
        <v>114</v>
      </c>
      <c r="U104" s="27">
        <v>125.8</v>
      </c>
    </row>
    <row r="105" spans="1:21">
      <c r="A105" s="21" t="s">
        <v>33</v>
      </c>
      <c r="B105" s="26">
        <v>2015</v>
      </c>
      <c r="C105" s="21" t="s">
        <v>45</v>
      </c>
      <c r="D105" s="79">
        <f t="shared" si="1"/>
        <v>42309</v>
      </c>
      <c r="E105" s="27">
        <v>124</v>
      </c>
      <c r="F105" s="27">
        <v>129.80000000000001</v>
      </c>
      <c r="G105" s="27">
        <v>121.5</v>
      </c>
      <c r="H105" s="27">
        <v>128.6</v>
      </c>
      <c r="I105" s="27">
        <v>110</v>
      </c>
      <c r="J105" s="27">
        <v>123.7</v>
      </c>
      <c r="K105" s="27">
        <v>164.6</v>
      </c>
      <c r="L105" s="27">
        <v>191.6</v>
      </c>
      <c r="M105" s="27">
        <v>90.8</v>
      </c>
      <c r="N105" s="27">
        <v>137.1</v>
      </c>
      <c r="O105" s="21">
        <v>125</v>
      </c>
      <c r="P105" s="21">
        <v>119.3</v>
      </c>
      <c r="Q105" s="22">
        <v>122.9</v>
      </c>
      <c r="R105" s="21">
        <v>121</v>
      </c>
      <c r="S105" s="21">
        <v>118.1</v>
      </c>
      <c r="T105" s="27">
        <v>109.3</v>
      </c>
      <c r="U105" s="27">
        <v>126.6</v>
      </c>
    </row>
    <row r="106" spans="1:21">
      <c r="A106" s="21" t="s">
        <v>34</v>
      </c>
      <c r="B106" s="26">
        <v>2015</v>
      </c>
      <c r="C106" s="21" t="s">
        <v>45</v>
      </c>
      <c r="D106" s="79">
        <f t="shared" si="1"/>
        <v>42309</v>
      </c>
      <c r="E106" s="27">
        <v>125.4</v>
      </c>
      <c r="F106" s="27">
        <v>130.30000000000001</v>
      </c>
      <c r="G106" s="27">
        <v>121.6</v>
      </c>
      <c r="H106" s="27">
        <v>129.19999999999999</v>
      </c>
      <c r="I106" s="27">
        <v>114.9</v>
      </c>
      <c r="J106" s="27">
        <v>128.19999999999999</v>
      </c>
      <c r="K106" s="27">
        <v>158.4</v>
      </c>
      <c r="L106" s="27">
        <v>171.2</v>
      </c>
      <c r="M106" s="27">
        <v>93.3</v>
      </c>
      <c r="N106" s="27">
        <v>131.19999999999999</v>
      </c>
      <c r="O106" s="21">
        <v>129.30000000000001</v>
      </c>
      <c r="P106" s="21">
        <v>124.5</v>
      </c>
      <c r="Q106" s="22">
        <v>122.9</v>
      </c>
      <c r="R106" s="21">
        <v>123.4</v>
      </c>
      <c r="S106" s="21">
        <v>120.9</v>
      </c>
      <c r="T106" s="27">
        <v>111.5</v>
      </c>
      <c r="U106" s="27">
        <v>126.3</v>
      </c>
    </row>
    <row r="107" spans="1:21">
      <c r="A107" s="21" t="s">
        <v>30</v>
      </c>
      <c r="B107" s="26">
        <v>2015</v>
      </c>
      <c r="C107" s="21" t="s">
        <v>46</v>
      </c>
      <c r="D107" s="79">
        <f t="shared" si="1"/>
        <v>42339</v>
      </c>
      <c r="E107" s="27">
        <v>126.3</v>
      </c>
      <c r="F107" s="27">
        <v>131.30000000000001</v>
      </c>
      <c r="G107" s="27">
        <v>123.3</v>
      </c>
      <c r="H107" s="27">
        <v>129.80000000000001</v>
      </c>
      <c r="I107" s="27">
        <v>118.3</v>
      </c>
      <c r="J107" s="27">
        <v>131.6</v>
      </c>
      <c r="K107" s="27">
        <v>145.5</v>
      </c>
      <c r="L107" s="27">
        <v>162.1</v>
      </c>
      <c r="M107" s="27">
        <v>95.4</v>
      </c>
      <c r="N107" s="27">
        <v>128.9</v>
      </c>
      <c r="O107" s="21">
        <v>132.5</v>
      </c>
      <c r="P107" s="21">
        <v>128.5</v>
      </c>
      <c r="Q107" s="22">
        <v>139.25</v>
      </c>
      <c r="R107" s="21">
        <v>126</v>
      </c>
      <c r="S107" s="21">
        <v>123.1</v>
      </c>
      <c r="T107" s="27">
        <v>114</v>
      </c>
      <c r="U107" s="27">
        <v>125.6</v>
      </c>
    </row>
    <row r="108" spans="1:21">
      <c r="A108" s="21" t="s">
        <v>33</v>
      </c>
      <c r="B108" s="26">
        <v>2015</v>
      </c>
      <c r="C108" s="21" t="s">
        <v>46</v>
      </c>
      <c r="D108" s="79">
        <f t="shared" si="1"/>
        <v>42339</v>
      </c>
      <c r="E108" s="27">
        <v>124.3</v>
      </c>
      <c r="F108" s="27">
        <v>131.69999999999999</v>
      </c>
      <c r="G108" s="27">
        <v>127.1</v>
      </c>
      <c r="H108" s="27">
        <v>128.6</v>
      </c>
      <c r="I108" s="27">
        <v>110</v>
      </c>
      <c r="J108" s="27">
        <v>120.8</v>
      </c>
      <c r="K108" s="27">
        <v>149</v>
      </c>
      <c r="L108" s="27">
        <v>190.1</v>
      </c>
      <c r="M108" s="27">
        <v>92.7</v>
      </c>
      <c r="N108" s="27">
        <v>138.6</v>
      </c>
      <c r="O108" s="21">
        <v>125.4</v>
      </c>
      <c r="P108" s="21">
        <v>119.5</v>
      </c>
      <c r="Q108" s="22">
        <v>122.4</v>
      </c>
      <c r="R108" s="21">
        <v>121</v>
      </c>
      <c r="S108" s="21">
        <v>118.6</v>
      </c>
      <c r="T108" s="27">
        <v>109.3</v>
      </c>
      <c r="U108" s="27">
        <v>126.6</v>
      </c>
    </row>
    <row r="109" spans="1:21">
      <c r="A109" s="21" t="s">
        <v>34</v>
      </c>
      <c r="B109" s="26">
        <v>2015</v>
      </c>
      <c r="C109" s="21" t="s">
        <v>46</v>
      </c>
      <c r="D109" s="79">
        <f t="shared" si="1"/>
        <v>42339</v>
      </c>
      <c r="E109" s="27">
        <v>125.7</v>
      </c>
      <c r="F109" s="27">
        <v>131.4</v>
      </c>
      <c r="G109" s="27">
        <v>124.8</v>
      </c>
      <c r="H109" s="27">
        <v>129.4</v>
      </c>
      <c r="I109" s="27">
        <v>115.3</v>
      </c>
      <c r="J109" s="27">
        <v>126.6</v>
      </c>
      <c r="K109" s="27">
        <v>146.69999999999999</v>
      </c>
      <c r="L109" s="27">
        <v>171.5</v>
      </c>
      <c r="M109" s="27">
        <v>94.5</v>
      </c>
      <c r="N109" s="27">
        <v>132.1</v>
      </c>
      <c r="O109" s="21">
        <v>129.69999999999999</v>
      </c>
      <c r="P109" s="21">
        <v>124.8</v>
      </c>
      <c r="Q109" s="22">
        <v>122.4</v>
      </c>
      <c r="R109" s="21">
        <v>123.6</v>
      </c>
      <c r="S109" s="21">
        <v>121.4</v>
      </c>
      <c r="T109" s="27">
        <v>111.5</v>
      </c>
      <c r="U109" s="27">
        <v>126.2</v>
      </c>
    </row>
    <row r="110" spans="1:21">
      <c r="A110" s="21" t="s">
        <v>30</v>
      </c>
      <c r="B110" s="26">
        <v>2016</v>
      </c>
      <c r="C110" s="21" t="s">
        <v>31</v>
      </c>
      <c r="D110" s="79">
        <f t="shared" si="1"/>
        <v>42370</v>
      </c>
      <c r="E110" s="27">
        <v>126.8</v>
      </c>
      <c r="F110" s="27">
        <v>133.19999999999999</v>
      </c>
      <c r="G110" s="27">
        <v>126.5</v>
      </c>
      <c r="H110" s="27">
        <v>130.30000000000001</v>
      </c>
      <c r="I110" s="27">
        <v>118.9</v>
      </c>
      <c r="J110" s="27">
        <v>131.6</v>
      </c>
      <c r="K110" s="27">
        <v>140.1</v>
      </c>
      <c r="L110" s="27">
        <v>163.80000000000001</v>
      </c>
      <c r="M110" s="27">
        <v>97.7</v>
      </c>
      <c r="N110" s="27">
        <v>129.6</v>
      </c>
      <c r="O110" s="21">
        <v>133.19999999999999</v>
      </c>
      <c r="P110" s="21">
        <v>128.9</v>
      </c>
      <c r="Q110" s="22">
        <v>139.25</v>
      </c>
      <c r="R110" s="21">
        <v>126.6</v>
      </c>
      <c r="S110" s="21">
        <v>123.7</v>
      </c>
      <c r="T110" s="27">
        <v>113.6</v>
      </c>
      <c r="U110" s="27">
        <v>126.2</v>
      </c>
    </row>
    <row r="111" spans="1:21">
      <c r="A111" s="21" t="s">
        <v>33</v>
      </c>
      <c r="B111" s="26">
        <v>2016</v>
      </c>
      <c r="C111" s="21" t="s">
        <v>31</v>
      </c>
      <c r="D111" s="79">
        <f t="shared" si="1"/>
        <v>42370</v>
      </c>
      <c r="E111" s="27">
        <v>124.7</v>
      </c>
      <c r="F111" s="27">
        <v>135.9</v>
      </c>
      <c r="G111" s="27">
        <v>132</v>
      </c>
      <c r="H111" s="27">
        <v>129.19999999999999</v>
      </c>
      <c r="I111" s="27">
        <v>109.7</v>
      </c>
      <c r="J111" s="27">
        <v>119</v>
      </c>
      <c r="K111" s="27">
        <v>144.1</v>
      </c>
      <c r="L111" s="27">
        <v>184.2</v>
      </c>
      <c r="M111" s="27">
        <v>96.7</v>
      </c>
      <c r="N111" s="27">
        <v>139.5</v>
      </c>
      <c r="O111" s="21">
        <v>125.8</v>
      </c>
      <c r="P111" s="21">
        <v>119.8</v>
      </c>
      <c r="Q111" s="22">
        <v>123.4</v>
      </c>
      <c r="R111" s="21">
        <v>121.6</v>
      </c>
      <c r="S111" s="21">
        <v>119.1</v>
      </c>
      <c r="T111" s="27">
        <v>108.9</v>
      </c>
      <c r="U111" s="27">
        <v>126.4</v>
      </c>
    </row>
    <row r="112" spans="1:21">
      <c r="A112" s="21" t="s">
        <v>34</v>
      </c>
      <c r="B112" s="26">
        <v>2016</v>
      </c>
      <c r="C112" s="21" t="s">
        <v>31</v>
      </c>
      <c r="D112" s="79">
        <f t="shared" si="1"/>
        <v>42370</v>
      </c>
      <c r="E112" s="27">
        <v>126.1</v>
      </c>
      <c r="F112" s="27">
        <v>134.1</v>
      </c>
      <c r="G112" s="27">
        <v>128.6</v>
      </c>
      <c r="H112" s="27">
        <v>129.9</v>
      </c>
      <c r="I112" s="27">
        <v>115.5</v>
      </c>
      <c r="J112" s="27">
        <v>125.7</v>
      </c>
      <c r="K112" s="27">
        <v>141.5</v>
      </c>
      <c r="L112" s="27">
        <v>170.7</v>
      </c>
      <c r="M112" s="27">
        <v>97.4</v>
      </c>
      <c r="N112" s="27">
        <v>132.9</v>
      </c>
      <c r="O112" s="21">
        <v>130.30000000000001</v>
      </c>
      <c r="P112" s="21">
        <v>125.1</v>
      </c>
      <c r="Q112" s="22">
        <v>123.4</v>
      </c>
      <c r="R112" s="21">
        <v>124.2</v>
      </c>
      <c r="S112" s="21">
        <v>122</v>
      </c>
      <c r="T112" s="27">
        <v>111.1</v>
      </c>
      <c r="U112" s="27">
        <v>126.3</v>
      </c>
    </row>
    <row r="113" spans="1:21">
      <c r="A113" s="21" t="s">
        <v>30</v>
      </c>
      <c r="B113" s="26">
        <v>2016</v>
      </c>
      <c r="C113" s="21" t="s">
        <v>35</v>
      </c>
      <c r="D113" s="79">
        <f t="shared" si="1"/>
        <v>42401</v>
      </c>
      <c r="E113" s="27">
        <v>127.1</v>
      </c>
      <c r="F113" s="27">
        <v>133.69999999999999</v>
      </c>
      <c r="G113" s="27">
        <v>127.7</v>
      </c>
      <c r="H113" s="27">
        <v>130.69999999999999</v>
      </c>
      <c r="I113" s="27">
        <v>118.5</v>
      </c>
      <c r="J113" s="27">
        <v>130.4</v>
      </c>
      <c r="K113" s="27">
        <v>130.9</v>
      </c>
      <c r="L113" s="27">
        <v>162.80000000000001</v>
      </c>
      <c r="M113" s="27">
        <v>98.7</v>
      </c>
      <c r="N113" s="27">
        <v>130.6</v>
      </c>
      <c r="O113" s="21">
        <v>133.9</v>
      </c>
      <c r="P113" s="21">
        <v>129.80000000000001</v>
      </c>
      <c r="Q113" s="22">
        <v>139.25</v>
      </c>
      <c r="R113" s="21">
        <v>127.1</v>
      </c>
      <c r="S113" s="21">
        <v>124.3</v>
      </c>
      <c r="T113" s="27">
        <v>113.9</v>
      </c>
      <c r="U113" s="27">
        <v>127.1</v>
      </c>
    </row>
    <row r="114" spans="1:21">
      <c r="A114" s="21" t="s">
        <v>33</v>
      </c>
      <c r="B114" s="26">
        <v>2016</v>
      </c>
      <c r="C114" s="21" t="s">
        <v>35</v>
      </c>
      <c r="D114" s="79">
        <f t="shared" si="1"/>
        <v>42401</v>
      </c>
      <c r="E114" s="27">
        <v>124.8</v>
      </c>
      <c r="F114" s="27">
        <v>135.1</v>
      </c>
      <c r="G114" s="27">
        <v>130.30000000000001</v>
      </c>
      <c r="H114" s="27">
        <v>129.6</v>
      </c>
      <c r="I114" s="27">
        <v>108.4</v>
      </c>
      <c r="J114" s="27">
        <v>118.6</v>
      </c>
      <c r="K114" s="27">
        <v>129.19999999999999</v>
      </c>
      <c r="L114" s="27">
        <v>176.4</v>
      </c>
      <c r="M114" s="27">
        <v>99.1</v>
      </c>
      <c r="N114" s="27">
        <v>139.69999999999999</v>
      </c>
      <c r="O114" s="21">
        <v>126.2</v>
      </c>
      <c r="P114" s="21">
        <v>120.1</v>
      </c>
      <c r="Q114" s="22">
        <v>124.4</v>
      </c>
      <c r="R114" s="21">
        <v>121.8</v>
      </c>
      <c r="S114" s="21">
        <v>119.5</v>
      </c>
      <c r="T114" s="27">
        <v>109.1</v>
      </c>
      <c r="U114" s="27">
        <v>126.3</v>
      </c>
    </row>
    <row r="115" spans="1:21">
      <c r="A115" s="21" t="s">
        <v>34</v>
      </c>
      <c r="B115" s="26">
        <v>2016</v>
      </c>
      <c r="C115" s="21" t="s">
        <v>35</v>
      </c>
      <c r="D115" s="79">
        <f t="shared" si="1"/>
        <v>42401</v>
      </c>
      <c r="E115" s="27">
        <v>126.4</v>
      </c>
      <c r="F115" s="27">
        <v>134.19999999999999</v>
      </c>
      <c r="G115" s="27">
        <v>128.69999999999999</v>
      </c>
      <c r="H115" s="27">
        <v>130.30000000000001</v>
      </c>
      <c r="I115" s="27">
        <v>114.8</v>
      </c>
      <c r="J115" s="27">
        <v>124.9</v>
      </c>
      <c r="K115" s="27">
        <v>130.30000000000001</v>
      </c>
      <c r="L115" s="27">
        <v>167.4</v>
      </c>
      <c r="M115" s="27">
        <v>98.8</v>
      </c>
      <c r="N115" s="27">
        <v>133.6</v>
      </c>
      <c r="O115" s="21">
        <v>130.9</v>
      </c>
      <c r="P115" s="21">
        <v>125.8</v>
      </c>
      <c r="Q115" s="22">
        <v>124.4</v>
      </c>
      <c r="R115" s="21">
        <v>124.6</v>
      </c>
      <c r="S115" s="21">
        <v>122.5</v>
      </c>
      <c r="T115" s="27">
        <v>111.4</v>
      </c>
      <c r="U115" s="27">
        <v>126.6</v>
      </c>
    </row>
    <row r="116" spans="1:21">
      <c r="A116" s="21" t="s">
        <v>30</v>
      </c>
      <c r="B116" s="26">
        <v>2016</v>
      </c>
      <c r="C116" s="21" t="s">
        <v>36</v>
      </c>
      <c r="D116" s="79">
        <f t="shared" si="1"/>
        <v>42430</v>
      </c>
      <c r="E116" s="27">
        <v>127.3</v>
      </c>
      <c r="F116" s="27">
        <v>134.4</v>
      </c>
      <c r="G116" s="27">
        <v>125.1</v>
      </c>
      <c r="H116" s="27">
        <v>130.5</v>
      </c>
      <c r="I116" s="27">
        <v>118.3</v>
      </c>
      <c r="J116" s="27">
        <v>131.69999999999999</v>
      </c>
      <c r="K116" s="27">
        <v>130.69999999999999</v>
      </c>
      <c r="L116" s="27">
        <v>161.19999999999999</v>
      </c>
      <c r="M116" s="27">
        <v>100.4</v>
      </c>
      <c r="N116" s="27">
        <v>130.80000000000001</v>
      </c>
      <c r="O116" s="21">
        <v>134.4</v>
      </c>
      <c r="P116" s="21">
        <v>130.19999999999999</v>
      </c>
      <c r="Q116" s="22">
        <v>139.25</v>
      </c>
      <c r="R116" s="21">
        <v>127.7</v>
      </c>
      <c r="S116" s="21">
        <v>124.8</v>
      </c>
      <c r="T116" s="27">
        <v>113.6</v>
      </c>
      <c r="U116" s="27">
        <v>127.5</v>
      </c>
    </row>
    <row r="117" spans="1:21">
      <c r="A117" s="21" t="s">
        <v>33</v>
      </c>
      <c r="B117" s="26">
        <v>2016</v>
      </c>
      <c r="C117" s="21" t="s">
        <v>36</v>
      </c>
      <c r="D117" s="79">
        <f t="shared" si="1"/>
        <v>42430</v>
      </c>
      <c r="E117" s="27">
        <v>124.8</v>
      </c>
      <c r="F117" s="27">
        <v>136.30000000000001</v>
      </c>
      <c r="G117" s="27">
        <v>123.7</v>
      </c>
      <c r="H117" s="27">
        <v>129.69999999999999</v>
      </c>
      <c r="I117" s="27">
        <v>107.9</v>
      </c>
      <c r="J117" s="27">
        <v>119.9</v>
      </c>
      <c r="K117" s="27">
        <v>128.1</v>
      </c>
      <c r="L117" s="27">
        <v>170.3</v>
      </c>
      <c r="M117" s="27">
        <v>101.8</v>
      </c>
      <c r="N117" s="27">
        <v>140.1</v>
      </c>
      <c r="O117" s="21">
        <v>126.4</v>
      </c>
      <c r="P117" s="21">
        <v>120.3</v>
      </c>
      <c r="Q117" s="22">
        <v>124.9</v>
      </c>
      <c r="R117" s="21">
        <v>122.3</v>
      </c>
      <c r="S117" s="21">
        <v>119.7</v>
      </c>
      <c r="T117" s="27">
        <v>108.5</v>
      </c>
      <c r="U117" s="27">
        <v>126.4</v>
      </c>
    </row>
    <row r="118" spans="1:21">
      <c r="A118" s="21" t="s">
        <v>34</v>
      </c>
      <c r="B118" s="26">
        <v>2016</v>
      </c>
      <c r="C118" s="21" t="s">
        <v>36</v>
      </c>
      <c r="D118" s="79">
        <f t="shared" si="1"/>
        <v>42430</v>
      </c>
      <c r="E118" s="27">
        <v>126.5</v>
      </c>
      <c r="F118" s="27">
        <v>135.1</v>
      </c>
      <c r="G118" s="27">
        <v>124.6</v>
      </c>
      <c r="H118" s="27">
        <v>130.19999999999999</v>
      </c>
      <c r="I118" s="27">
        <v>114.5</v>
      </c>
      <c r="J118" s="27">
        <v>126.2</v>
      </c>
      <c r="K118" s="27">
        <v>129.80000000000001</v>
      </c>
      <c r="L118" s="27">
        <v>164.3</v>
      </c>
      <c r="M118" s="27">
        <v>100.9</v>
      </c>
      <c r="N118" s="27">
        <v>133.9</v>
      </c>
      <c r="O118" s="21">
        <v>131.30000000000001</v>
      </c>
      <c r="P118" s="21">
        <v>126.1</v>
      </c>
      <c r="Q118" s="22">
        <v>124.9</v>
      </c>
      <c r="R118" s="21">
        <v>125.1</v>
      </c>
      <c r="S118" s="21">
        <v>122.9</v>
      </c>
      <c r="T118" s="27">
        <v>110.9</v>
      </c>
      <c r="U118" s="27">
        <v>126.9</v>
      </c>
    </row>
    <row r="119" spans="1:21">
      <c r="A119" s="21" t="s">
        <v>30</v>
      </c>
      <c r="B119" s="26">
        <v>2016</v>
      </c>
      <c r="C119" s="21" t="s">
        <v>37</v>
      </c>
      <c r="D119" s="79">
        <f t="shared" si="1"/>
        <v>42461</v>
      </c>
      <c r="E119" s="27">
        <v>127.4</v>
      </c>
      <c r="F119" s="27">
        <v>135.4</v>
      </c>
      <c r="G119" s="27">
        <v>123.4</v>
      </c>
      <c r="H119" s="27">
        <v>131.30000000000001</v>
      </c>
      <c r="I119" s="27">
        <v>118.2</v>
      </c>
      <c r="J119" s="27">
        <v>138.1</v>
      </c>
      <c r="K119" s="27">
        <v>134.1</v>
      </c>
      <c r="L119" s="27">
        <v>162.69999999999999</v>
      </c>
      <c r="M119" s="27">
        <v>105</v>
      </c>
      <c r="N119" s="27">
        <v>131.4</v>
      </c>
      <c r="O119" s="21">
        <v>135</v>
      </c>
      <c r="P119" s="21">
        <v>130.6</v>
      </c>
      <c r="Q119" s="22">
        <v>139.25</v>
      </c>
      <c r="R119" s="21">
        <v>128</v>
      </c>
      <c r="S119" s="21">
        <v>125.2</v>
      </c>
      <c r="T119" s="27">
        <v>114.4</v>
      </c>
      <c r="U119" s="27">
        <v>127.9</v>
      </c>
    </row>
    <row r="120" spans="1:21">
      <c r="A120" s="21" t="s">
        <v>33</v>
      </c>
      <c r="B120" s="26">
        <v>2016</v>
      </c>
      <c r="C120" s="21" t="s">
        <v>37</v>
      </c>
      <c r="D120" s="79">
        <f t="shared" si="1"/>
        <v>42461</v>
      </c>
      <c r="E120" s="27">
        <v>124.9</v>
      </c>
      <c r="F120" s="27">
        <v>139.30000000000001</v>
      </c>
      <c r="G120" s="27">
        <v>119.9</v>
      </c>
      <c r="H120" s="27">
        <v>130.19999999999999</v>
      </c>
      <c r="I120" s="27">
        <v>108.9</v>
      </c>
      <c r="J120" s="27">
        <v>131.1</v>
      </c>
      <c r="K120" s="27">
        <v>136.80000000000001</v>
      </c>
      <c r="L120" s="27">
        <v>176.9</v>
      </c>
      <c r="M120" s="27">
        <v>109.1</v>
      </c>
      <c r="N120" s="27">
        <v>140.4</v>
      </c>
      <c r="O120" s="21">
        <v>126.8</v>
      </c>
      <c r="P120" s="21">
        <v>120.5</v>
      </c>
      <c r="Q120" s="22">
        <v>125.6</v>
      </c>
      <c r="R120" s="21">
        <v>122.8</v>
      </c>
      <c r="S120" s="21">
        <v>120</v>
      </c>
      <c r="T120" s="27">
        <v>110</v>
      </c>
      <c r="U120" s="27">
        <v>127.6</v>
      </c>
    </row>
    <row r="121" spans="1:21">
      <c r="A121" s="21" t="s">
        <v>34</v>
      </c>
      <c r="B121" s="26">
        <v>2016</v>
      </c>
      <c r="C121" s="21" t="s">
        <v>37</v>
      </c>
      <c r="D121" s="79">
        <f t="shared" si="1"/>
        <v>42461</v>
      </c>
      <c r="E121" s="27">
        <v>126.6</v>
      </c>
      <c r="F121" s="27">
        <v>136.80000000000001</v>
      </c>
      <c r="G121" s="27">
        <v>122</v>
      </c>
      <c r="H121" s="27">
        <v>130.9</v>
      </c>
      <c r="I121" s="27">
        <v>114.8</v>
      </c>
      <c r="J121" s="27">
        <v>134.80000000000001</v>
      </c>
      <c r="K121" s="27">
        <v>135</v>
      </c>
      <c r="L121" s="27">
        <v>167.5</v>
      </c>
      <c r="M121" s="27">
        <v>106.4</v>
      </c>
      <c r="N121" s="27">
        <v>134.4</v>
      </c>
      <c r="O121" s="21">
        <v>131.80000000000001</v>
      </c>
      <c r="P121" s="21">
        <v>126.4</v>
      </c>
      <c r="Q121" s="22">
        <v>125.6</v>
      </c>
      <c r="R121" s="21">
        <v>125.5</v>
      </c>
      <c r="S121" s="21">
        <v>123.2</v>
      </c>
      <c r="T121" s="27">
        <v>112.1</v>
      </c>
      <c r="U121" s="27">
        <v>127.7</v>
      </c>
    </row>
    <row r="122" spans="1:21">
      <c r="A122" s="21" t="s">
        <v>30</v>
      </c>
      <c r="B122" s="26">
        <v>2016</v>
      </c>
      <c r="C122" s="21" t="s">
        <v>38</v>
      </c>
      <c r="D122" s="79">
        <f t="shared" si="1"/>
        <v>42491</v>
      </c>
      <c r="E122" s="27">
        <v>127.6</v>
      </c>
      <c r="F122" s="27">
        <v>137.5</v>
      </c>
      <c r="G122" s="27">
        <v>124.4</v>
      </c>
      <c r="H122" s="27">
        <v>132.4</v>
      </c>
      <c r="I122" s="27">
        <v>118.2</v>
      </c>
      <c r="J122" s="27">
        <v>138.1</v>
      </c>
      <c r="K122" s="27">
        <v>141.80000000000001</v>
      </c>
      <c r="L122" s="27">
        <v>166</v>
      </c>
      <c r="M122" s="27">
        <v>107.5</v>
      </c>
      <c r="N122" s="27">
        <v>132.19999999999999</v>
      </c>
      <c r="O122" s="21">
        <v>135.4</v>
      </c>
      <c r="P122" s="21">
        <v>131.1</v>
      </c>
      <c r="Q122" s="22">
        <v>139.25</v>
      </c>
      <c r="R122" s="21">
        <v>128.5</v>
      </c>
      <c r="S122" s="21">
        <v>125.8</v>
      </c>
      <c r="T122" s="27">
        <v>115.1</v>
      </c>
      <c r="U122" s="27">
        <v>129.1</v>
      </c>
    </row>
    <row r="123" spans="1:21">
      <c r="A123" s="21" t="s">
        <v>33</v>
      </c>
      <c r="B123" s="26">
        <v>2016</v>
      </c>
      <c r="C123" s="21" t="s">
        <v>38</v>
      </c>
      <c r="D123" s="79">
        <f t="shared" si="1"/>
        <v>42491</v>
      </c>
      <c r="E123" s="27">
        <v>125</v>
      </c>
      <c r="F123" s="27">
        <v>142.1</v>
      </c>
      <c r="G123" s="27">
        <v>127</v>
      </c>
      <c r="H123" s="27">
        <v>130.4</v>
      </c>
      <c r="I123" s="27">
        <v>109.6</v>
      </c>
      <c r="J123" s="27">
        <v>133.5</v>
      </c>
      <c r="K123" s="27">
        <v>151.4</v>
      </c>
      <c r="L123" s="27">
        <v>182.8</v>
      </c>
      <c r="M123" s="27">
        <v>111.1</v>
      </c>
      <c r="N123" s="27">
        <v>141.5</v>
      </c>
      <c r="O123" s="21">
        <v>127.2</v>
      </c>
      <c r="P123" s="21">
        <v>120.7</v>
      </c>
      <c r="Q123" s="22">
        <v>126</v>
      </c>
      <c r="R123" s="21">
        <v>123.2</v>
      </c>
      <c r="S123" s="21">
        <v>120.3</v>
      </c>
      <c r="T123" s="27">
        <v>110.7</v>
      </c>
      <c r="U123" s="27">
        <v>128</v>
      </c>
    </row>
    <row r="124" spans="1:21">
      <c r="A124" s="21" t="s">
        <v>34</v>
      </c>
      <c r="B124" s="26">
        <v>2016</v>
      </c>
      <c r="C124" s="21" t="s">
        <v>38</v>
      </c>
      <c r="D124" s="79">
        <f t="shared" si="1"/>
        <v>42491</v>
      </c>
      <c r="E124" s="27">
        <v>126.8</v>
      </c>
      <c r="F124" s="27">
        <v>139.1</v>
      </c>
      <c r="G124" s="27">
        <v>125.4</v>
      </c>
      <c r="H124" s="27">
        <v>131.69999999999999</v>
      </c>
      <c r="I124" s="27">
        <v>115</v>
      </c>
      <c r="J124" s="27">
        <v>136</v>
      </c>
      <c r="K124" s="27">
        <v>145.1</v>
      </c>
      <c r="L124" s="27">
        <v>171.7</v>
      </c>
      <c r="M124" s="27">
        <v>108.7</v>
      </c>
      <c r="N124" s="27">
        <v>135.30000000000001</v>
      </c>
      <c r="O124" s="21">
        <v>132.19999999999999</v>
      </c>
      <c r="P124" s="21">
        <v>126.8</v>
      </c>
      <c r="Q124" s="22">
        <v>126</v>
      </c>
      <c r="R124" s="21">
        <v>126</v>
      </c>
      <c r="S124" s="21">
        <v>123.7</v>
      </c>
      <c r="T124" s="27">
        <v>112.8</v>
      </c>
      <c r="U124" s="27">
        <v>128.5</v>
      </c>
    </row>
    <row r="125" spans="1:21">
      <c r="A125" s="21" t="s">
        <v>30</v>
      </c>
      <c r="B125" s="26">
        <v>2016</v>
      </c>
      <c r="C125" s="21" t="s">
        <v>39</v>
      </c>
      <c r="D125" s="79">
        <f t="shared" si="1"/>
        <v>42522</v>
      </c>
      <c r="E125" s="27">
        <v>128.6</v>
      </c>
      <c r="F125" s="27">
        <v>138.6</v>
      </c>
      <c r="G125" s="27">
        <v>126.6</v>
      </c>
      <c r="H125" s="27">
        <v>133.6</v>
      </c>
      <c r="I125" s="27">
        <v>118.6</v>
      </c>
      <c r="J125" s="27">
        <v>137.4</v>
      </c>
      <c r="K125" s="27">
        <v>152.5</v>
      </c>
      <c r="L125" s="27">
        <v>169.2</v>
      </c>
      <c r="M125" s="27">
        <v>108.8</v>
      </c>
      <c r="N125" s="27">
        <v>133.1</v>
      </c>
      <c r="O125" s="21">
        <v>136.30000000000001</v>
      </c>
      <c r="P125" s="21">
        <v>131.6</v>
      </c>
      <c r="Q125" s="22">
        <v>139.25</v>
      </c>
      <c r="R125" s="21">
        <v>129.30000000000001</v>
      </c>
      <c r="S125" s="21">
        <v>126.2</v>
      </c>
      <c r="T125" s="27">
        <v>116.3</v>
      </c>
      <c r="U125" s="27">
        <v>130.19999999999999</v>
      </c>
    </row>
    <row r="126" spans="1:21">
      <c r="A126" s="21" t="s">
        <v>33</v>
      </c>
      <c r="B126" s="26">
        <v>2016</v>
      </c>
      <c r="C126" s="21" t="s">
        <v>39</v>
      </c>
      <c r="D126" s="79">
        <f t="shared" si="1"/>
        <v>42522</v>
      </c>
      <c r="E126" s="27">
        <v>125.9</v>
      </c>
      <c r="F126" s="27">
        <v>143.9</v>
      </c>
      <c r="G126" s="27">
        <v>130.9</v>
      </c>
      <c r="H126" s="27">
        <v>131</v>
      </c>
      <c r="I126" s="27">
        <v>110.2</v>
      </c>
      <c r="J126" s="27">
        <v>135.5</v>
      </c>
      <c r="K126" s="27">
        <v>173.7</v>
      </c>
      <c r="L126" s="27">
        <v>184.4</v>
      </c>
      <c r="M126" s="27">
        <v>112</v>
      </c>
      <c r="N126" s="27">
        <v>142.80000000000001</v>
      </c>
      <c r="O126" s="21">
        <v>127.6</v>
      </c>
      <c r="P126" s="21">
        <v>121.1</v>
      </c>
      <c r="Q126" s="22">
        <v>125.5</v>
      </c>
      <c r="R126" s="21">
        <v>123.2</v>
      </c>
      <c r="S126" s="21">
        <v>120.6</v>
      </c>
      <c r="T126" s="27">
        <v>112.3</v>
      </c>
      <c r="U126" s="27">
        <v>129.30000000000001</v>
      </c>
    </row>
    <row r="127" spans="1:21">
      <c r="A127" s="21" t="s">
        <v>34</v>
      </c>
      <c r="B127" s="26">
        <v>2016</v>
      </c>
      <c r="C127" s="21" t="s">
        <v>39</v>
      </c>
      <c r="D127" s="79">
        <f t="shared" si="1"/>
        <v>42522</v>
      </c>
      <c r="E127" s="27">
        <v>127.7</v>
      </c>
      <c r="F127" s="27">
        <v>140.5</v>
      </c>
      <c r="G127" s="27">
        <v>128.30000000000001</v>
      </c>
      <c r="H127" s="27">
        <v>132.6</v>
      </c>
      <c r="I127" s="27">
        <v>115.5</v>
      </c>
      <c r="J127" s="27">
        <v>136.5</v>
      </c>
      <c r="K127" s="27">
        <v>159.69999999999999</v>
      </c>
      <c r="L127" s="27">
        <v>174.3</v>
      </c>
      <c r="M127" s="27">
        <v>109.9</v>
      </c>
      <c r="N127" s="27">
        <v>136.30000000000001</v>
      </c>
      <c r="O127" s="21">
        <v>132.9</v>
      </c>
      <c r="P127" s="21">
        <v>127.2</v>
      </c>
      <c r="Q127" s="22">
        <v>125.5</v>
      </c>
      <c r="R127" s="21">
        <v>126.4</v>
      </c>
      <c r="S127" s="21">
        <v>124.1</v>
      </c>
      <c r="T127" s="27">
        <v>114.2</v>
      </c>
      <c r="U127" s="27">
        <v>129.69999999999999</v>
      </c>
    </row>
    <row r="128" spans="1:21">
      <c r="A128" s="21" t="s">
        <v>30</v>
      </c>
      <c r="B128" s="26">
        <v>2016</v>
      </c>
      <c r="C128" s="21" t="s">
        <v>40</v>
      </c>
      <c r="D128" s="79">
        <f t="shared" si="1"/>
        <v>42552</v>
      </c>
      <c r="E128" s="27">
        <v>129.30000000000001</v>
      </c>
      <c r="F128" s="27">
        <v>139.5</v>
      </c>
      <c r="G128" s="27">
        <v>129.6</v>
      </c>
      <c r="H128" s="27">
        <v>134.5</v>
      </c>
      <c r="I128" s="27">
        <v>119.5</v>
      </c>
      <c r="J128" s="27">
        <v>138.5</v>
      </c>
      <c r="K128" s="27">
        <v>158.19999999999999</v>
      </c>
      <c r="L128" s="27">
        <v>171.8</v>
      </c>
      <c r="M128" s="27">
        <v>110.3</v>
      </c>
      <c r="N128" s="27">
        <v>134.30000000000001</v>
      </c>
      <c r="O128" s="21">
        <v>137.19999999999999</v>
      </c>
      <c r="P128" s="21">
        <v>132.19999999999999</v>
      </c>
      <c r="Q128" s="22">
        <v>139.25</v>
      </c>
      <c r="R128" s="21">
        <v>130</v>
      </c>
      <c r="S128" s="21">
        <v>126.7</v>
      </c>
      <c r="T128" s="27">
        <v>116.4</v>
      </c>
      <c r="U128" s="27">
        <v>130.80000000000001</v>
      </c>
    </row>
    <row r="129" spans="1:21">
      <c r="A129" s="21" t="s">
        <v>33</v>
      </c>
      <c r="B129" s="26">
        <v>2016</v>
      </c>
      <c r="C129" s="21" t="s">
        <v>40</v>
      </c>
      <c r="D129" s="79">
        <f t="shared" si="1"/>
        <v>42552</v>
      </c>
      <c r="E129" s="27">
        <v>126.8</v>
      </c>
      <c r="F129" s="27">
        <v>144.19999999999999</v>
      </c>
      <c r="G129" s="27">
        <v>136.6</v>
      </c>
      <c r="H129" s="27">
        <v>131.80000000000001</v>
      </c>
      <c r="I129" s="27">
        <v>111</v>
      </c>
      <c r="J129" s="27">
        <v>137</v>
      </c>
      <c r="K129" s="27">
        <v>179.5</v>
      </c>
      <c r="L129" s="27">
        <v>188.4</v>
      </c>
      <c r="M129" s="27">
        <v>113.3</v>
      </c>
      <c r="N129" s="27">
        <v>143.9</v>
      </c>
      <c r="O129" s="21">
        <v>127.9</v>
      </c>
      <c r="P129" s="21">
        <v>121.1</v>
      </c>
      <c r="Q129" s="22">
        <v>126.4</v>
      </c>
      <c r="R129" s="21">
        <v>123.5</v>
      </c>
      <c r="S129" s="21">
        <v>120.9</v>
      </c>
      <c r="T129" s="27">
        <v>111.7</v>
      </c>
      <c r="U129" s="27">
        <v>130.80000000000001</v>
      </c>
    </row>
    <row r="130" spans="1:21">
      <c r="A130" s="21" t="s">
        <v>34</v>
      </c>
      <c r="B130" s="26">
        <v>2016</v>
      </c>
      <c r="C130" s="21" t="s">
        <v>40</v>
      </c>
      <c r="D130" s="79">
        <f t="shared" si="1"/>
        <v>42552</v>
      </c>
      <c r="E130" s="27">
        <v>128.5</v>
      </c>
      <c r="F130" s="27">
        <v>141.19999999999999</v>
      </c>
      <c r="G130" s="27">
        <v>132.30000000000001</v>
      </c>
      <c r="H130" s="27">
        <v>133.5</v>
      </c>
      <c r="I130" s="27">
        <v>116.4</v>
      </c>
      <c r="J130" s="27">
        <v>137.80000000000001</v>
      </c>
      <c r="K130" s="27">
        <v>165.4</v>
      </c>
      <c r="L130" s="27">
        <v>177.4</v>
      </c>
      <c r="M130" s="27">
        <v>111.3</v>
      </c>
      <c r="N130" s="27">
        <v>137.5</v>
      </c>
      <c r="O130" s="21">
        <v>133.5</v>
      </c>
      <c r="P130" s="21">
        <v>127.6</v>
      </c>
      <c r="Q130" s="22">
        <v>126.4</v>
      </c>
      <c r="R130" s="21">
        <v>126.9</v>
      </c>
      <c r="S130" s="21">
        <v>124.5</v>
      </c>
      <c r="T130" s="27">
        <v>113.9</v>
      </c>
      <c r="U130" s="27">
        <v>130.80000000000001</v>
      </c>
    </row>
    <row r="131" spans="1:21">
      <c r="A131" s="21" t="s">
        <v>30</v>
      </c>
      <c r="B131" s="26">
        <v>2016</v>
      </c>
      <c r="C131" s="21" t="s">
        <v>41</v>
      </c>
      <c r="D131" s="79">
        <f t="shared" ref="D131:D194" si="2">DATE(B131,MONTH(1&amp;C131),1)</f>
        <v>42583</v>
      </c>
      <c r="E131" s="27">
        <v>130.1</v>
      </c>
      <c r="F131" s="27">
        <v>138.80000000000001</v>
      </c>
      <c r="G131" s="27">
        <v>130.30000000000001</v>
      </c>
      <c r="H131" s="27">
        <v>135.30000000000001</v>
      </c>
      <c r="I131" s="27">
        <v>119.9</v>
      </c>
      <c r="J131" s="27">
        <v>140.19999999999999</v>
      </c>
      <c r="K131" s="27">
        <v>156.9</v>
      </c>
      <c r="L131" s="27">
        <v>172.2</v>
      </c>
      <c r="M131" s="27">
        <v>112.1</v>
      </c>
      <c r="N131" s="27">
        <v>134.9</v>
      </c>
      <c r="O131" s="21">
        <v>137.80000000000001</v>
      </c>
      <c r="P131" s="21">
        <v>133</v>
      </c>
      <c r="Q131" s="22">
        <v>139.25</v>
      </c>
      <c r="R131" s="21">
        <v>130.6</v>
      </c>
      <c r="S131" s="21">
        <v>127</v>
      </c>
      <c r="T131" s="27">
        <v>116</v>
      </c>
      <c r="U131" s="27">
        <v>131.9</v>
      </c>
    </row>
    <row r="132" spans="1:21">
      <c r="A132" s="21" t="s">
        <v>33</v>
      </c>
      <c r="B132" s="26">
        <v>2016</v>
      </c>
      <c r="C132" s="21" t="s">
        <v>41</v>
      </c>
      <c r="D132" s="79">
        <f t="shared" si="2"/>
        <v>42583</v>
      </c>
      <c r="E132" s="27">
        <v>127.6</v>
      </c>
      <c r="F132" s="27">
        <v>140.30000000000001</v>
      </c>
      <c r="G132" s="27">
        <v>133.69999999999999</v>
      </c>
      <c r="H132" s="27">
        <v>132.19999999999999</v>
      </c>
      <c r="I132" s="27">
        <v>111.8</v>
      </c>
      <c r="J132" s="27">
        <v>135.80000000000001</v>
      </c>
      <c r="K132" s="27">
        <v>163.5</v>
      </c>
      <c r="L132" s="27">
        <v>182.3</v>
      </c>
      <c r="M132" s="27">
        <v>114.6</v>
      </c>
      <c r="N132" s="27">
        <v>144.6</v>
      </c>
      <c r="O132" s="21">
        <v>128.30000000000001</v>
      </c>
      <c r="P132" s="21">
        <v>121.4</v>
      </c>
      <c r="Q132" s="22">
        <v>127.3</v>
      </c>
      <c r="R132" s="21">
        <v>123.9</v>
      </c>
      <c r="S132" s="21">
        <v>121.2</v>
      </c>
      <c r="T132" s="27">
        <v>110.4</v>
      </c>
      <c r="U132" s="27">
        <v>131.5</v>
      </c>
    </row>
    <row r="133" spans="1:21">
      <c r="A133" s="21" t="s">
        <v>34</v>
      </c>
      <c r="B133" s="26">
        <v>2016</v>
      </c>
      <c r="C133" s="21" t="s">
        <v>41</v>
      </c>
      <c r="D133" s="79">
        <f t="shared" si="2"/>
        <v>42583</v>
      </c>
      <c r="E133" s="27">
        <v>129.30000000000001</v>
      </c>
      <c r="F133" s="27">
        <v>139.30000000000001</v>
      </c>
      <c r="G133" s="27">
        <v>131.6</v>
      </c>
      <c r="H133" s="27">
        <v>134.1</v>
      </c>
      <c r="I133" s="27">
        <v>116.9</v>
      </c>
      <c r="J133" s="27">
        <v>138.1</v>
      </c>
      <c r="K133" s="27">
        <v>159.1</v>
      </c>
      <c r="L133" s="27">
        <v>175.6</v>
      </c>
      <c r="M133" s="27">
        <v>112.9</v>
      </c>
      <c r="N133" s="27">
        <v>138.1</v>
      </c>
      <c r="O133" s="21">
        <v>134.1</v>
      </c>
      <c r="P133" s="21">
        <v>128.19999999999999</v>
      </c>
      <c r="Q133" s="22">
        <v>127.3</v>
      </c>
      <c r="R133" s="21">
        <v>127.4</v>
      </c>
      <c r="S133" s="21">
        <v>124.8</v>
      </c>
      <c r="T133" s="27">
        <v>113.1</v>
      </c>
      <c r="U133" s="27">
        <v>131.69999999999999</v>
      </c>
    </row>
    <row r="134" spans="1:21">
      <c r="A134" s="21" t="s">
        <v>30</v>
      </c>
      <c r="B134" s="26">
        <v>2016</v>
      </c>
      <c r="C134" s="21" t="s">
        <v>42</v>
      </c>
      <c r="D134" s="79">
        <f t="shared" si="2"/>
        <v>42614</v>
      </c>
      <c r="E134" s="27">
        <v>130.80000000000001</v>
      </c>
      <c r="F134" s="27">
        <v>138.19999999999999</v>
      </c>
      <c r="G134" s="27">
        <v>130.5</v>
      </c>
      <c r="H134" s="27">
        <v>135.5</v>
      </c>
      <c r="I134" s="27">
        <v>120.2</v>
      </c>
      <c r="J134" s="27">
        <v>139.19999999999999</v>
      </c>
      <c r="K134" s="27">
        <v>149.5</v>
      </c>
      <c r="L134" s="27">
        <v>170.4</v>
      </c>
      <c r="M134" s="27">
        <v>113.1</v>
      </c>
      <c r="N134" s="27">
        <v>135.80000000000001</v>
      </c>
      <c r="O134" s="21">
        <v>138.5</v>
      </c>
      <c r="P134" s="21">
        <v>133.5</v>
      </c>
      <c r="Q134" s="22">
        <v>139.25</v>
      </c>
      <c r="R134" s="21">
        <v>131.1</v>
      </c>
      <c r="S134" s="21">
        <v>127.8</v>
      </c>
      <c r="T134" s="27">
        <v>117</v>
      </c>
      <c r="U134" s="27">
        <v>132.19999999999999</v>
      </c>
    </row>
    <row r="135" spans="1:21">
      <c r="A135" s="21" t="s">
        <v>33</v>
      </c>
      <c r="B135" s="26">
        <v>2016</v>
      </c>
      <c r="C135" s="21" t="s">
        <v>42</v>
      </c>
      <c r="D135" s="79">
        <f t="shared" si="2"/>
        <v>42614</v>
      </c>
      <c r="E135" s="27">
        <v>128.1</v>
      </c>
      <c r="F135" s="27">
        <v>137.69999999999999</v>
      </c>
      <c r="G135" s="27">
        <v>130.6</v>
      </c>
      <c r="H135" s="27">
        <v>132.6</v>
      </c>
      <c r="I135" s="27">
        <v>111.9</v>
      </c>
      <c r="J135" s="27">
        <v>132.5</v>
      </c>
      <c r="K135" s="27">
        <v>152.9</v>
      </c>
      <c r="L135" s="27">
        <v>173.6</v>
      </c>
      <c r="M135" s="27">
        <v>115.1</v>
      </c>
      <c r="N135" s="27">
        <v>144.80000000000001</v>
      </c>
      <c r="O135" s="21">
        <v>128.69999999999999</v>
      </c>
      <c r="P135" s="21">
        <v>121.6</v>
      </c>
      <c r="Q135" s="22">
        <v>127.9</v>
      </c>
      <c r="R135" s="21">
        <v>124.3</v>
      </c>
      <c r="S135" s="21">
        <v>121.4</v>
      </c>
      <c r="T135" s="27">
        <v>111.8</v>
      </c>
      <c r="U135" s="27">
        <v>131.6</v>
      </c>
    </row>
    <row r="136" spans="1:21">
      <c r="A136" s="21" t="s">
        <v>34</v>
      </c>
      <c r="B136" s="26">
        <v>2016</v>
      </c>
      <c r="C136" s="21" t="s">
        <v>42</v>
      </c>
      <c r="D136" s="79">
        <f t="shared" si="2"/>
        <v>42614</v>
      </c>
      <c r="E136" s="27">
        <v>129.9</v>
      </c>
      <c r="F136" s="27">
        <v>138</v>
      </c>
      <c r="G136" s="27">
        <v>130.5</v>
      </c>
      <c r="H136" s="27">
        <v>134.4</v>
      </c>
      <c r="I136" s="27">
        <v>117.2</v>
      </c>
      <c r="J136" s="27">
        <v>136.1</v>
      </c>
      <c r="K136" s="27">
        <v>150.69999999999999</v>
      </c>
      <c r="L136" s="27">
        <v>171.5</v>
      </c>
      <c r="M136" s="27">
        <v>113.8</v>
      </c>
      <c r="N136" s="27">
        <v>138.80000000000001</v>
      </c>
      <c r="O136" s="21">
        <v>134.6</v>
      </c>
      <c r="P136" s="21">
        <v>128.6</v>
      </c>
      <c r="Q136" s="22">
        <v>127.9</v>
      </c>
      <c r="R136" s="21">
        <v>127.9</v>
      </c>
      <c r="S136" s="21">
        <v>125.4</v>
      </c>
      <c r="T136" s="27">
        <v>114.3</v>
      </c>
      <c r="U136" s="27">
        <v>131.80000000000001</v>
      </c>
    </row>
    <row r="137" spans="1:21">
      <c r="A137" s="21" t="s">
        <v>30</v>
      </c>
      <c r="B137" s="26">
        <v>2016</v>
      </c>
      <c r="C137" s="21" t="s">
        <v>43</v>
      </c>
      <c r="D137" s="79">
        <f t="shared" si="2"/>
        <v>42644</v>
      </c>
      <c r="E137" s="27">
        <v>131.30000000000001</v>
      </c>
      <c r="F137" s="27">
        <v>137.6</v>
      </c>
      <c r="G137" s="27">
        <v>130.1</v>
      </c>
      <c r="H137" s="27">
        <v>136</v>
      </c>
      <c r="I137" s="27">
        <v>120.8</v>
      </c>
      <c r="J137" s="27">
        <v>138.4</v>
      </c>
      <c r="K137" s="27">
        <v>149.19999999999999</v>
      </c>
      <c r="L137" s="27">
        <v>170.2</v>
      </c>
      <c r="M137" s="27">
        <v>113.4</v>
      </c>
      <c r="N137" s="27">
        <v>136.30000000000001</v>
      </c>
      <c r="O137" s="21">
        <v>139.6</v>
      </c>
      <c r="P137" s="21">
        <v>134.30000000000001</v>
      </c>
      <c r="Q137" s="22">
        <v>139.25</v>
      </c>
      <c r="R137" s="21">
        <v>131.80000000000001</v>
      </c>
      <c r="S137" s="21">
        <v>128.69999999999999</v>
      </c>
      <c r="T137" s="27">
        <v>117.8</v>
      </c>
      <c r="U137" s="27">
        <v>133</v>
      </c>
    </row>
    <row r="138" spans="1:21">
      <c r="A138" s="21" t="s">
        <v>33</v>
      </c>
      <c r="B138" s="26">
        <v>2016</v>
      </c>
      <c r="C138" s="21" t="s">
        <v>43</v>
      </c>
      <c r="D138" s="79">
        <f t="shared" si="2"/>
        <v>42644</v>
      </c>
      <c r="E138" s="27">
        <v>128.69999999999999</v>
      </c>
      <c r="F138" s="27">
        <v>138.4</v>
      </c>
      <c r="G138" s="27">
        <v>130.30000000000001</v>
      </c>
      <c r="H138" s="27">
        <v>132.69999999999999</v>
      </c>
      <c r="I138" s="27">
        <v>112.5</v>
      </c>
      <c r="J138" s="27">
        <v>130.4</v>
      </c>
      <c r="K138" s="27">
        <v>155.1</v>
      </c>
      <c r="L138" s="27">
        <v>175.7</v>
      </c>
      <c r="M138" s="27">
        <v>115.4</v>
      </c>
      <c r="N138" s="27">
        <v>145.30000000000001</v>
      </c>
      <c r="O138" s="21">
        <v>129.1</v>
      </c>
      <c r="P138" s="21">
        <v>121.9</v>
      </c>
      <c r="Q138" s="22">
        <v>128.69999999999999</v>
      </c>
      <c r="R138" s="21">
        <v>124.5</v>
      </c>
      <c r="S138" s="21">
        <v>121.8</v>
      </c>
      <c r="T138" s="27">
        <v>112.8</v>
      </c>
      <c r="U138" s="27">
        <v>131.9</v>
      </c>
    </row>
    <row r="139" spans="1:21">
      <c r="A139" s="21" t="s">
        <v>34</v>
      </c>
      <c r="B139" s="26">
        <v>2016</v>
      </c>
      <c r="C139" s="21" t="s">
        <v>43</v>
      </c>
      <c r="D139" s="79">
        <f t="shared" si="2"/>
        <v>42644</v>
      </c>
      <c r="E139" s="27">
        <v>130.5</v>
      </c>
      <c r="F139" s="27">
        <v>137.9</v>
      </c>
      <c r="G139" s="27">
        <v>130.19999999999999</v>
      </c>
      <c r="H139" s="27">
        <v>134.80000000000001</v>
      </c>
      <c r="I139" s="27">
        <v>117.8</v>
      </c>
      <c r="J139" s="27">
        <v>134.69999999999999</v>
      </c>
      <c r="K139" s="27">
        <v>151.19999999999999</v>
      </c>
      <c r="L139" s="27">
        <v>172.1</v>
      </c>
      <c r="M139" s="27">
        <v>114.1</v>
      </c>
      <c r="N139" s="27">
        <v>139.30000000000001</v>
      </c>
      <c r="O139" s="21">
        <v>135.5</v>
      </c>
      <c r="P139" s="21">
        <v>129.1</v>
      </c>
      <c r="Q139" s="22">
        <v>128.69999999999999</v>
      </c>
      <c r="R139" s="21">
        <v>128.4</v>
      </c>
      <c r="S139" s="21">
        <v>126.1</v>
      </c>
      <c r="T139" s="27">
        <v>115.2</v>
      </c>
      <c r="U139" s="27">
        <v>132.4</v>
      </c>
    </row>
    <row r="140" spans="1:21">
      <c r="A140" s="21" t="s">
        <v>30</v>
      </c>
      <c r="B140" s="26">
        <v>2016</v>
      </c>
      <c r="C140" s="21" t="s">
        <v>45</v>
      </c>
      <c r="D140" s="79">
        <f t="shared" si="2"/>
        <v>42675</v>
      </c>
      <c r="E140" s="27">
        <v>132</v>
      </c>
      <c r="F140" s="27">
        <v>137.4</v>
      </c>
      <c r="G140" s="27">
        <v>130.6</v>
      </c>
      <c r="H140" s="27">
        <v>136.19999999999999</v>
      </c>
      <c r="I140" s="27">
        <v>121.1</v>
      </c>
      <c r="J140" s="27">
        <v>136.9</v>
      </c>
      <c r="K140" s="27">
        <v>141.80000000000001</v>
      </c>
      <c r="L140" s="27">
        <v>170</v>
      </c>
      <c r="M140" s="27">
        <v>113.4</v>
      </c>
      <c r="N140" s="27">
        <v>136.80000000000001</v>
      </c>
      <c r="O140" s="21">
        <v>139.9</v>
      </c>
      <c r="P140" s="21">
        <v>134.5</v>
      </c>
      <c r="Q140" s="22">
        <v>139.25</v>
      </c>
      <c r="R140" s="21">
        <v>132.1</v>
      </c>
      <c r="S140" s="21">
        <v>129.1</v>
      </c>
      <c r="T140" s="27">
        <v>118.2</v>
      </c>
      <c r="U140" s="27">
        <v>133.69999999999999</v>
      </c>
    </row>
    <row r="141" spans="1:21">
      <c r="A141" s="21" t="s">
        <v>33</v>
      </c>
      <c r="B141" s="26">
        <v>2016</v>
      </c>
      <c r="C141" s="21" t="s">
        <v>45</v>
      </c>
      <c r="D141" s="79">
        <f t="shared" si="2"/>
        <v>42675</v>
      </c>
      <c r="E141" s="27">
        <v>130.19999999999999</v>
      </c>
      <c r="F141" s="27">
        <v>138.5</v>
      </c>
      <c r="G141" s="27">
        <v>134.1</v>
      </c>
      <c r="H141" s="27">
        <v>132.9</v>
      </c>
      <c r="I141" s="27">
        <v>112.6</v>
      </c>
      <c r="J141" s="27">
        <v>130.80000000000001</v>
      </c>
      <c r="K141" s="27">
        <v>142</v>
      </c>
      <c r="L141" s="27">
        <v>174.9</v>
      </c>
      <c r="M141" s="27">
        <v>115.6</v>
      </c>
      <c r="N141" s="27">
        <v>145.4</v>
      </c>
      <c r="O141" s="21">
        <v>129.6</v>
      </c>
      <c r="P141" s="21">
        <v>122.1</v>
      </c>
      <c r="Q141" s="22">
        <v>129.1</v>
      </c>
      <c r="R141" s="21">
        <v>124.7</v>
      </c>
      <c r="S141" s="21">
        <v>122.1</v>
      </c>
      <c r="T141" s="27">
        <v>113.4</v>
      </c>
      <c r="U141" s="27">
        <v>132.1</v>
      </c>
    </row>
    <row r="142" spans="1:21">
      <c r="A142" s="21" t="s">
        <v>34</v>
      </c>
      <c r="B142" s="26">
        <v>2016</v>
      </c>
      <c r="C142" s="21" t="s">
        <v>45</v>
      </c>
      <c r="D142" s="79">
        <f t="shared" si="2"/>
        <v>42675</v>
      </c>
      <c r="E142" s="27">
        <v>131.4</v>
      </c>
      <c r="F142" s="27">
        <v>137.80000000000001</v>
      </c>
      <c r="G142" s="27">
        <v>132</v>
      </c>
      <c r="H142" s="27">
        <v>135</v>
      </c>
      <c r="I142" s="27">
        <v>118</v>
      </c>
      <c r="J142" s="27">
        <v>134.1</v>
      </c>
      <c r="K142" s="27">
        <v>141.9</v>
      </c>
      <c r="L142" s="27">
        <v>171.7</v>
      </c>
      <c r="M142" s="27">
        <v>114.1</v>
      </c>
      <c r="N142" s="27">
        <v>139.69999999999999</v>
      </c>
      <c r="O142" s="21">
        <v>135.80000000000001</v>
      </c>
      <c r="P142" s="21">
        <v>129.30000000000001</v>
      </c>
      <c r="Q142" s="22">
        <v>129.1</v>
      </c>
      <c r="R142" s="21">
        <v>128.6</v>
      </c>
      <c r="S142" s="21">
        <v>126.4</v>
      </c>
      <c r="T142" s="27">
        <v>115.7</v>
      </c>
      <c r="U142" s="27">
        <v>132.80000000000001</v>
      </c>
    </row>
    <row r="143" spans="1:21">
      <c r="A143" s="21" t="s">
        <v>30</v>
      </c>
      <c r="B143" s="26">
        <v>2016</v>
      </c>
      <c r="C143" s="21" t="s">
        <v>46</v>
      </c>
      <c r="D143" s="79">
        <f t="shared" si="2"/>
        <v>42705</v>
      </c>
      <c r="E143" s="27">
        <v>132.6</v>
      </c>
      <c r="F143" s="27">
        <v>137.30000000000001</v>
      </c>
      <c r="G143" s="27">
        <v>131.6</v>
      </c>
      <c r="H143" s="27">
        <v>136.30000000000001</v>
      </c>
      <c r="I143" s="27">
        <v>121.6</v>
      </c>
      <c r="J143" s="27">
        <v>135.6</v>
      </c>
      <c r="K143" s="27">
        <v>127.5</v>
      </c>
      <c r="L143" s="27">
        <v>167.9</v>
      </c>
      <c r="M143" s="27">
        <v>113.8</v>
      </c>
      <c r="N143" s="27">
        <v>137.5</v>
      </c>
      <c r="O143" s="21">
        <v>140.4</v>
      </c>
      <c r="P143" s="21">
        <v>135.19999999999999</v>
      </c>
      <c r="Q143" s="22">
        <v>139.25</v>
      </c>
      <c r="R143" s="21">
        <v>132.9</v>
      </c>
      <c r="S143" s="21">
        <v>129.69999999999999</v>
      </c>
      <c r="T143" s="27">
        <v>118.6</v>
      </c>
      <c r="U143" s="27">
        <v>134.19999999999999</v>
      </c>
    </row>
    <row r="144" spans="1:21">
      <c r="A144" s="21" t="s">
        <v>33</v>
      </c>
      <c r="B144" s="26">
        <v>2016</v>
      </c>
      <c r="C144" s="21" t="s">
        <v>46</v>
      </c>
      <c r="D144" s="79">
        <f t="shared" si="2"/>
        <v>42705</v>
      </c>
      <c r="E144" s="27">
        <v>131.6</v>
      </c>
      <c r="F144" s="27">
        <v>138.19999999999999</v>
      </c>
      <c r="G144" s="27">
        <v>134.9</v>
      </c>
      <c r="H144" s="27">
        <v>133.1</v>
      </c>
      <c r="I144" s="27">
        <v>113.5</v>
      </c>
      <c r="J144" s="27">
        <v>129.30000000000001</v>
      </c>
      <c r="K144" s="27">
        <v>121.1</v>
      </c>
      <c r="L144" s="27">
        <v>170.3</v>
      </c>
      <c r="M144" s="27">
        <v>115.5</v>
      </c>
      <c r="N144" s="27">
        <v>145.5</v>
      </c>
      <c r="O144" s="21">
        <v>130</v>
      </c>
      <c r="P144" s="21">
        <v>122.2</v>
      </c>
      <c r="Q144" s="22">
        <v>128.5</v>
      </c>
      <c r="R144" s="21">
        <v>125</v>
      </c>
      <c r="S144" s="21">
        <v>122.3</v>
      </c>
      <c r="T144" s="27">
        <v>113.7</v>
      </c>
      <c r="U144" s="27">
        <v>132.30000000000001</v>
      </c>
    </row>
    <row r="145" spans="1:21">
      <c r="A145" s="21" t="s">
        <v>34</v>
      </c>
      <c r="B145" s="26">
        <v>2016</v>
      </c>
      <c r="C145" s="21" t="s">
        <v>46</v>
      </c>
      <c r="D145" s="79">
        <f t="shared" si="2"/>
        <v>42705</v>
      </c>
      <c r="E145" s="27">
        <v>132.30000000000001</v>
      </c>
      <c r="F145" s="27">
        <v>137.6</v>
      </c>
      <c r="G145" s="27">
        <v>132.9</v>
      </c>
      <c r="H145" s="27">
        <v>135.1</v>
      </c>
      <c r="I145" s="27">
        <v>118.6</v>
      </c>
      <c r="J145" s="27">
        <v>132.69999999999999</v>
      </c>
      <c r="K145" s="27">
        <v>125.3</v>
      </c>
      <c r="L145" s="27">
        <v>168.7</v>
      </c>
      <c r="M145" s="27">
        <v>114.4</v>
      </c>
      <c r="N145" s="27">
        <v>140.19999999999999</v>
      </c>
      <c r="O145" s="21">
        <v>136.30000000000001</v>
      </c>
      <c r="P145" s="21">
        <v>129.80000000000001</v>
      </c>
      <c r="Q145" s="22">
        <v>128.5</v>
      </c>
      <c r="R145" s="21">
        <v>129.19999999999999</v>
      </c>
      <c r="S145" s="21">
        <v>126.9</v>
      </c>
      <c r="T145" s="27">
        <v>116</v>
      </c>
      <c r="U145" s="27">
        <v>133.1</v>
      </c>
    </row>
    <row r="146" spans="1:21">
      <c r="A146" s="21" t="s">
        <v>30</v>
      </c>
      <c r="B146" s="26">
        <v>2017</v>
      </c>
      <c r="C146" s="21" t="s">
        <v>31</v>
      </c>
      <c r="D146" s="79">
        <f t="shared" si="2"/>
        <v>42736</v>
      </c>
      <c r="E146" s="27">
        <v>133.1</v>
      </c>
      <c r="F146" s="27">
        <v>137.80000000000001</v>
      </c>
      <c r="G146" s="27">
        <v>131.9</v>
      </c>
      <c r="H146" s="27">
        <v>136.69999999999999</v>
      </c>
      <c r="I146" s="27">
        <v>122</v>
      </c>
      <c r="J146" s="27">
        <v>136</v>
      </c>
      <c r="K146" s="27">
        <v>119.8</v>
      </c>
      <c r="L146" s="27">
        <v>161.69999999999999</v>
      </c>
      <c r="M146" s="27">
        <v>114.8</v>
      </c>
      <c r="N146" s="27">
        <v>136.9</v>
      </c>
      <c r="O146" s="21">
        <v>140.69999999999999</v>
      </c>
      <c r="P146" s="21">
        <v>135.80000000000001</v>
      </c>
      <c r="Q146" s="22">
        <v>139.25</v>
      </c>
      <c r="R146" s="21">
        <v>133.19999999999999</v>
      </c>
      <c r="S146" s="21">
        <v>129.9</v>
      </c>
      <c r="T146" s="27">
        <v>119.1</v>
      </c>
      <c r="U146" s="27">
        <v>134.6</v>
      </c>
    </row>
    <row r="147" spans="1:21">
      <c r="A147" s="21" t="s">
        <v>33</v>
      </c>
      <c r="B147" s="26">
        <v>2017</v>
      </c>
      <c r="C147" s="21" t="s">
        <v>31</v>
      </c>
      <c r="D147" s="79">
        <f t="shared" si="2"/>
        <v>42736</v>
      </c>
      <c r="E147" s="27">
        <v>132.19999999999999</v>
      </c>
      <c r="F147" s="27">
        <v>138.9</v>
      </c>
      <c r="G147" s="27">
        <v>132.6</v>
      </c>
      <c r="H147" s="27">
        <v>133.1</v>
      </c>
      <c r="I147" s="27">
        <v>114</v>
      </c>
      <c r="J147" s="27">
        <v>129.6</v>
      </c>
      <c r="K147" s="27">
        <v>118.7</v>
      </c>
      <c r="L147" s="27">
        <v>155.1</v>
      </c>
      <c r="M147" s="27">
        <v>117.3</v>
      </c>
      <c r="N147" s="27">
        <v>144.9</v>
      </c>
      <c r="O147" s="21">
        <v>130.19999999999999</v>
      </c>
      <c r="P147" s="21">
        <v>122.3</v>
      </c>
      <c r="Q147" s="22">
        <v>129.6</v>
      </c>
      <c r="R147" s="21">
        <v>125.1</v>
      </c>
      <c r="S147" s="21">
        <v>122.6</v>
      </c>
      <c r="T147" s="27">
        <v>115.2</v>
      </c>
      <c r="U147" s="27">
        <v>132.4</v>
      </c>
    </row>
    <row r="148" spans="1:21">
      <c r="A148" s="21" t="s">
        <v>34</v>
      </c>
      <c r="B148" s="26">
        <v>2017</v>
      </c>
      <c r="C148" s="21" t="s">
        <v>31</v>
      </c>
      <c r="D148" s="79">
        <f t="shared" si="2"/>
        <v>42736</v>
      </c>
      <c r="E148" s="27">
        <v>132.80000000000001</v>
      </c>
      <c r="F148" s="27">
        <v>138.19999999999999</v>
      </c>
      <c r="G148" s="27">
        <v>132.19999999999999</v>
      </c>
      <c r="H148" s="27">
        <v>135.4</v>
      </c>
      <c r="I148" s="27">
        <v>119.1</v>
      </c>
      <c r="J148" s="27">
        <v>133</v>
      </c>
      <c r="K148" s="27">
        <v>119.4</v>
      </c>
      <c r="L148" s="27">
        <v>159.5</v>
      </c>
      <c r="M148" s="27">
        <v>115.6</v>
      </c>
      <c r="N148" s="27">
        <v>139.6</v>
      </c>
      <c r="O148" s="21">
        <v>136.6</v>
      </c>
      <c r="P148" s="21">
        <v>130.19999999999999</v>
      </c>
      <c r="Q148" s="22">
        <v>129.6</v>
      </c>
      <c r="R148" s="21">
        <v>129.4</v>
      </c>
      <c r="S148" s="21">
        <v>127.1</v>
      </c>
      <c r="T148" s="27">
        <v>117</v>
      </c>
      <c r="U148" s="27">
        <v>133.30000000000001</v>
      </c>
    </row>
    <row r="149" spans="1:21">
      <c r="A149" s="21" t="s">
        <v>30</v>
      </c>
      <c r="B149" s="26">
        <v>2017</v>
      </c>
      <c r="C149" s="21" t="s">
        <v>35</v>
      </c>
      <c r="D149" s="79">
        <f t="shared" si="2"/>
        <v>42767</v>
      </c>
      <c r="E149" s="27">
        <v>133.30000000000001</v>
      </c>
      <c r="F149" s="27">
        <v>138.30000000000001</v>
      </c>
      <c r="G149" s="27">
        <v>129.30000000000001</v>
      </c>
      <c r="H149" s="27">
        <v>137.19999999999999</v>
      </c>
      <c r="I149" s="27">
        <v>122.1</v>
      </c>
      <c r="J149" s="27">
        <v>138.69999999999999</v>
      </c>
      <c r="K149" s="27">
        <v>119.1</v>
      </c>
      <c r="L149" s="27">
        <v>156.9</v>
      </c>
      <c r="M149" s="27">
        <v>116.2</v>
      </c>
      <c r="N149" s="27">
        <v>136</v>
      </c>
      <c r="O149" s="21">
        <v>140.9</v>
      </c>
      <c r="P149" s="21">
        <v>135.80000000000001</v>
      </c>
      <c r="Q149" s="22">
        <v>139.25</v>
      </c>
      <c r="R149" s="21">
        <v>133.6</v>
      </c>
      <c r="S149" s="21">
        <v>130.1</v>
      </c>
      <c r="T149" s="27">
        <v>119.5</v>
      </c>
      <c r="U149" s="27">
        <v>134.9</v>
      </c>
    </row>
    <row r="150" spans="1:21">
      <c r="A150" s="21" t="s">
        <v>33</v>
      </c>
      <c r="B150" s="26">
        <v>2017</v>
      </c>
      <c r="C150" s="21" t="s">
        <v>35</v>
      </c>
      <c r="D150" s="79">
        <f t="shared" si="2"/>
        <v>42767</v>
      </c>
      <c r="E150" s="27">
        <v>132.80000000000001</v>
      </c>
      <c r="F150" s="27">
        <v>139.80000000000001</v>
      </c>
      <c r="G150" s="27">
        <v>129.30000000000001</v>
      </c>
      <c r="H150" s="27">
        <v>133.5</v>
      </c>
      <c r="I150" s="27">
        <v>114.3</v>
      </c>
      <c r="J150" s="27">
        <v>131.4</v>
      </c>
      <c r="K150" s="27">
        <v>120.2</v>
      </c>
      <c r="L150" s="27">
        <v>143.1</v>
      </c>
      <c r="M150" s="27">
        <v>119.5</v>
      </c>
      <c r="N150" s="27">
        <v>144</v>
      </c>
      <c r="O150" s="21">
        <v>130.5</v>
      </c>
      <c r="P150" s="21">
        <v>122.5</v>
      </c>
      <c r="Q150" s="22">
        <v>130.5</v>
      </c>
      <c r="R150" s="21">
        <v>125.3</v>
      </c>
      <c r="S150" s="21">
        <v>122.9</v>
      </c>
      <c r="T150" s="27">
        <v>115.5</v>
      </c>
      <c r="U150" s="27">
        <v>132.4</v>
      </c>
    </row>
    <row r="151" spans="1:21">
      <c r="A151" s="21" t="s">
        <v>34</v>
      </c>
      <c r="B151" s="26">
        <v>2017</v>
      </c>
      <c r="C151" s="21" t="s">
        <v>35</v>
      </c>
      <c r="D151" s="79">
        <f t="shared" si="2"/>
        <v>42767</v>
      </c>
      <c r="E151" s="27">
        <v>133.1</v>
      </c>
      <c r="F151" s="27">
        <v>138.80000000000001</v>
      </c>
      <c r="G151" s="27">
        <v>129.30000000000001</v>
      </c>
      <c r="H151" s="27">
        <v>135.80000000000001</v>
      </c>
      <c r="I151" s="27">
        <v>119.2</v>
      </c>
      <c r="J151" s="27">
        <v>135.30000000000001</v>
      </c>
      <c r="K151" s="27">
        <v>119.5</v>
      </c>
      <c r="L151" s="27">
        <v>152.19999999999999</v>
      </c>
      <c r="M151" s="27">
        <v>117.3</v>
      </c>
      <c r="N151" s="27">
        <v>138.69999999999999</v>
      </c>
      <c r="O151" s="21">
        <v>136.80000000000001</v>
      </c>
      <c r="P151" s="21">
        <v>130.30000000000001</v>
      </c>
      <c r="Q151" s="22">
        <v>130.5</v>
      </c>
      <c r="R151" s="21">
        <v>129.69999999999999</v>
      </c>
      <c r="S151" s="21">
        <v>127.4</v>
      </c>
      <c r="T151" s="27">
        <v>117.4</v>
      </c>
      <c r="U151" s="27">
        <v>133.4</v>
      </c>
    </row>
    <row r="152" spans="1:21">
      <c r="A152" s="21" t="s">
        <v>30</v>
      </c>
      <c r="B152" s="26">
        <v>2017</v>
      </c>
      <c r="C152" s="21" t="s">
        <v>36</v>
      </c>
      <c r="D152" s="79">
        <f t="shared" si="2"/>
        <v>42795</v>
      </c>
      <c r="E152" s="27">
        <v>133.6</v>
      </c>
      <c r="F152" s="27">
        <v>138.80000000000001</v>
      </c>
      <c r="G152" s="27">
        <v>128.80000000000001</v>
      </c>
      <c r="H152" s="27">
        <v>137.19999999999999</v>
      </c>
      <c r="I152" s="27">
        <v>121.6</v>
      </c>
      <c r="J152" s="27">
        <v>139.69999999999999</v>
      </c>
      <c r="K152" s="27">
        <v>119.7</v>
      </c>
      <c r="L152" s="27">
        <v>148</v>
      </c>
      <c r="M152" s="27">
        <v>116.9</v>
      </c>
      <c r="N152" s="27">
        <v>135.6</v>
      </c>
      <c r="O152" s="21">
        <v>141.6</v>
      </c>
      <c r="P152" s="21">
        <v>136.19999999999999</v>
      </c>
      <c r="Q152" s="22">
        <v>139.25</v>
      </c>
      <c r="R152" s="21">
        <v>134.1</v>
      </c>
      <c r="S152" s="21">
        <v>130.6</v>
      </c>
      <c r="T152" s="27">
        <v>119.8</v>
      </c>
      <c r="U152" s="27">
        <v>135.19999999999999</v>
      </c>
    </row>
    <row r="153" spans="1:21">
      <c r="A153" s="21" t="s">
        <v>33</v>
      </c>
      <c r="B153" s="26">
        <v>2017</v>
      </c>
      <c r="C153" s="21" t="s">
        <v>36</v>
      </c>
      <c r="D153" s="79">
        <f t="shared" si="2"/>
        <v>42795</v>
      </c>
      <c r="E153" s="27">
        <v>132.69999999999999</v>
      </c>
      <c r="F153" s="27">
        <v>139.4</v>
      </c>
      <c r="G153" s="27">
        <v>128.4</v>
      </c>
      <c r="H153" s="27">
        <v>134.9</v>
      </c>
      <c r="I153" s="27">
        <v>114</v>
      </c>
      <c r="J153" s="27">
        <v>136.80000000000001</v>
      </c>
      <c r="K153" s="27">
        <v>122.2</v>
      </c>
      <c r="L153" s="27">
        <v>135.80000000000001</v>
      </c>
      <c r="M153" s="27">
        <v>120.3</v>
      </c>
      <c r="N153" s="27">
        <v>142.6</v>
      </c>
      <c r="O153" s="21">
        <v>130.80000000000001</v>
      </c>
      <c r="P153" s="21">
        <v>122.8</v>
      </c>
      <c r="Q153" s="22">
        <v>131.1</v>
      </c>
      <c r="R153" s="21">
        <v>125.6</v>
      </c>
      <c r="S153" s="21">
        <v>123.1</v>
      </c>
      <c r="T153" s="27">
        <v>115.6</v>
      </c>
      <c r="U153" s="27">
        <v>132.80000000000001</v>
      </c>
    </row>
    <row r="154" spans="1:21">
      <c r="A154" s="21" t="s">
        <v>34</v>
      </c>
      <c r="B154" s="26">
        <v>2017</v>
      </c>
      <c r="C154" s="21" t="s">
        <v>36</v>
      </c>
      <c r="D154" s="79">
        <f t="shared" si="2"/>
        <v>42795</v>
      </c>
      <c r="E154" s="27">
        <v>133.30000000000001</v>
      </c>
      <c r="F154" s="27">
        <v>139</v>
      </c>
      <c r="G154" s="27">
        <v>128.6</v>
      </c>
      <c r="H154" s="27">
        <v>136.30000000000001</v>
      </c>
      <c r="I154" s="27">
        <v>118.8</v>
      </c>
      <c r="J154" s="27">
        <v>138.30000000000001</v>
      </c>
      <c r="K154" s="27">
        <v>120.5</v>
      </c>
      <c r="L154" s="27">
        <v>143.9</v>
      </c>
      <c r="M154" s="27">
        <v>118</v>
      </c>
      <c r="N154" s="27">
        <v>137.9</v>
      </c>
      <c r="O154" s="21">
        <v>137.30000000000001</v>
      </c>
      <c r="P154" s="21">
        <v>130.6</v>
      </c>
      <c r="Q154" s="22">
        <v>131.1</v>
      </c>
      <c r="R154" s="21">
        <v>130.1</v>
      </c>
      <c r="S154" s="21">
        <v>127.8</v>
      </c>
      <c r="T154" s="27">
        <v>117.6</v>
      </c>
      <c r="U154" s="27">
        <v>133.80000000000001</v>
      </c>
    </row>
    <row r="155" spans="1:21">
      <c r="A155" s="21" t="s">
        <v>30</v>
      </c>
      <c r="B155" s="26">
        <v>2017</v>
      </c>
      <c r="C155" s="21" t="s">
        <v>37</v>
      </c>
      <c r="D155" s="79">
        <f t="shared" si="2"/>
        <v>42826</v>
      </c>
      <c r="E155" s="27">
        <v>133.19999999999999</v>
      </c>
      <c r="F155" s="27">
        <v>138.69999999999999</v>
      </c>
      <c r="G155" s="27">
        <v>127.1</v>
      </c>
      <c r="H155" s="27">
        <v>137.69999999999999</v>
      </c>
      <c r="I155" s="27">
        <v>121.3</v>
      </c>
      <c r="J155" s="27">
        <v>141.80000000000001</v>
      </c>
      <c r="K155" s="27">
        <v>121.5</v>
      </c>
      <c r="L155" s="27">
        <v>144.5</v>
      </c>
      <c r="M155" s="27">
        <v>117.4</v>
      </c>
      <c r="N155" s="27">
        <v>134.1</v>
      </c>
      <c r="O155" s="21">
        <v>142.4</v>
      </c>
      <c r="P155" s="21">
        <v>136.80000000000001</v>
      </c>
      <c r="Q155" s="22">
        <v>139.25</v>
      </c>
      <c r="R155" s="21">
        <v>134.30000000000001</v>
      </c>
      <c r="S155" s="21">
        <v>131</v>
      </c>
      <c r="T155" s="27">
        <v>119.2</v>
      </c>
      <c r="U155" s="27">
        <v>135.69999999999999</v>
      </c>
    </row>
    <row r="156" spans="1:21">
      <c r="A156" s="21" t="s">
        <v>33</v>
      </c>
      <c r="B156" s="26">
        <v>2017</v>
      </c>
      <c r="C156" s="21" t="s">
        <v>37</v>
      </c>
      <c r="D156" s="79">
        <f t="shared" si="2"/>
        <v>42826</v>
      </c>
      <c r="E156" s="27">
        <v>132.69999999999999</v>
      </c>
      <c r="F156" s="27">
        <v>140.6</v>
      </c>
      <c r="G156" s="27">
        <v>124.5</v>
      </c>
      <c r="H156" s="27">
        <v>136.30000000000001</v>
      </c>
      <c r="I156" s="27">
        <v>113.5</v>
      </c>
      <c r="J156" s="27">
        <v>137.69999999999999</v>
      </c>
      <c r="K156" s="27">
        <v>127.1</v>
      </c>
      <c r="L156" s="27">
        <v>133.80000000000001</v>
      </c>
      <c r="M156" s="27">
        <v>120.8</v>
      </c>
      <c r="N156" s="27">
        <v>141.30000000000001</v>
      </c>
      <c r="O156" s="21">
        <v>131.19999999999999</v>
      </c>
      <c r="P156" s="21">
        <v>123</v>
      </c>
      <c r="Q156" s="22">
        <v>131.69999999999999</v>
      </c>
      <c r="R156" s="21">
        <v>126</v>
      </c>
      <c r="S156" s="21">
        <v>123.4</v>
      </c>
      <c r="T156" s="27">
        <v>114.3</v>
      </c>
      <c r="U156" s="27">
        <v>133.6</v>
      </c>
    </row>
    <row r="157" spans="1:21">
      <c r="A157" s="21" t="s">
        <v>34</v>
      </c>
      <c r="B157" s="26">
        <v>2017</v>
      </c>
      <c r="C157" s="21" t="s">
        <v>37</v>
      </c>
      <c r="D157" s="79">
        <f t="shared" si="2"/>
        <v>42826</v>
      </c>
      <c r="E157" s="27">
        <v>133</v>
      </c>
      <c r="F157" s="27">
        <v>139.4</v>
      </c>
      <c r="G157" s="27">
        <v>126.1</v>
      </c>
      <c r="H157" s="27">
        <v>137.19999999999999</v>
      </c>
      <c r="I157" s="27">
        <v>118.4</v>
      </c>
      <c r="J157" s="27">
        <v>139.9</v>
      </c>
      <c r="K157" s="27">
        <v>123.4</v>
      </c>
      <c r="L157" s="27">
        <v>140.9</v>
      </c>
      <c r="M157" s="27">
        <v>118.5</v>
      </c>
      <c r="N157" s="27">
        <v>136.5</v>
      </c>
      <c r="O157" s="21">
        <v>138</v>
      </c>
      <c r="P157" s="21">
        <v>131.1</v>
      </c>
      <c r="Q157" s="22">
        <v>131.69999999999999</v>
      </c>
      <c r="R157" s="21">
        <v>130.4</v>
      </c>
      <c r="S157" s="21">
        <v>128.1</v>
      </c>
      <c r="T157" s="27">
        <v>116.6</v>
      </c>
      <c r="U157" s="27">
        <v>134.5</v>
      </c>
    </row>
    <row r="158" spans="1:21">
      <c r="A158" s="21" t="s">
        <v>30</v>
      </c>
      <c r="B158" s="26">
        <v>2017</v>
      </c>
      <c r="C158" s="21" t="s">
        <v>38</v>
      </c>
      <c r="D158" s="79">
        <f t="shared" si="2"/>
        <v>42856</v>
      </c>
      <c r="E158" s="27">
        <v>133.1</v>
      </c>
      <c r="F158" s="27">
        <v>140.30000000000001</v>
      </c>
      <c r="G158" s="27">
        <v>126.8</v>
      </c>
      <c r="H158" s="27">
        <v>138.19999999999999</v>
      </c>
      <c r="I158" s="27">
        <v>120.8</v>
      </c>
      <c r="J158" s="27">
        <v>140.19999999999999</v>
      </c>
      <c r="K158" s="27">
        <v>123.8</v>
      </c>
      <c r="L158" s="27">
        <v>141.80000000000001</v>
      </c>
      <c r="M158" s="27">
        <v>118.6</v>
      </c>
      <c r="N158" s="27">
        <v>134</v>
      </c>
      <c r="O158" s="21">
        <v>142.5</v>
      </c>
      <c r="P158" s="21">
        <v>137.30000000000001</v>
      </c>
      <c r="Q158" s="22">
        <v>139.25</v>
      </c>
      <c r="R158" s="21">
        <v>134.9</v>
      </c>
      <c r="S158" s="21">
        <v>131.4</v>
      </c>
      <c r="T158" s="27">
        <v>119.4</v>
      </c>
      <c r="U158" s="27">
        <v>136.30000000000001</v>
      </c>
    </row>
    <row r="159" spans="1:21">
      <c r="A159" s="21" t="s">
        <v>33</v>
      </c>
      <c r="B159" s="26">
        <v>2017</v>
      </c>
      <c r="C159" s="21" t="s">
        <v>38</v>
      </c>
      <c r="D159" s="79">
        <f t="shared" si="2"/>
        <v>42856</v>
      </c>
      <c r="E159" s="27">
        <v>132.6</v>
      </c>
      <c r="F159" s="27">
        <v>144.1</v>
      </c>
      <c r="G159" s="27">
        <v>125.6</v>
      </c>
      <c r="H159" s="27">
        <v>136.80000000000001</v>
      </c>
      <c r="I159" s="27">
        <v>113.4</v>
      </c>
      <c r="J159" s="27">
        <v>135.19999999999999</v>
      </c>
      <c r="K159" s="27">
        <v>129.19999999999999</v>
      </c>
      <c r="L159" s="27">
        <v>131.5</v>
      </c>
      <c r="M159" s="27">
        <v>121</v>
      </c>
      <c r="N159" s="27">
        <v>139.9</v>
      </c>
      <c r="O159" s="21">
        <v>131.5</v>
      </c>
      <c r="P159" s="21">
        <v>123.2</v>
      </c>
      <c r="Q159" s="22">
        <v>132.1</v>
      </c>
      <c r="R159" s="21">
        <v>126.5</v>
      </c>
      <c r="S159" s="21">
        <v>123.6</v>
      </c>
      <c r="T159" s="27">
        <v>114.3</v>
      </c>
      <c r="U159" s="27">
        <v>133.80000000000001</v>
      </c>
    </row>
    <row r="160" spans="1:21">
      <c r="A160" s="21" t="s">
        <v>34</v>
      </c>
      <c r="B160" s="26">
        <v>2017</v>
      </c>
      <c r="C160" s="21" t="s">
        <v>38</v>
      </c>
      <c r="D160" s="79">
        <f t="shared" si="2"/>
        <v>42856</v>
      </c>
      <c r="E160" s="27">
        <v>132.9</v>
      </c>
      <c r="F160" s="27">
        <v>141.6</v>
      </c>
      <c r="G160" s="27">
        <v>126.3</v>
      </c>
      <c r="H160" s="27">
        <v>137.69999999999999</v>
      </c>
      <c r="I160" s="27">
        <v>118.1</v>
      </c>
      <c r="J160" s="27">
        <v>137.9</v>
      </c>
      <c r="K160" s="27">
        <v>125.6</v>
      </c>
      <c r="L160" s="27">
        <v>138.30000000000001</v>
      </c>
      <c r="M160" s="27">
        <v>119.4</v>
      </c>
      <c r="N160" s="27">
        <v>136</v>
      </c>
      <c r="O160" s="21">
        <v>138.19999999999999</v>
      </c>
      <c r="P160" s="21">
        <v>131.4</v>
      </c>
      <c r="Q160" s="22">
        <v>132.1</v>
      </c>
      <c r="R160" s="21">
        <v>130.9</v>
      </c>
      <c r="S160" s="21">
        <v>128.4</v>
      </c>
      <c r="T160" s="27">
        <v>116.7</v>
      </c>
      <c r="U160" s="27">
        <v>134.80000000000001</v>
      </c>
    </row>
    <row r="161" spans="1:21">
      <c r="A161" s="21" t="s">
        <v>30</v>
      </c>
      <c r="B161" s="26">
        <v>2017</v>
      </c>
      <c r="C161" s="21" t="s">
        <v>39</v>
      </c>
      <c r="D161" s="79">
        <f t="shared" si="2"/>
        <v>42887</v>
      </c>
      <c r="E161" s="27">
        <v>133.5</v>
      </c>
      <c r="F161" s="27">
        <v>143.69999999999999</v>
      </c>
      <c r="G161" s="27">
        <v>128</v>
      </c>
      <c r="H161" s="27">
        <v>138.6</v>
      </c>
      <c r="I161" s="27">
        <v>120.9</v>
      </c>
      <c r="J161" s="27">
        <v>140.9</v>
      </c>
      <c r="K161" s="27">
        <v>128.80000000000001</v>
      </c>
      <c r="L161" s="27">
        <v>140.19999999999999</v>
      </c>
      <c r="M161" s="27">
        <v>118.9</v>
      </c>
      <c r="N161" s="27">
        <v>133.5</v>
      </c>
      <c r="O161" s="21">
        <v>143.1</v>
      </c>
      <c r="P161" s="21">
        <v>137.69999999999999</v>
      </c>
      <c r="Q161" s="22">
        <v>139.25</v>
      </c>
      <c r="R161" s="21">
        <v>135.19999999999999</v>
      </c>
      <c r="S161" s="21">
        <v>131.30000000000001</v>
      </c>
      <c r="T161" s="27">
        <v>119.4</v>
      </c>
      <c r="U161" s="27">
        <v>136.9</v>
      </c>
    </row>
    <row r="162" spans="1:21">
      <c r="A162" s="21" t="s">
        <v>33</v>
      </c>
      <c r="B162" s="26">
        <v>2017</v>
      </c>
      <c r="C162" s="21" t="s">
        <v>39</v>
      </c>
      <c r="D162" s="79">
        <f t="shared" si="2"/>
        <v>42887</v>
      </c>
      <c r="E162" s="27">
        <v>132.9</v>
      </c>
      <c r="F162" s="27">
        <v>148.69999999999999</v>
      </c>
      <c r="G162" s="27">
        <v>128.30000000000001</v>
      </c>
      <c r="H162" s="27">
        <v>137.30000000000001</v>
      </c>
      <c r="I162" s="27">
        <v>113.5</v>
      </c>
      <c r="J162" s="27">
        <v>137.19999999999999</v>
      </c>
      <c r="K162" s="27">
        <v>142.19999999999999</v>
      </c>
      <c r="L162" s="27">
        <v>128.19999999999999</v>
      </c>
      <c r="M162" s="27">
        <v>120.9</v>
      </c>
      <c r="N162" s="27">
        <v>138.80000000000001</v>
      </c>
      <c r="O162" s="21">
        <v>131.5</v>
      </c>
      <c r="P162" s="21">
        <v>123.2</v>
      </c>
      <c r="Q162" s="22">
        <v>131.4</v>
      </c>
      <c r="R162" s="21">
        <v>126.8</v>
      </c>
      <c r="S162" s="21">
        <v>123.8</v>
      </c>
      <c r="T162" s="27">
        <v>113.9</v>
      </c>
      <c r="U162" s="27">
        <v>134.30000000000001</v>
      </c>
    </row>
    <row r="163" spans="1:21">
      <c r="A163" s="21" t="s">
        <v>34</v>
      </c>
      <c r="B163" s="26">
        <v>2017</v>
      </c>
      <c r="C163" s="21" t="s">
        <v>39</v>
      </c>
      <c r="D163" s="79">
        <f t="shared" si="2"/>
        <v>42887</v>
      </c>
      <c r="E163" s="27">
        <v>133.30000000000001</v>
      </c>
      <c r="F163" s="27">
        <v>145.5</v>
      </c>
      <c r="G163" s="27">
        <v>128.1</v>
      </c>
      <c r="H163" s="27">
        <v>138.1</v>
      </c>
      <c r="I163" s="27">
        <v>118.2</v>
      </c>
      <c r="J163" s="27">
        <v>139.19999999999999</v>
      </c>
      <c r="K163" s="27">
        <v>133.30000000000001</v>
      </c>
      <c r="L163" s="27">
        <v>136.19999999999999</v>
      </c>
      <c r="M163" s="27">
        <v>119.6</v>
      </c>
      <c r="N163" s="27">
        <v>135.30000000000001</v>
      </c>
      <c r="O163" s="21">
        <v>138.5</v>
      </c>
      <c r="P163" s="21">
        <v>131.69999999999999</v>
      </c>
      <c r="Q163" s="22">
        <v>131.4</v>
      </c>
      <c r="R163" s="21">
        <v>131.19999999999999</v>
      </c>
      <c r="S163" s="21">
        <v>128.5</v>
      </c>
      <c r="T163" s="27">
        <v>116.5</v>
      </c>
      <c r="U163" s="27">
        <v>135.4</v>
      </c>
    </row>
    <row r="164" spans="1:21">
      <c r="A164" s="21" t="s">
        <v>30</v>
      </c>
      <c r="B164" s="26">
        <v>2017</v>
      </c>
      <c r="C164" s="21" t="s">
        <v>40</v>
      </c>
      <c r="D164" s="79">
        <f t="shared" si="2"/>
        <v>42917</v>
      </c>
      <c r="E164" s="27">
        <v>134</v>
      </c>
      <c r="F164" s="27">
        <v>144.19999999999999</v>
      </c>
      <c r="G164" s="27">
        <v>129.80000000000001</v>
      </c>
      <c r="H164" s="27">
        <v>139</v>
      </c>
      <c r="I164" s="27">
        <v>120.9</v>
      </c>
      <c r="J164" s="27">
        <v>143.9</v>
      </c>
      <c r="K164" s="27">
        <v>151.5</v>
      </c>
      <c r="L164" s="27">
        <v>138.1</v>
      </c>
      <c r="M164" s="27">
        <v>120</v>
      </c>
      <c r="N164" s="27">
        <v>133.9</v>
      </c>
      <c r="O164" s="21">
        <v>144.30000000000001</v>
      </c>
      <c r="P164" s="21">
        <v>138.1</v>
      </c>
      <c r="Q164" s="22">
        <v>139.25</v>
      </c>
      <c r="R164" s="21">
        <v>136.1</v>
      </c>
      <c r="S164" s="21">
        <v>132.1</v>
      </c>
      <c r="T164" s="27">
        <v>119.1</v>
      </c>
      <c r="U164" s="27">
        <v>138.6</v>
      </c>
    </row>
    <row r="165" spans="1:21">
      <c r="A165" s="21" t="s">
        <v>33</v>
      </c>
      <c r="B165" s="26">
        <v>2017</v>
      </c>
      <c r="C165" s="21" t="s">
        <v>40</v>
      </c>
      <c r="D165" s="79">
        <f t="shared" si="2"/>
        <v>42917</v>
      </c>
      <c r="E165" s="27">
        <v>132.80000000000001</v>
      </c>
      <c r="F165" s="27">
        <v>148.4</v>
      </c>
      <c r="G165" s="27">
        <v>129.4</v>
      </c>
      <c r="H165" s="27">
        <v>137.69999999999999</v>
      </c>
      <c r="I165" s="27">
        <v>113.4</v>
      </c>
      <c r="J165" s="27">
        <v>139.4</v>
      </c>
      <c r="K165" s="27">
        <v>175.1</v>
      </c>
      <c r="L165" s="27">
        <v>124.7</v>
      </c>
      <c r="M165" s="27">
        <v>121.5</v>
      </c>
      <c r="N165" s="27">
        <v>137.80000000000001</v>
      </c>
      <c r="O165" s="21">
        <v>131.6</v>
      </c>
      <c r="P165" s="21">
        <v>123.7</v>
      </c>
      <c r="Q165" s="22">
        <v>132.6</v>
      </c>
      <c r="R165" s="21">
        <v>127.2</v>
      </c>
      <c r="S165" s="21">
        <v>125</v>
      </c>
      <c r="T165" s="27">
        <v>113.2</v>
      </c>
      <c r="U165" s="27">
        <v>135.5</v>
      </c>
    </row>
    <row r="166" spans="1:21">
      <c r="A166" s="21" t="s">
        <v>34</v>
      </c>
      <c r="B166" s="26">
        <v>2017</v>
      </c>
      <c r="C166" s="21" t="s">
        <v>40</v>
      </c>
      <c r="D166" s="79">
        <f t="shared" si="2"/>
        <v>42917</v>
      </c>
      <c r="E166" s="27">
        <v>133.6</v>
      </c>
      <c r="F166" s="27">
        <v>145.69999999999999</v>
      </c>
      <c r="G166" s="27">
        <v>129.6</v>
      </c>
      <c r="H166" s="27">
        <v>138.5</v>
      </c>
      <c r="I166" s="27">
        <v>118.1</v>
      </c>
      <c r="J166" s="27">
        <v>141.80000000000001</v>
      </c>
      <c r="K166" s="27">
        <v>159.5</v>
      </c>
      <c r="L166" s="27">
        <v>133.6</v>
      </c>
      <c r="M166" s="27">
        <v>120.5</v>
      </c>
      <c r="N166" s="27">
        <v>135.19999999999999</v>
      </c>
      <c r="O166" s="21">
        <v>139.30000000000001</v>
      </c>
      <c r="P166" s="21">
        <v>132.1</v>
      </c>
      <c r="Q166" s="22">
        <v>132.6</v>
      </c>
      <c r="R166" s="21">
        <v>131.9</v>
      </c>
      <c r="S166" s="21">
        <v>129.4</v>
      </c>
      <c r="T166" s="27">
        <v>116</v>
      </c>
      <c r="U166" s="27">
        <v>136.80000000000001</v>
      </c>
    </row>
    <row r="167" spans="1:21">
      <c r="A167" s="21" t="s">
        <v>30</v>
      </c>
      <c r="B167" s="26">
        <v>2017</v>
      </c>
      <c r="C167" s="21" t="s">
        <v>41</v>
      </c>
      <c r="D167" s="79">
        <f t="shared" si="2"/>
        <v>42948</v>
      </c>
      <c r="E167" s="27">
        <v>134.80000000000001</v>
      </c>
      <c r="F167" s="27">
        <v>143.1</v>
      </c>
      <c r="G167" s="27">
        <v>130</v>
      </c>
      <c r="H167" s="27">
        <v>139.4</v>
      </c>
      <c r="I167" s="27">
        <v>120.5</v>
      </c>
      <c r="J167" s="27">
        <v>148</v>
      </c>
      <c r="K167" s="27">
        <v>162.9</v>
      </c>
      <c r="L167" s="27">
        <v>137.4</v>
      </c>
      <c r="M167" s="27">
        <v>120.8</v>
      </c>
      <c r="N167" s="27">
        <v>134.69999999999999</v>
      </c>
      <c r="O167" s="21">
        <v>145.30000000000001</v>
      </c>
      <c r="P167" s="21">
        <v>139.19999999999999</v>
      </c>
      <c r="Q167" s="22">
        <v>139.25</v>
      </c>
      <c r="R167" s="21">
        <v>137.30000000000001</v>
      </c>
      <c r="S167" s="21">
        <v>133</v>
      </c>
      <c r="T167" s="27">
        <v>120.3</v>
      </c>
      <c r="U167" s="27">
        <v>140.19999999999999</v>
      </c>
    </row>
    <row r="168" spans="1:21">
      <c r="A168" s="21" t="s">
        <v>33</v>
      </c>
      <c r="B168" s="26">
        <v>2017</v>
      </c>
      <c r="C168" s="21" t="s">
        <v>41</v>
      </c>
      <c r="D168" s="79">
        <f t="shared" si="2"/>
        <v>42948</v>
      </c>
      <c r="E168" s="27">
        <v>133.19999999999999</v>
      </c>
      <c r="F168" s="27">
        <v>143.9</v>
      </c>
      <c r="G168" s="27">
        <v>128.30000000000001</v>
      </c>
      <c r="H168" s="27">
        <v>138.30000000000001</v>
      </c>
      <c r="I168" s="27">
        <v>114.1</v>
      </c>
      <c r="J168" s="27">
        <v>142.69999999999999</v>
      </c>
      <c r="K168" s="27">
        <v>179.8</v>
      </c>
      <c r="L168" s="27">
        <v>123.5</v>
      </c>
      <c r="M168" s="27">
        <v>122.1</v>
      </c>
      <c r="N168" s="27">
        <v>137.5</v>
      </c>
      <c r="O168" s="21">
        <v>132.69999999999999</v>
      </c>
      <c r="P168" s="21">
        <v>124.3</v>
      </c>
      <c r="Q168" s="22">
        <v>134.4</v>
      </c>
      <c r="R168" s="21">
        <v>127.7</v>
      </c>
      <c r="S168" s="21">
        <v>125.7</v>
      </c>
      <c r="T168" s="27">
        <v>114.6</v>
      </c>
      <c r="U168" s="27">
        <v>135.69999999999999</v>
      </c>
    </row>
    <row r="169" spans="1:21">
      <c r="A169" s="21" t="s">
        <v>34</v>
      </c>
      <c r="B169" s="26">
        <v>2017</v>
      </c>
      <c r="C169" s="21" t="s">
        <v>41</v>
      </c>
      <c r="D169" s="79">
        <f t="shared" si="2"/>
        <v>42948</v>
      </c>
      <c r="E169" s="27">
        <v>134.30000000000001</v>
      </c>
      <c r="F169" s="27">
        <v>143.4</v>
      </c>
      <c r="G169" s="27">
        <v>129.30000000000001</v>
      </c>
      <c r="H169" s="27">
        <v>139</v>
      </c>
      <c r="I169" s="27">
        <v>118.1</v>
      </c>
      <c r="J169" s="27">
        <v>145.5</v>
      </c>
      <c r="K169" s="27">
        <v>168.6</v>
      </c>
      <c r="L169" s="27">
        <v>132.69999999999999</v>
      </c>
      <c r="M169" s="27">
        <v>121.2</v>
      </c>
      <c r="N169" s="27">
        <v>135.6</v>
      </c>
      <c r="O169" s="21">
        <v>140.30000000000001</v>
      </c>
      <c r="P169" s="21">
        <v>133</v>
      </c>
      <c r="Q169" s="22">
        <v>134.4</v>
      </c>
      <c r="R169" s="21">
        <v>132.80000000000001</v>
      </c>
      <c r="S169" s="21">
        <v>130.19999999999999</v>
      </c>
      <c r="T169" s="27">
        <v>117.3</v>
      </c>
      <c r="U169" s="27">
        <v>137.6</v>
      </c>
    </row>
    <row r="170" spans="1:21">
      <c r="A170" s="21" t="s">
        <v>30</v>
      </c>
      <c r="B170" s="26">
        <v>2017</v>
      </c>
      <c r="C170" s="21" t="s">
        <v>42</v>
      </c>
      <c r="D170" s="79">
        <f t="shared" si="2"/>
        <v>42979</v>
      </c>
      <c r="E170" s="27">
        <v>135.19999999999999</v>
      </c>
      <c r="F170" s="27">
        <v>142</v>
      </c>
      <c r="G170" s="27">
        <v>130.5</v>
      </c>
      <c r="H170" s="27">
        <v>140.19999999999999</v>
      </c>
      <c r="I170" s="27">
        <v>120.7</v>
      </c>
      <c r="J170" s="27">
        <v>147.80000000000001</v>
      </c>
      <c r="K170" s="27">
        <v>154.5</v>
      </c>
      <c r="L170" s="27">
        <v>137.1</v>
      </c>
      <c r="M170" s="27">
        <v>121</v>
      </c>
      <c r="N170" s="27">
        <v>134.69999999999999</v>
      </c>
      <c r="O170" s="21">
        <v>146.1</v>
      </c>
      <c r="P170" s="21">
        <v>139.69999999999999</v>
      </c>
      <c r="Q170" s="22">
        <v>139.25</v>
      </c>
      <c r="R170" s="21">
        <v>137.9</v>
      </c>
      <c r="S170" s="21">
        <v>133.4</v>
      </c>
      <c r="T170" s="27">
        <v>121.2</v>
      </c>
      <c r="U170" s="27">
        <v>139.6</v>
      </c>
    </row>
    <row r="171" spans="1:21">
      <c r="A171" s="21" t="s">
        <v>33</v>
      </c>
      <c r="B171" s="26">
        <v>2017</v>
      </c>
      <c r="C171" s="21" t="s">
        <v>42</v>
      </c>
      <c r="D171" s="79">
        <f t="shared" si="2"/>
        <v>42979</v>
      </c>
      <c r="E171" s="27">
        <v>133.6</v>
      </c>
      <c r="F171" s="27">
        <v>143</v>
      </c>
      <c r="G171" s="27">
        <v>129.69999999999999</v>
      </c>
      <c r="H171" s="27">
        <v>138.69999999999999</v>
      </c>
      <c r="I171" s="27">
        <v>114.5</v>
      </c>
      <c r="J171" s="27">
        <v>137.5</v>
      </c>
      <c r="K171" s="27">
        <v>160.69999999999999</v>
      </c>
      <c r="L171" s="27">
        <v>124.5</v>
      </c>
      <c r="M171" s="27">
        <v>122.4</v>
      </c>
      <c r="N171" s="27">
        <v>137.30000000000001</v>
      </c>
      <c r="O171" s="21">
        <v>133.30000000000001</v>
      </c>
      <c r="P171" s="21">
        <v>124.6</v>
      </c>
      <c r="Q171" s="22">
        <v>135.69999999999999</v>
      </c>
      <c r="R171" s="21">
        <v>128.1</v>
      </c>
      <c r="S171" s="21">
        <v>126.1</v>
      </c>
      <c r="T171" s="27">
        <v>115.7</v>
      </c>
      <c r="U171" s="27">
        <v>135.9</v>
      </c>
    </row>
    <row r="172" spans="1:21">
      <c r="A172" s="21" t="s">
        <v>34</v>
      </c>
      <c r="B172" s="26">
        <v>2017</v>
      </c>
      <c r="C172" s="21" t="s">
        <v>42</v>
      </c>
      <c r="D172" s="79">
        <f t="shared" si="2"/>
        <v>42979</v>
      </c>
      <c r="E172" s="27">
        <v>134.69999999999999</v>
      </c>
      <c r="F172" s="27">
        <v>142.4</v>
      </c>
      <c r="G172" s="27">
        <v>130.19999999999999</v>
      </c>
      <c r="H172" s="27">
        <v>139.6</v>
      </c>
      <c r="I172" s="27">
        <v>118.4</v>
      </c>
      <c r="J172" s="27">
        <v>143</v>
      </c>
      <c r="K172" s="27">
        <v>156.6</v>
      </c>
      <c r="L172" s="27">
        <v>132.9</v>
      </c>
      <c r="M172" s="27">
        <v>121.5</v>
      </c>
      <c r="N172" s="27">
        <v>135.6</v>
      </c>
      <c r="O172" s="21">
        <v>141.1</v>
      </c>
      <c r="P172" s="21">
        <v>133.4</v>
      </c>
      <c r="Q172" s="22">
        <v>135.69999999999999</v>
      </c>
      <c r="R172" s="21">
        <v>133.30000000000001</v>
      </c>
      <c r="S172" s="21">
        <v>130.6</v>
      </c>
      <c r="T172" s="27">
        <v>118.3</v>
      </c>
      <c r="U172" s="27">
        <v>137.4</v>
      </c>
    </row>
    <row r="173" spans="1:21">
      <c r="A173" s="21" t="s">
        <v>30</v>
      </c>
      <c r="B173" s="26">
        <v>2017</v>
      </c>
      <c r="C173" s="21" t="s">
        <v>43</v>
      </c>
      <c r="D173" s="79">
        <f t="shared" si="2"/>
        <v>43009</v>
      </c>
      <c r="E173" s="27">
        <v>135.9</v>
      </c>
      <c r="F173" s="27">
        <v>141.9</v>
      </c>
      <c r="G173" s="27">
        <v>131</v>
      </c>
      <c r="H173" s="27">
        <v>141.5</v>
      </c>
      <c r="I173" s="27">
        <v>121.4</v>
      </c>
      <c r="J173" s="27">
        <v>146.69999999999999</v>
      </c>
      <c r="K173" s="27">
        <v>157.1</v>
      </c>
      <c r="L173" s="27">
        <v>136.4</v>
      </c>
      <c r="M173" s="27">
        <v>121.4</v>
      </c>
      <c r="N173" s="27">
        <v>135.6</v>
      </c>
      <c r="O173" s="21">
        <v>147.19999999999999</v>
      </c>
      <c r="P173" s="21">
        <v>140.6</v>
      </c>
      <c r="Q173" s="22">
        <v>139.25</v>
      </c>
      <c r="R173" s="21">
        <v>138.4</v>
      </c>
      <c r="S173" s="21">
        <v>134.19999999999999</v>
      </c>
      <c r="T173" s="27">
        <v>121</v>
      </c>
      <c r="U173" s="27">
        <v>140.1</v>
      </c>
    </row>
    <row r="174" spans="1:21">
      <c r="A174" s="21" t="s">
        <v>33</v>
      </c>
      <c r="B174" s="26">
        <v>2017</v>
      </c>
      <c r="C174" s="21" t="s">
        <v>43</v>
      </c>
      <c r="D174" s="79">
        <f t="shared" si="2"/>
        <v>43009</v>
      </c>
      <c r="E174" s="27">
        <v>133.9</v>
      </c>
      <c r="F174" s="27">
        <v>142.80000000000001</v>
      </c>
      <c r="G174" s="27">
        <v>131.4</v>
      </c>
      <c r="H174" s="27">
        <v>139.1</v>
      </c>
      <c r="I174" s="27">
        <v>114.9</v>
      </c>
      <c r="J174" s="27">
        <v>135.6</v>
      </c>
      <c r="K174" s="27">
        <v>173.2</v>
      </c>
      <c r="L174" s="27">
        <v>124.1</v>
      </c>
      <c r="M174" s="27">
        <v>122.6</v>
      </c>
      <c r="N174" s="27">
        <v>137.80000000000001</v>
      </c>
      <c r="O174" s="21">
        <v>134</v>
      </c>
      <c r="P174" s="21">
        <v>124.9</v>
      </c>
      <c r="Q174" s="22">
        <v>137.30000000000001</v>
      </c>
      <c r="R174" s="21">
        <v>128.30000000000001</v>
      </c>
      <c r="S174" s="21">
        <v>126.6</v>
      </c>
      <c r="T174" s="27">
        <v>115</v>
      </c>
      <c r="U174" s="27">
        <v>136.30000000000001</v>
      </c>
    </row>
    <row r="175" spans="1:21">
      <c r="A175" s="21" t="s">
        <v>34</v>
      </c>
      <c r="B175" s="26">
        <v>2017</v>
      </c>
      <c r="C175" s="21" t="s">
        <v>43</v>
      </c>
      <c r="D175" s="79">
        <f t="shared" si="2"/>
        <v>43009</v>
      </c>
      <c r="E175" s="27">
        <v>135.30000000000001</v>
      </c>
      <c r="F175" s="27">
        <v>142.19999999999999</v>
      </c>
      <c r="G175" s="27">
        <v>131.19999999999999</v>
      </c>
      <c r="H175" s="27">
        <v>140.6</v>
      </c>
      <c r="I175" s="27">
        <v>119</v>
      </c>
      <c r="J175" s="27">
        <v>141.5</v>
      </c>
      <c r="K175" s="27">
        <v>162.6</v>
      </c>
      <c r="L175" s="27">
        <v>132.30000000000001</v>
      </c>
      <c r="M175" s="27">
        <v>121.8</v>
      </c>
      <c r="N175" s="27">
        <v>136.30000000000001</v>
      </c>
      <c r="O175" s="21">
        <v>142</v>
      </c>
      <c r="P175" s="21">
        <v>134.1</v>
      </c>
      <c r="Q175" s="22">
        <v>137.30000000000001</v>
      </c>
      <c r="R175" s="21">
        <v>133.6</v>
      </c>
      <c r="S175" s="21">
        <v>131.30000000000001</v>
      </c>
      <c r="T175" s="27">
        <v>117.8</v>
      </c>
      <c r="U175" s="27">
        <v>137.9</v>
      </c>
    </row>
    <row r="176" spans="1:21">
      <c r="A176" s="21" t="s">
        <v>30</v>
      </c>
      <c r="B176" s="26">
        <v>2017</v>
      </c>
      <c r="C176" s="21" t="s">
        <v>45</v>
      </c>
      <c r="D176" s="79">
        <f t="shared" si="2"/>
        <v>43040</v>
      </c>
      <c r="E176" s="27">
        <v>136.30000000000001</v>
      </c>
      <c r="F176" s="27">
        <v>142.5</v>
      </c>
      <c r="G176" s="27">
        <v>140.5</v>
      </c>
      <c r="H176" s="27">
        <v>141.5</v>
      </c>
      <c r="I176" s="27">
        <v>121.6</v>
      </c>
      <c r="J176" s="27">
        <v>147.30000000000001</v>
      </c>
      <c r="K176" s="27">
        <v>168</v>
      </c>
      <c r="L176" s="27">
        <v>135.80000000000001</v>
      </c>
      <c r="M176" s="27">
        <v>122.5</v>
      </c>
      <c r="N176" s="27">
        <v>136</v>
      </c>
      <c r="O176" s="21">
        <v>148.19999999999999</v>
      </c>
      <c r="P176" s="21">
        <v>141.5</v>
      </c>
      <c r="Q176" s="22">
        <v>139.25</v>
      </c>
      <c r="R176" s="21">
        <v>139.4</v>
      </c>
      <c r="S176" s="21">
        <v>135.80000000000001</v>
      </c>
      <c r="T176" s="27">
        <v>121.6</v>
      </c>
      <c r="U176" s="27">
        <v>141.5</v>
      </c>
    </row>
    <row r="177" spans="1:21">
      <c r="A177" s="21" t="s">
        <v>33</v>
      </c>
      <c r="B177" s="26">
        <v>2017</v>
      </c>
      <c r="C177" s="21" t="s">
        <v>45</v>
      </c>
      <c r="D177" s="79">
        <f t="shared" si="2"/>
        <v>43040</v>
      </c>
      <c r="E177" s="27">
        <v>134.30000000000001</v>
      </c>
      <c r="F177" s="27">
        <v>142.1</v>
      </c>
      <c r="G177" s="27">
        <v>146.69999999999999</v>
      </c>
      <c r="H177" s="27">
        <v>139.5</v>
      </c>
      <c r="I177" s="27">
        <v>115.2</v>
      </c>
      <c r="J177" s="27">
        <v>136.4</v>
      </c>
      <c r="K177" s="27">
        <v>185.2</v>
      </c>
      <c r="L177" s="27">
        <v>122.2</v>
      </c>
      <c r="M177" s="27">
        <v>123.9</v>
      </c>
      <c r="N177" s="27">
        <v>138.30000000000001</v>
      </c>
      <c r="O177" s="21">
        <v>135</v>
      </c>
      <c r="P177" s="21">
        <v>125.4</v>
      </c>
      <c r="Q177" s="22">
        <v>138.6</v>
      </c>
      <c r="R177" s="21">
        <v>128.80000000000001</v>
      </c>
      <c r="S177" s="21">
        <v>127.4</v>
      </c>
      <c r="T177" s="27">
        <v>115.3</v>
      </c>
      <c r="U177" s="27">
        <v>136.6</v>
      </c>
    </row>
    <row r="178" spans="1:21">
      <c r="A178" s="21" t="s">
        <v>34</v>
      </c>
      <c r="B178" s="26">
        <v>2017</v>
      </c>
      <c r="C178" s="21" t="s">
        <v>45</v>
      </c>
      <c r="D178" s="79">
        <f t="shared" si="2"/>
        <v>43040</v>
      </c>
      <c r="E178" s="27">
        <v>135.69999999999999</v>
      </c>
      <c r="F178" s="27">
        <v>142.4</v>
      </c>
      <c r="G178" s="27">
        <v>142.9</v>
      </c>
      <c r="H178" s="27">
        <v>140.80000000000001</v>
      </c>
      <c r="I178" s="27">
        <v>119.2</v>
      </c>
      <c r="J178" s="27">
        <v>142.19999999999999</v>
      </c>
      <c r="K178" s="27">
        <v>173.8</v>
      </c>
      <c r="L178" s="27">
        <v>131.19999999999999</v>
      </c>
      <c r="M178" s="27">
        <v>123</v>
      </c>
      <c r="N178" s="27">
        <v>136.80000000000001</v>
      </c>
      <c r="O178" s="21">
        <v>143</v>
      </c>
      <c r="P178" s="21">
        <v>134.80000000000001</v>
      </c>
      <c r="Q178" s="22">
        <v>138.6</v>
      </c>
      <c r="R178" s="21">
        <v>134.4</v>
      </c>
      <c r="S178" s="21">
        <v>132.6</v>
      </c>
      <c r="T178" s="27">
        <v>118.3</v>
      </c>
      <c r="U178" s="27">
        <v>138.6</v>
      </c>
    </row>
    <row r="179" spans="1:21">
      <c r="A179" s="21" t="s">
        <v>30</v>
      </c>
      <c r="B179" s="26">
        <v>2017</v>
      </c>
      <c r="C179" s="21" t="s">
        <v>46</v>
      </c>
      <c r="D179" s="79">
        <f t="shared" si="2"/>
        <v>43070</v>
      </c>
      <c r="E179" s="27">
        <v>136.4</v>
      </c>
      <c r="F179" s="27">
        <v>143.69999999999999</v>
      </c>
      <c r="G179" s="27">
        <v>144.80000000000001</v>
      </c>
      <c r="H179" s="27">
        <v>141.9</v>
      </c>
      <c r="I179" s="27">
        <v>123.1</v>
      </c>
      <c r="J179" s="27">
        <v>147.19999999999999</v>
      </c>
      <c r="K179" s="27">
        <v>161</v>
      </c>
      <c r="L179" s="27">
        <v>133.80000000000001</v>
      </c>
      <c r="M179" s="27">
        <v>121.9</v>
      </c>
      <c r="N179" s="27">
        <v>135.80000000000001</v>
      </c>
      <c r="O179" s="21">
        <v>148</v>
      </c>
      <c r="P179" s="21">
        <v>141.9</v>
      </c>
      <c r="Q179" s="22">
        <v>139.25</v>
      </c>
      <c r="R179" s="21">
        <v>139.5</v>
      </c>
      <c r="S179" s="21">
        <v>136.1</v>
      </c>
      <c r="T179" s="27">
        <v>122</v>
      </c>
      <c r="U179" s="27">
        <v>141.1</v>
      </c>
    </row>
    <row r="180" spans="1:21">
      <c r="A180" s="21" t="s">
        <v>33</v>
      </c>
      <c r="B180" s="26">
        <v>2017</v>
      </c>
      <c r="C180" s="21" t="s">
        <v>46</v>
      </c>
      <c r="D180" s="79">
        <f t="shared" si="2"/>
        <v>43070</v>
      </c>
      <c r="E180" s="27">
        <v>134.4</v>
      </c>
      <c r="F180" s="27">
        <v>142.6</v>
      </c>
      <c r="G180" s="27">
        <v>145.9</v>
      </c>
      <c r="H180" s="27">
        <v>139.5</v>
      </c>
      <c r="I180" s="27">
        <v>115.9</v>
      </c>
      <c r="J180" s="27">
        <v>135</v>
      </c>
      <c r="K180" s="27">
        <v>163.19999999999999</v>
      </c>
      <c r="L180" s="27">
        <v>119.8</v>
      </c>
      <c r="M180" s="27">
        <v>120.7</v>
      </c>
      <c r="N180" s="27">
        <v>139.69999999999999</v>
      </c>
      <c r="O180" s="21">
        <v>135.6</v>
      </c>
      <c r="P180" s="21">
        <v>125.6</v>
      </c>
      <c r="Q180" s="22">
        <v>139.1</v>
      </c>
      <c r="R180" s="21">
        <v>129.30000000000001</v>
      </c>
      <c r="S180" s="21">
        <v>128.19999999999999</v>
      </c>
      <c r="T180" s="27">
        <v>115.3</v>
      </c>
      <c r="U180" s="27">
        <v>136.69999999999999</v>
      </c>
    </row>
    <row r="181" spans="1:21">
      <c r="A181" s="21" t="s">
        <v>34</v>
      </c>
      <c r="B181" s="26">
        <v>2017</v>
      </c>
      <c r="C181" s="21" t="s">
        <v>46</v>
      </c>
      <c r="D181" s="79">
        <f t="shared" si="2"/>
        <v>43070</v>
      </c>
      <c r="E181" s="27">
        <v>135.80000000000001</v>
      </c>
      <c r="F181" s="27">
        <v>143.30000000000001</v>
      </c>
      <c r="G181" s="27">
        <v>145.19999999999999</v>
      </c>
      <c r="H181" s="27">
        <v>141</v>
      </c>
      <c r="I181" s="27">
        <v>120.5</v>
      </c>
      <c r="J181" s="27">
        <v>141.5</v>
      </c>
      <c r="K181" s="27">
        <v>161.69999999999999</v>
      </c>
      <c r="L181" s="27">
        <v>129.1</v>
      </c>
      <c r="M181" s="27">
        <v>121.5</v>
      </c>
      <c r="N181" s="27">
        <v>137.1</v>
      </c>
      <c r="O181" s="21">
        <v>143.1</v>
      </c>
      <c r="P181" s="21">
        <v>135.1</v>
      </c>
      <c r="Q181" s="22">
        <v>139.1</v>
      </c>
      <c r="R181" s="21">
        <v>134.69999999999999</v>
      </c>
      <c r="S181" s="21">
        <v>133.1</v>
      </c>
      <c r="T181" s="27">
        <v>118.5</v>
      </c>
      <c r="U181" s="27">
        <v>138.5</v>
      </c>
    </row>
    <row r="182" spans="1:21">
      <c r="A182" s="21" t="s">
        <v>30</v>
      </c>
      <c r="B182" s="26">
        <v>2018</v>
      </c>
      <c r="C182" s="21" t="s">
        <v>31</v>
      </c>
      <c r="D182" s="52">
        <f t="shared" si="2"/>
        <v>43101</v>
      </c>
      <c r="E182" s="27">
        <v>136.6</v>
      </c>
      <c r="F182" s="27">
        <v>144.4</v>
      </c>
      <c r="G182" s="27">
        <v>143.80000000000001</v>
      </c>
      <c r="H182" s="27">
        <v>142</v>
      </c>
      <c r="I182" s="27">
        <v>123.2</v>
      </c>
      <c r="J182" s="27">
        <v>147.9</v>
      </c>
      <c r="K182" s="27">
        <v>152.1</v>
      </c>
      <c r="L182" s="27">
        <v>131.80000000000001</v>
      </c>
      <c r="M182" s="27">
        <v>119.5</v>
      </c>
      <c r="N182" s="27">
        <v>136</v>
      </c>
      <c r="O182" s="21">
        <v>148.30000000000001</v>
      </c>
      <c r="P182" s="21">
        <v>142.30000000000001</v>
      </c>
      <c r="Q182" s="22">
        <v>139.25</v>
      </c>
      <c r="R182" s="21">
        <v>139.80000000000001</v>
      </c>
      <c r="S182" s="21">
        <v>136</v>
      </c>
      <c r="T182" s="27">
        <v>122.7</v>
      </c>
      <c r="U182" s="27">
        <v>141.6</v>
      </c>
    </row>
    <row r="183" spans="1:21">
      <c r="A183" s="21" t="s">
        <v>33</v>
      </c>
      <c r="B183" s="26">
        <v>2018</v>
      </c>
      <c r="C183" s="21" t="s">
        <v>31</v>
      </c>
      <c r="D183" s="52">
        <f t="shared" si="2"/>
        <v>43101</v>
      </c>
      <c r="E183" s="27">
        <v>134.6</v>
      </c>
      <c r="F183" s="27">
        <v>143.69999999999999</v>
      </c>
      <c r="G183" s="27">
        <v>143.6</v>
      </c>
      <c r="H183" s="27">
        <v>139.6</v>
      </c>
      <c r="I183" s="27">
        <v>116.4</v>
      </c>
      <c r="J183" s="27">
        <v>133.80000000000001</v>
      </c>
      <c r="K183" s="27">
        <v>150.5</v>
      </c>
      <c r="L183" s="27">
        <v>118.4</v>
      </c>
      <c r="M183" s="27">
        <v>117.3</v>
      </c>
      <c r="N183" s="27">
        <v>140.5</v>
      </c>
      <c r="O183" s="21">
        <v>136</v>
      </c>
      <c r="P183" s="21">
        <v>125.9</v>
      </c>
      <c r="Q183" s="22">
        <v>140.4</v>
      </c>
      <c r="R183" s="21">
        <v>129.5</v>
      </c>
      <c r="S183" s="21">
        <v>129</v>
      </c>
      <c r="T183" s="27">
        <v>116.3</v>
      </c>
      <c r="U183" s="27">
        <v>137.1</v>
      </c>
    </row>
    <row r="184" spans="1:21">
      <c r="A184" s="21" t="s">
        <v>34</v>
      </c>
      <c r="B184" s="26">
        <v>2018</v>
      </c>
      <c r="C184" s="21" t="s">
        <v>31</v>
      </c>
      <c r="D184" s="52">
        <f t="shared" si="2"/>
        <v>43101</v>
      </c>
      <c r="E184" s="27">
        <v>136</v>
      </c>
      <c r="F184" s="27">
        <v>144.19999999999999</v>
      </c>
      <c r="G184" s="27">
        <v>143.69999999999999</v>
      </c>
      <c r="H184" s="27">
        <v>141.1</v>
      </c>
      <c r="I184" s="27">
        <v>120.7</v>
      </c>
      <c r="J184" s="27">
        <v>141.30000000000001</v>
      </c>
      <c r="K184" s="27">
        <v>151.6</v>
      </c>
      <c r="L184" s="27">
        <v>127.3</v>
      </c>
      <c r="M184" s="27">
        <v>118.8</v>
      </c>
      <c r="N184" s="27">
        <v>137.5</v>
      </c>
      <c r="O184" s="21">
        <v>143.5</v>
      </c>
      <c r="P184" s="21">
        <v>135.5</v>
      </c>
      <c r="Q184" s="22">
        <v>140.4</v>
      </c>
      <c r="R184" s="21">
        <v>134.9</v>
      </c>
      <c r="S184" s="21">
        <v>133.30000000000001</v>
      </c>
      <c r="T184" s="27">
        <v>119.3</v>
      </c>
      <c r="U184" s="27">
        <v>139</v>
      </c>
    </row>
    <row r="185" spans="1:21">
      <c r="A185" s="21" t="s">
        <v>30</v>
      </c>
      <c r="B185" s="26">
        <v>2018</v>
      </c>
      <c r="C185" s="21" t="s">
        <v>35</v>
      </c>
      <c r="D185" s="52">
        <f t="shared" si="2"/>
        <v>43132</v>
      </c>
      <c r="E185" s="27">
        <v>136.4</v>
      </c>
      <c r="F185" s="27">
        <v>143.69999999999999</v>
      </c>
      <c r="G185" s="27">
        <v>140.6</v>
      </c>
      <c r="H185" s="27">
        <v>141.5</v>
      </c>
      <c r="I185" s="27">
        <v>122.9</v>
      </c>
      <c r="J185" s="27">
        <v>149.4</v>
      </c>
      <c r="K185" s="27">
        <v>142.4</v>
      </c>
      <c r="L185" s="27">
        <v>130.19999999999999</v>
      </c>
      <c r="M185" s="27">
        <v>117.9</v>
      </c>
      <c r="N185" s="27">
        <v>135.6</v>
      </c>
      <c r="O185" s="21">
        <v>148.69999999999999</v>
      </c>
      <c r="P185" s="21">
        <v>142.4</v>
      </c>
      <c r="Q185" s="22">
        <v>139.25</v>
      </c>
      <c r="R185" s="21">
        <v>139.9</v>
      </c>
      <c r="S185" s="21">
        <v>136.19999999999999</v>
      </c>
      <c r="T185" s="27">
        <v>123.3</v>
      </c>
      <c r="U185" s="27">
        <v>141.5</v>
      </c>
    </row>
    <row r="186" spans="1:21">
      <c r="A186" s="21" t="s">
        <v>33</v>
      </c>
      <c r="B186" s="26">
        <v>2018</v>
      </c>
      <c r="C186" s="21" t="s">
        <v>35</v>
      </c>
      <c r="D186" s="52">
        <f t="shared" si="2"/>
        <v>43132</v>
      </c>
      <c r="E186" s="27">
        <v>134.80000000000001</v>
      </c>
      <c r="F186" s="27">
        <v>143</v>
      </c>
      <c r="G186" s="27">
        <v>139.9</v>
      </c>
      <c r="H186" s="27">
        <v>139.9</v>
      </c>
      <c r="I186" s="27">
        <v>116.2</v>
      </c>
      <c r="J186" s="27">
        <v>135.5</v>
      </c>
      <c r="K186" s="27">
        <v>136.9</v>
      </c>
      <c r="L186" s="27">
        <v>117</v>
      </c>
      <c r="M186" s="27">
        <v>115.4</v>
      </c>
      <c r="N186" s="27">
        <v>140.69999999999999</v>
      </c>
      <c r="O186" s="21">
        <v>136.30000000000001</v>
      </c>
      <c r="P186" s="21">
        <v>126.1</v>
      </c>
      <c r="Q186" s="22">
        <v>141.30000000000001</v>
      </c>
      <c r="R186" s="21">
        <v>129.9</v>
      </c>
      <c r="S186" s="21">
        <v>129.80000000000001</v>
      </c>
      <c r="T186" s="27">
        <v>117.4</v>
      </c>
      <c r="U186" s="27">
        <v>137.19999999999999</v>
      </c>
    </row>
    <row r="187" spans="1:21">
      <c r="A187" s="21" t="s">
        <v>34</v>
      </c>
      <c r="B187" s="26">
        <v>2018</v>
      </c>
      <c r="C187" s="21" t="s">
        <v>35</v>
      </c>
      <c r="D187" s="52">
        <f t="shared" si="2"/>
        <v>43132</v>
      </c>
      <c r="E187" s="27">
        <v>135.9</v>
      </c>
      <c r="F187" s="27">
        <v>143.5</v>
      </c>
      <c r="G187" s="27">
        <v>140.30000000000001</v>
      </c>
      <c r="H187" s="27">
        <v>140.9</v>
      </c>
      <c r="I187" s="27">
        <v>120.4</v>
      </c>
      <c r="J187" s="27">
        <v>142.9</v>
      </c>
      <c r="K187" s="27">
        <v>140.5</v>
      </c>
      <c r="L187" s="27">
        <v>125.8</v>
      </c>
      <c r="M187" s="27">
        <v>117.1</v>
      </c>
      <c r="N187" s="27">
        <v>137.30000000000001</v>
      </c>
      <c r="O187" s="21">
        <v>143.80000000000001</v>
      </c>
      <c r="P187" s="21">
        <v>135.6</v>
      </c>
      <c r="Q187" s="22">
        <v>141.30000000000001</v>
      </c>
      <c r="R187" s="21">
        <v>135.19999999999999</v>
      </c>
      <c r="S187" s="21">
        <v>133.80000000000001</v>
      </c>
      <c r="T187" s="27">
        <v>120.2</v>
      </c>
      <c r="U187" s="27">
        <v>139</v>
      </c>
    </row>
    <row r="188" spans="1:21">
      <c r="A188" s="21" t="s">
        <v>30</v>
      </c>
      <c r="B188" s="26">
        <v>2018</v>
      </c>
      <c r="C188" s="21" t="s">
        <v>36</v>
      </c>
      <c r="D188" s="52">
        <f t="shared" si="2"/>
        <v>43160</v>
      </c>
      <c r="E188" s="27">
        <v>136.80000000000001</v>
      </c>
      <c r="F188" s="27">
        <v>143.80000000000001</v>
      </c>
      <c r="G188" s="27">
        <v>140</v>
      </c>
      <c r="H188" s="27">
        <v>142</v>
      </c>
      <c r="I188" s="27">
        <v>123.2</v>
      </c>
      <c r="J188" s="27">
        <v>152.9</v>
      </c>
      <c r="K188" s="27">
        <v>138</v>
      </c>
      <c r="L188" s="27">
        <v>129.30000000000001</v>
      </c>
      <c r="M188" s="27">
        <v>117.1</v>
      </c>
      <c r="N188" s="27">
        <v>136.30000000000001</v>
      </c>
      <c r="O188" s="21">
        <v>149.19999999999999</v>
      </c>
      <c r="P188" s="21">
        <v>143</v>
      </c>
      <c r="Q188" s="22">
        <v>139.25</v>
      </c>
      <c r="R188" s="21">
        <v>139.9</v>
      </c>
      <c r="S188" s="21">
        <v>136.69999999999999</v>
      </c>
      <c r="T188" s="27">
        <v>124.6</v>
      </c>
      <c r="U188" s="27">
        <v>142.69999999999999</v>
      </c>
    </row>
    <row r="189" spans="1:21">
      <c r="A189" s="21" t="s">
        <v>33</v>
      </c>
      <c r="B189" s="26">
        <v>2018</v>
      </c>
      <c r="C189" s="21" t="s">
        <v>36</v>
      </c>
      <c r="D189" s="52">
        <f t="shared" si="2"/>
        <v>43160</v>
      </c>
      <c r="E189" s="27">
        <v>135</v>
      </c>
      <c r="F189" s="27">
        <v>143.1</v>
      </c>
      <c r="G189" s="27">
        <v>135.5</v>
      </c>
      <c r="H189" s="27">
        <v>139.9</v>
      </c>
      <c r="I189" s="27">
        <v>116.5</v>
      </c>
      <c r="J189" s="27">
        <v>138.5</v>
      </c>
      <c r="K189" s="27">
        <v>128</v>
      </c>
      <c r="L189" s="27">
        <v>115.5</v>
      </c>
      <c r="M189" s="27">
        <v>114.2</v>
      </c>
      <c r="N189" s="27">
        <v>140.69999999999999</v>
      </c>
      <c r="O189" s="21">
        <v>136.69999999999999</v>
      </c>
      <c r="P189" s="21">
        <v>126.7</v>
      </c>
      <c r="Q189" s="22">
        <v>142</v>
      </c>
      <c r="R189" s="21">
        <v>130.80000000000001</v>
      </c>
      <c r="S189" s="21">
        <v>130.5</v>
      </c>
      <c r="T189" s="27">
        <v>117.8</v>
      </c>
      <c r="U189" s="27">
        <v>137.80000000000001</v>
      </c>
    </row>
    <row r="190" spans="1:21">
      <c r="A190" s="21" t="s">
        <v>34</v>
      </c>
      <c r="B190" s="26">
        <v>2018</v>
      </c>
      <c r="C190" s="21" t="s">
        <v>36</v>
      </c>
      <c r="D190" s="52">
        <f t="shared" si="2"/>
        <v>43160</v>
      </c>
      <c r="E190" s="27">
        <v>136.19999999999999</v>
      </c>
      <c r="F190" s="27">
        <v>143.6</v>
      </c>
      <c r="G190" s="27">
        <v>138.30000000000001</v>
      </c>
      <c r="H190" s="27">
        <v>141.19999999999999</v>
      </c>
      <c r="I190" s="27">
        <v>120.7</v>
      </c>
      <c r="J190" s="27">
        <v>146.19999999999999</v>
      </c>
      <c r="K190" s="27">
        <v>134.6</v>
      </c>
      <c r="L190" s="27">
        <v>124.6</v>
      </c>
      <c r="M190" s="27">
        <v>116.1</v>
      </c>
      <c r="N190" s="27">
        <v>137.80000000000001</v>
      </c>
      <c r="O190" s="21">
        <v>144.30000000000001</v>
      </c>
      <c r="P190" s="21">
        <v>136.19999999999999</v>
      </c>
      <c r="Q190" s="22">
        <v>142</v>
      </c>
      <c r="R190" s="21">
        <v>135.6</v>
      </c>
      <c r="S190" s="21">
        <v>134.30000000000001</v>
      </c>
      <c r="T190" s="27">
        <v>121</v>
      </c>
      <c r="U190" s="27">
        <v>139.80000000000001</v>
      </c>
    </row>
    <row r="191" spans="1:21">
      <c r="A191" s="21" t="s">
        <v>30</v>
      </c>
      <c r="B191" s="26">
        <v>2018</v>
      </c>
      <c r="C191" s="21" t="s">
        <v>37</v>
      </c>
      <c r="D191" s="52">
        <f t="shared" si="2"/>
        <v>43191</v>
      </c>
      <c r="E191" s="27">
        <v>137.1</v>
      </c>
      <c r="F191" s="27">
        <v>144.5</v>
      </c>
      <c r="G191" s="27">
        <v>135.9</v>
      </c>
      <c r="H191" s="27">
        <v>142.4</v>
      </c>
      <c r="I191" s="27">
        <v>123.5</v>
      </c>
      <c r="J191" s="27">
        <v>156.4</v>
      </c>
      <c r="K191" s="27">
        <v>135.1</v>
      </c>
      <c r="L191" s="27">
        <v>128.4</v>
      </c>
      <c r="M191" s="27">
        <v>115.2</v>
      </c>
      <c r="N191" s="27">
        <v>137.19999999999999</v>
      </c>
      <c r="O191" s="21">
        <v>150.1</v>
      </c>
      <c r="P191" s="21">
        <v>143.30000000000001</v>
      </c>
      <c r="Q191" s="22">
        <v>139.25</v>
      </c>
      <c r="R191" s="21">
        <v>140.9</v>
      </c>
      <c r="S191" s="21">
        <v>137.6</v>
      </c>
      <c r="T191" s="27">
        <v>125.3</v>
      </c>
      <c r="U191" s="27">
        <v>143.69999999999999</v>
      </c>
    </row>
    <row r="192" spans="1:21">
      <c r="A192" s="21" t="s">
        <v>33</v>
      </c>
      <c r="B192" s="26">
        <v>2018</v>
      </c>
      <c r="C192" s="21" t="s">
        <v>37</v>
      </c>
      <c r="D192" s="52">
        <f t="shared" si="2"/>
        <v>43191</v>
      </c>
      <c r="E192" s="27">
        <v>135</v>
      </c>
      <c r="F192" s="27">
        <v>144.30000000000001</v>
      </c>
      <c r="G192" s="27">
        <v>130.80000000000001</v>
      </c>
      <c r="H192" s="27">
        <v>140.30000000000001</v>
      </c>
      <c r="I192" s="27">
        <v>116.6</v>
      </c>
      <c r="J192" s="27">
        <v>150.1</v>
      </c>
      <c r="K192" s="27">
        <v>127.6</v>
      </c>
      <c r="L192" s="27">
        <v>114</v>
      </c>
      <c r="M192" s="27">
        <v>110.6</v>
      </c>
      <c r="N192" s="27">
        <v>140.19999999999999</v>
      </c>
      <c r="O192" s="21">
        <v>137.80000000000001</v>
      </c>
      <c r="P192" s="21">
        <v>127.4</v>
      </c>
      <c r="Q192" s="22">
        <v>142.9</v>
      </c>
      <c r="R192" s="21">
        <v>131.80000000000001</v>
      </c>
      <c r="S192" s="21">
        <v>131.30000000000001</v>
      </c>
      <c r="T192" s="27">
        <v>118.9</v>
      </c>
      <c r="U192" s="27">
        <v>139.69999999999999</v>
      </c>
    </row>
    <row r="193" spans="1:21">
      <c r="A193" s="21" t="s">
        <v>34</v>
      </c>
      <c r="B193" s="26">
        <v>2018</v>
      </c>
      <c r="C193" s="21" t="s">
        <v>37</v>
      </c>
      <c r="D193" s="52">
        <f t="shared" si="2"/>
        <v>43191</v>
      </c>
      <c r="E193" s="27">
        <v>136.4</v>
      </c>
      <c r="F193" s="27">
        <v>144.4</v>
      </c>
      <c r="G193" s="27">
        <v>133.9</v>
      </c>
      <c r="H193" s="27">
        <v>141.6</v>
      </c>
      <c r="I193" s="27">
        <v>121</v>
      </c>
      <c r="J193" s="27">
        <v>153.5</v>
      </c>
      <c r="K193" s="27">
        <v>132.6</v>
      </c>
      <c r="L193" s="27">
        <v>123.5</v>
      </c>
      <c r="M193" s="27">
        <v>113.7</v>
      </c>
      <c r="N193" s="27">
        <v>138.19999999999999</v>
      </c>
      <c r="O193" s="21">
        <v>145.30000000000001</v>
      </c>
      <c r="P193" s="21">
        <v>136.69999999999999</v>
      </c>
      <c r="Q193" s="22">
        <v>142.9</v>
      </c>
      <c r="R193" s="21">
        <v>136.6</v>
      </c>
      <c r="S193" s="21">
        <v>135.19999999999999</v>
      </c>
      <c r="T193" s="27">
        <v>121.9</v>
      </c>
      <c r="U193" s="27">
        <v>141.4</v>
      </c>
    </row>
    <row r="194" spans="1:21">
      <c r="A194" s="21" t="s">
        <v>30</v>
      </c>
      <c r="B194" s="26">
        <v>2018</v>
      </c>
      <c r="C194" s="21" t="s">
        <v>38</v>
      </c>
      <c r="D194" s="52">
        <f t="shared" si="2"/>
        <v>43221</v>
      </c>
      <c r="E194" s="27">
        <v>137.4</v>
      </c>
      <c r="F194" s="27">
        <v>145.69999999999999</v>
      </c>
      <c r="G194" s="27">
        <v>135.5</v>
      </c>
      <c r="H194" s="27">
        <v>142.9</v>
      </c>
      <c r="I194" s="27">
        <v>123.6</v>
      </c>
      <c r="J194" s="27">
        <v>157.5</v>
      </c>
      <c r="K194" s="27">
        <v>137.80000000000001</v>
      </c>
      <c r="L194" s="27">
        <v>127.2</v>
      </c>
      <c r="M194" s="27">
        <v>111.8</v>
      </c>
      <c r="N194" s="27">
        <v>137.4</v>
      </c>
      <c r="O194" s="21">
        <v>150.80000000000001</v>
      </c>
      <c r="P194" s="21">
        <v>144.1</v>
      </c>
      <c r="Q194" s="22">
        <v>139.25</v>
      </c>
      <c r="R194" s="21">
        <v>141.80000000000001</v>
      </c>
      <c r="S194" s="21">
        <v>138.4</v>
      </c>
      <c r="T194" s="27">
        <v>126.4</v>
      </c>
      <c r="U194" s="27">
        <v>144.4</v>
      </c>
    </row>
    <row r="195" spans="1:21">
      <c r="A195" s="21" t="s">
        <v>33</v>
      </c>
      <c r="B195" s="26">
        <v>2018</v>
      </c>
      <c r="C195" s="21" t="s">
        <v>38</v>
      </c>
      <c r="D195" s="52">
        <f t="shared" ref="D195:D258" si="3">DATE(B195,MONTH(1&amp;C195),1)</f>
        <v>43221</v>
      </c>
      <c r="E195" s="27">
        <v>135</v>
      </c>
      <c r="F195" s="27">
        <v>148.19999999999999</v>
      </c>
      <c r="G195" s="27">
        <v>130.5</v>
      </c>
      <c r="H195" s="27">
        <v>140.69999999999999</v>
      </c>
      <c r="I195" s="27">
        <v>116.4</v>
      </c>
      <c r="J195" s="27">
        <v>151.30000000000001</v>
      </c>
      <c r="K195" s="27">
        <v>131.4</v>
      </c>
      <c r="L195" s="27">
        <v>112.8</v>
      </c>
      <c r="M195" s="27">
        <v>105.3</v>
      </c>
      <c r="N195" s="27">
        <v>139.6</v>
      </c>
      <c r="O195" s="21">
        <v>138.6</v>
      </c>
      <c r="P195" s="21">
        <v>127.9</v>
      </c>
      <c r="Q195" s="22">
        <v>143.19999999999999</v>
      </c>
      <c r="R195" s="21">
        <v>132.5</v>
      </c>
      <c r="S195" s="21">
        <v>132</v>
      </c>
      <c r="T195" s="27">
        <v>119.8</v>
      </c>
      <c r="U195" s="27">
        <v>140.4</v>
      </c>
    </row>
    <row r="196" spans="1:21">
      <c r="A196" s="21" t="s">
        <v>34</v>
      </c>
      <c r="B196" s="26">
        <v>2018</v>
      </c>
      <c r="C196" s="21" t="s">
        <v>38</v>
      </c>
      <c r="D196" s="52">
        <f t="shared" si="3"/>
        <v>43221</v>
      </c>
      <c r="E196" s="27">
        <v>136.6</v>
      </c>
      <c r="F196" s="27">
        <v>146.6</v>
      </c>
      <c r="G196" s="27">
        <v>133.6</v>
      </c>
      <c r="H196" s="27">
        <v>142.1</v>
      </c>
      <c r="I196" s="27">
        <v>121</v>
      </c>
      <c r="J196" s="27">
        <v>154.6</v>
      </c>
      <c r="K196" s="27">
        <v>135.6</v>
      </c>
      <c r="L196" s="27">
        <v>122.3</v>
      </c>
      <c r="M196" s="27">
        <v>109.6</v>
      </c>
      <c r="N196" s="27">
        <v>138.1</v>
      </c>
      <c r="O196" s="21">
        <v>146</v>
      </c>
      <c r="P196" s="21">
        <v>137.4</v>
      </c>
      <c r="Q196" s="22">
        <v>143.19999999999999</v>
      </c>
      <c r="R196" s="21">
        <v>137.4</v>
      </c>
      <c r="S196" s="21">
        <v>136</v>
      </c>
      <c r="T196" s="27">
        <v>122.9</v>
      </c>
      <c r="U196" s="27">
        <v>142.1</v>
      </c>
    </row>
    <row r="197" spans="1:21">
      <c r="A197" s="21" t="s">
        <v>30</v>
      </c>
      <c r="B197" s="26">
        <v>2018</v>
      </c>
      <c r="C197" s="21" t="s">
        <v>39</v>
      </c>
      <c r="D197" s="52">
        <f t="shared" si="3"/>
        <v>43252</v>
      </c>
      <c r="E197" s="27">
        <v>137.6</v>
      </c>
      <c r="F197" s="27">
        <v>148.1</v>
      </c>
      <c r="G197" s="27">
        <v>136.69999999999999</v>
      </c>
      <c r="H197" s="27">
        <v>143.19999999999999</v>
      </c>
      <c r="I197" s="27">
        <v>124</v>
      </c>
      <c r="J197" s="27">
        <v>154.1</v>
      </c>
      <c r="K197" s="27">
        <v>143.5</v>
      </c>
      <c r="L197" s="27">
        <v>126</v>
      </c>
      <c r="M197" s="27">
        <v>112.4</v>
      </c>
      <c r="N197" s="27">
        <v>137.6</v>
      </c>
      <c r="O197" s="21">
        <v>151.30000000000001</v>
      </c>
      <c r="P197" s="21">
        <v>144.69999999999999</v>
      </c>
      <c r="Q197" s="22">
        <v>139.25</v>
      </c>
      <c r="R197" s="21">
        <v>142.19999999999999</v>
      </c>
      <c r="S197" s="21">
        <v>138.4</v>
      </c>
      <c r="T197" s="27">
        <v>127.4</v>
      </c>
      <c r="U197" s="27">
        <v>145.1</v>
      </c>
    </row>
    <row r="198" spans="1:21">
      <c r="A198" s="21" t="s">
        <v>33</v>
      </c>
      <c r="B198" s="26">
        <v>2018</v>
      </c>
      <c r="C198" s="21" t="s">
        <v>39</v>
      </c>
      <c r="D198" s="52">
        <f t="shared" si="3"/>
        <v>43252</v>
      </c>
      <c r="E198" s="27">
        <v>135.30000000000001</v>
      </c>
      <c r="F198" s="27">
        <v>149.69999999999999</v>
      </c>
      <c r="G198" s="27">
        <v>133.9</v>
      </c>
      <c r="H198" s="27">
        <v>140.80000000000001</v>
      </c>
      <c r="I198" s="27">
        <v>116.6</v>
      </c>
      <c r="J198" s="27">
        <v>152.19999999999999</v>
      </c>
      <c r="K198" s="27">
        <v>144</v>
      </c>
      <c r="L198" s="27">
        <v>112.3</v>
      </c>
      <c r="M198" s="27">
        <v>108.4</v>
      </c>
      <c r="N198" s="27">
        <v>140</v>
      </c>
      <c r="O198" s="21">
        <v>138.9</v>
      </c>
      <c r="P198" s="21">
        <v>128.69999999999999</v>
      </c>
      <c r="Q198" s="22">
        <v>142.5</v>
      </c>
      <c r="R198" s="21">
        <v>133.1</v>
      </c>
      <c r="S198" s="21">
        <v>132.6</v>
      </c>
      <c r="T198" s="27">
        <v>120.4</v>
      </c>
      <c r="U198" s="27">
        <v>141.19999999999999</v>
      </c>
    </row>
    <row r="199" spans="1:21">
      <c r="A199" s="21" t="s">
        <v>34</v>
      </c>
      <c r="B199" s="26">
        <v>2018</v>
      </c>
      <c r="C199" s="21" t="s">
        <v>39</v>
      </c>
      <c r="D199" s="52">
        <f t="shared" si="3"/>
        <v>43252</v>
      </c>
      <c r="E199" s="27">
        <v>136.9</v>
      </c>
      <c r="F199" s="27">
        <v>148.69999999999999</v>
      </c>
      <c r="G199" s="27">
        <v>135.6</v>
      </c>
      <c r="H199" s="27">
        <v>142.30000000000001</v>
      </c>
      <c r="I199" s="27">
        <v>121.3</v>
      </c>
      <c r="J199" s="27">
        <v>153.19999999999999</v>
      </c>
      <c r="K199" s="27">
        <v>143.69999999999999</v>
      </c>
      <c r="L199" s="27">
        <v>121.4</v>
      </c>
      <c r="M199" s="27">
        <v>111.1</v>
      </c>
      <c r="N199" s="27">
        <v>138.4</v>
      </c>
      <c r="O199" s="21">
        <v>146.4</v>
      </c>
      <c r="P199" s="21">
        <v>138.1</v>
      </c>
      <c r="Q199" s="22">
        <v>142.5</v>
      </c>
      <c r="R199" s="21">
        <v>137.9</v>
      </c>
      <c r="S199" s="21">
        <v>136.19999999999999</v>
      </c>
      <c r="T199" s="27">
        <v>123.7</v>
      </c>
      <c r="U199" s="27">
        <v>142.80000000000001</v>
      </c>
    </row>
    <row r="200" spans="1:21">
      <c r="A200" s="21" t="s">
        <v>30</v>
      </c>
      <c r="B200" s="26">
        <v>2018</v>
      </c>
      <c r="C200" s="21" t="s">
        <v>40</v>
      </c>
      <c r="D200" s="52">
        <f t="shared" si="3"/>
        <v>43282</v>
      </c>
      <c r="E200" s="27">
        <v>138.4</v>
      </c>
      <c r="F200" s="27">
        <v>149.30000000000001</v>
      </c>
      <c r="G200" s="27">
        <v>139.30000000000001</v>
      </c>
      <c r="H200" s="27">
        <v>143.4</v>
      </c>
      <c r="I200" s="27">
        <v>124.1</v>
      </c>
      <c r="J200" s="27">
        <v>153.30000000000001</v>
      </c>
      <c r="K200" s="27">
        <v>154.19999999999999</v>
      </c>
      <c r="L200" s="27">
        <v>126.4</v>
      </c>
      <c r="M200" s="27">
        <v>114.3</v>
      </c>
      <c r="N200" s="27">
        <v>138.19999999999999</v>
      </c>
      <c r="O200" s="21">
        <v>151.5</v>
      </c>
      <c r="P200" s="21">
        <v>145.1</v>
      </c>
      <c r="Q200" s="22">
        <v>139.25</v>
      </c>
      <c r="R200" s="21">
        <v>143.1</v>
      </c>
      <c r="S200" s="21">
        <v>139</v>
      </c>
      <c r="T200" s="27">
        <v>127.5</v>
      </c>
      <c r="U200" s="27">
        <v>145.80000000000001</v>
      </c>
    </row>
    <row r="201" spans="1:21">
      <c r="A201" s="21" t="s">
        <v>33</v>
      </c>
      <c r="B201" s="26">
        <v>2018</v>
      </c>
      <c r="C201" s="21" t="s">
        <v>40</v>
      </c>
      <c r="D201" s="52">
        <f t="shared" si="3"/>
        <v>43282</v>
      </c>
      <c r="E201" s="27">
        <v>135.6</v>
      </c>
      <c r="F201" s="27">
        <v>148.6</v>
      </c>
      <c r="G201" s="27">
        <v>139.1</v>
      </c>
      <c r="H201" s="27">
        <v>141</v>
      </c>
      <c r="I201" s="27">
        <v>116.7</v>
      </c>
      <c r="J201" s="27">
        <v>149.69999999999999</v>
      </c>
      <c r="K201" s="27">
        <v>159.19999999999999</v>
      </c>
      <c r="L201" s="27">
        <v>112.6</v>
      </c>
      <c r="M201" s="27">
        <v>111.8</v>
      </c>
      <c r="N201" s="27">
        <v>140.30000000000001</v>
      </c>
      <c r="O201" s="21">
        <v>139.6</v>
      </c>
      <c r="P201" s="21">
        <v>128.9</v>
      </c>
      <c r="Q201" s="22">
        <v>143.6</v>
      </c>
      <c r="R201" s="21">
        <v>133.6</v>
      </c>
      <c r="S201" s="21">
        <v>133.6</v>
      </c>
      <c r="T201" s="27">
        <v>120.1</v>
      </c>
      <c r="U201" s="27">
        <v>144</v>
      </c>
    </row>
    <row r="202" spans="1:21">
      <c r="A202" s="21" t="s">
        <v>34</v>
      </c>
      <c r="B202" s="26">
        <v>2018</v>
      </c>
      <c r="C202" s="21" t="s">
        <v>40</v>
      </c>
      <c r="D202" s="52">
        <f t="shared" si="3"/>
        <v>43282</v>
      </c>
      <c r="E202" s="27">
        <v>137.5</v>
      </c>
      <c r="F202" s="27">
        <v>149.1</v>
      </c>
      <c r="G202" s="27">
        <v>139.19999999999999</v>
      </c>
      <c r="H202" s="27">
        <v>142.5</v>
      </c>
      <c r="I202" s="27">
        <v>121.4</v>
      </c>
      <c r="J202" s="27">
        <v>151.6</v>
      </c>
      <c r="K202" s="27">
        <v>155.9</v>
      </c>
      <c r="L202" s="27">
        <v>121.7</v>
      </c>
      <c r="M202" s="27">
        <v>113.5</v>
      </c>
      <c r="N202" s="27">
        <v>138.9</v>
      </c>
      <c r="O202" s="21">
        <v>146.80000000000001</v>
      </c>
      <c r="P202" s="21">
        <v>138.4</v>
      </c>
      <c r="Q202" s="22">
        <v>143.6</v>
      </c>
      <c r="R202" s="21">
        <v>138.6</v>
      </c>
      <c r="S202" s="21">
        <v>137</v>
      </c>
      <c r="T202" s="27">
        <v>123.6</v>
      </c>
      <c r="U202" s="27">
        <v>144.69999999999999</v>
      </c>
    </row>
    <row r="203" spans="1:21">
      <c r="A203" s="21" t="s">
        <v>30</v>
      </c>
      <c r="B203" s="26">
        <v>2018</v>
      </c>
      <c r="C203" s="21" t="s">
        <v>41</v>
      </c>
      <c r="D203" s="52">
        <f t="shared" si="3"/>
        <v>43313</v>
      </c>
      <c r="E203" s="27">
        <v>139.19999999999999</v>
      </c>
      <c r="F203" s="27">
        <v>148.80000000000001</v>
      </c>
      <c r="G203" s="27">
        <v>139.1</v>
      </c>
      <c r="H203" s="27">
        <v>143.5</v>
      </c>
      <c r="I203" s="27">
        <v>125</v>
      </c>
      <c r="J203" s="27">
        <v>154.4</v>
      </c>
      <c r="K203" s="27">
        <v>156.30000000000001</v>
      </c>
      <c r="L203" s="27">
        <v>126.8</v>
      </c>
      <c r="M203" s="27">
        <v>115.4</v>
      </c>
      <c r="N203" s="27">
        <v>138.6</v>
      </c>
      <c r="O203" s="21">
        <v>152.1</v>
      </c>
      <c r="P203" s="21">
        <v>145.80000000000001</v>
      </c>
      <c r="Q203" s="22">
        <v>139.25</v>
      </c>
      <c r="R203" s="21">
        <v>143.80000000000001</v>
      </c>
      <c r="S203" s="21">
        <v>139.4</v>
      </c>
      <c r="T203" s="27">
        <v>128.30000000000001</v>
      </c>
      <c r="U203" s="27">
        <v>146.9</v>
      </c>
    </row>
    <row r="204" spans="1:21">
      <c r="A204" s="21" t="s">
        <v>33</v>
      </c>
      <c r="B204" s="26">
        <v>2018</v>
      </c>
      <c r="C204" s="21" t="s">
        <v>41</v>
      </c>
      <c r="D204" s="52">
        <f t="shared" si="3"/>
        <v>43313</v>
      </c>
      <c r="E204" s="27">
        <v>136.5</v>
      </c>
      <c r="F204" s="27">
        <v>146.4</v>
      </c>
      <c r="G204" s="27">
        <v>136.6</v>
      </c>
      <c r="H204" s="27">
        <v>141.19999999999999</v>
      </c>
      <c r="I204" s="27">
        <v>117.4</v>
      </c>
      <c r="J204" s="27">
        <v>146.30000000000001</v>
      </c>
      <c r="K204" s="27">
        <v>157.30000000000001</v>
      </c>
      <c r="L204" s="27">
        <v>113.6</v>
      </c>
      <c r="M204" s="27">
        <v>113.3</v>
      </c>
      <c r="N204" s="27">
        <v>141.1</v>
      </c>
      <c r="O204" s="21">
        <v>140</v>
      </c>
      <c r="P204" s="21">
        <v>129</v>
      </c>
      <c r="Q204" s="22">
        <v>144.6</v>
      </c>
      <c r="R204" s="21">
        <v>134.4</v>
      </c>
      <c r="S204" s="21">
        <v>134.9</v>
      </c>
      <c r="T204" s="27">
        <v>120.7</v>
      </c>
      <c r="U204" s="27">
        <v>145.30000000000001</v>
      </c>
    </row>
    <row r="205" spans="1:21">
      <c r="A205" s="21" t="s">
        <v>34</v>
      </c>
      <c r="B205" s="26">
        <v>2018</v>
      </c>
      <c r="C205" s="21" t="s">
        <v>41</v>
      </c>
      <c r="D205" s="52">
        <f t="shared" si="3"/>
        <v>43313</v>
      </c>
      <c r="E205" s="27">
        <v>138.30000000000001</v>
      </c>
      <c r="F205" s="27">
        <v>148</v>
      </c>
      <c r="G205" s="27">
        <v>138.1</v>
      </c>
      <c r="H205" s="27">
        <v>142.6</v>
      </c>
      <c r="I205" s="27">
        <v>122.2</v>
      </c>
      <c r="J205" s="27">
        <v>150.6</v>
      </c>
      <c r="K205" s="27">
        <v>156.6</v>
      </c>
      <c r="L205" s="27">
        <v>122.4</v>
      </c>
      <c r="M205" s="27">
        <v>114.7</v>
      </c>
      <c r="N205" s="27">
        <v>139.4</v>
      </c>
      <c r="O205" s="21">
        <v>147.30000000000001</v>
      </c>
      <c r="P205" s="21">
        <v>138.80000000000001</v>
      </c>
      <c r="Q205" s="22">
        <v>144.6</v>
      </c>
      <c r="R205" s="21">
        <v>139.4</v>
      </c>
      <c r="S205" s="21">
        <v>137.69999999999999</v>
      </c>
      <c r="T205" s="27">
        <v>124.3</v>
      </c>
      <c r="U205" s="27">
        <v>146</v>
      </c>
    </row>
    <row r="206" spans="1:21">
      <c r="A206" s="21" t="s">
        <v>30</v>
      </c>
      <c r="B206" s="26">
        <v>2018</v>
      </c>
      <c r="C206" s="21" t="s">
        <v>42</v>
      </c>
      <c r="D206" s="52">
        <f t="shared" si="3"/>
        <v>43344</v>
      </c>
      <c r="E206" s="27">
        <v>139.4</v>
      </c>
      <c r="F206" s="27">
        <v>147.19999999999999</v>
      </c>
      <c r="G206" s="27">
        <v>136.6</v>
      </c>
      <c r="H206" s="27">
        <v>143.69999999999999</v>
      </c>
      <c r="I206" s="27">
        <v>124.6</v>
      </c>
      <c r="J206" s="27">
        <v>150.1</v>
      </c>
      <c r="K206" s="27">
        <v>149.4</v>
      </c>
      <c r="L206" s="27">
        <v>125.4</v>
      </c>
      <c r="M206" s="27">
        <v>114.4</v>
      </c>
      <c r="N206" s="27">
        <v>138.69999999999999</v>
      </c>
      <c r="O206" s="21">
        <v>152.1</v>
      </c>
      <c r="P206" s="21">
        <v>146.1</v>
      </c>
      <c r="Q206" s="22">
        <v>139.25</v>
      </c>
      <c r="R206" s="21">
        <v>144</v>
      </c>
      <c r="S206" s="21">
        <v>140</v>
      </c>
      <c r="T206" s="27">
        <v>129.9</v>
      </c>
      <c r="U206" s="27">
        <v>147.6</v>
      </c>
    </row>
    <row r="207" spans="1:21">
      <c r="A207" s="21" t="s">
        <v>33</v>
      </c>
      <c r="B207" s="26">
        <v>2018</v>
      </c>
      <c r="C207" s="21" t="s">
        <v>42</v>
      </c>
      <c r="D207" s="52">
        <f t="shared" si="3"/>
        <v>43344</v>
      </c>
      <c r="E207" s="27">
        <v>137</v>
      </c>
      <c r="F207" s="27">
        <v>143.1</v>
      </c>
      <c r="G207" s="27">
        <v>132.80000000000001</v>
      </c>
      <c r="H207" s="27">
        <v>141.5</v>
      </c>
      <c r="I207" s="27">
        <v>117.8</v>
      </c>
      <c r="J207" s="27">
        <v>140</v>
      </c>
      <c r="K207" s="27">
        <v>151.30000000000001</v>
      </c>
      <c r="L207" s="27">
        <v>113.5</v>
      </c>
      <c r="M207" s="27">
        <v>112.3</v>
      </c>
      <c r="N207" s="27">
        <v>141.19999999999999</v>
      </c>
      <c r="O207" s="21">
        <v>140.80000000000001</v>
      </c>
      <c r="P207" s="21">
        <v>129.30000000000001</v>
      </c>
      <c r="Q207" s="22">
        <v>145.30000000000001</v>
      </c>
      <c r="R207" s="21">
        <v>134.9</v>
      </c>
      <c r="S207" s="21">
        <v>135.69999999999999</v>
      </c>
      <c r="T207" s="27">
        <v>122.5</v>
      </c>
      <c r="U207" s="27">
        <v>145.19999999999999</v>
      </c>
    </row>
    <row r="208" spans="1:21">
      <c r="A208" s="21" t="s">
        <v>34</v>
      </c>
      <c r="B208" s="26">
        <v>2018</v>
      </c>
      <c r="C208" s="21" t="s">
        <v>42</v>
      </c>
      <c r="D208" s="52">
        <f t="shared" si="3"/>
        <v>43344</v>
      </c>
      <c r="E208" s="27">
        <v>138.6</v>
      </c>
      <c r="F208" s="27">
        <v>145.80000000000001</v>
      </c>
      <c r="G208" s="27">
        <v>135.1</v>
      </c>
      <c r="H208" s="27">
        <v>142.9</v>
      </c>
      <c r="I208" s="27">
        <v>122.1</v>
      </c>
      <c r="J208" s="27">
        <v>145.4</v>
      </c>
      <c r="K208" s="27">
        <v>150</v>
      </c>
      <c r="L208" s="27">
        <v>121.4</v>
      </c>
      <c r="M208" s="27">
        <v>113.7</v>
      </c>
      <c r="N208" s="27">
        <v>139.5</v>
      </c>
      <c r="O208" s="21">
        <v>147.69999999999999</v>
      </c>
      <c r="P208" s="21">
        <v>139.1</v>
      </c>
      <c r="Q208" s="22">
        <v>145.30000000000001</v>
      </c>
      <c r="R208" s="21">
        <v>139.69999999999999</v>
      </c>
      <c r="S208" s="21">
        <v>138.4</v>
      </c>
      <c r="T208" s="27">
        <v>126</v>
      </c>
      <c r="U208" s="27">
        <v>146.19999999999999</v>
      </c>
    </row>
    <row r="209" spans="1:21">
      <c r="A209" s="21" t="s">
        <v>30</v>
      </c>
      <c r="B209" s="26">
        <v>2018</v>
      </c>
      <c r="C209" s="21" t="s">
        <v>43</v>
      </c>
      <c r="D209" s="52">
        <f t="shared" si="3"/>
        <v>43374</v>
      </c>
      <c r="E209" s="27">
        <v>139.30000000000001</v>
      </c>
      <c r="F209" s="27">
        <v>147.6</v>
      </c>
      <c r="G209" s="27">
        <v>134.6</v>
      </c>
      <c r="H209" s="27">
        <v>141.9</v>
      </c>
      <c r="I209" s="27">
        <v>123.5</v>
      </c>
      <c r="J209" s="27">
        <v>144.5</v>
      </c>
      <c r="K209" s="27">
        <v>147.6</v>
      </c>
      <c r="L209" s="27">
        <v>121.4</v>
      </c>
      <c r="M209" s="27">
        <v>112.3</v>
      </c>
      <c r="N209" s="27">
        <v>139.5</v>
      </c>
      <c r="O209" s="21">
        <v>150.69999999999999</v>
      </c>
      <c r="P209" s="21">
        <v>144.5</v>
      </c>
      <c r="Q209" s="22">
        <v>139.25</v>
      </c>
      <c r="R209" s="21">
        <v>147.5</v>
      </c>
      <c r="S209" s="21">
        <v>144.80000000000001</v>
      </c>
      <c r="T209" s="27">
        <v>130.80000000000001</v>
      </c>
      <c r="U209" s="27">
        <v>148</v>
      </c>
    </row>
    <row r="210" spans="1:21">
      <c r="A210" s="21" t="s">
        <v>33</v>
      </c>
      <c r="B210" s="26">
        <v>2018</v>
      </c>
      <c r="C210" s="21" t="s">
        <v>43</v>
      </c>
      <c r="D210" s="52">
        <f t="shared" si="3"/>
        <v>43374</v>
      </c>
      <c r="E210" s="27">
        <v>137.6</v>
      </c>
      <c r="F210" s="27">
        <v>144.9</v>
      </c>
      <c r="G210" s="27">
        <v>133.5</v>
      </c>
      <c r="H210" s="27">
        <v>141.5</v>
      </c>
      <c r="I210" s="27">
        <v>118</v>
      </c>
      <c r="J210" s="27">
        <v>139.5</v>
      </c>
      <c r="K210" s="27">
        <v>153</v>
      </c>
      <c r="L210" s="27">
        <v>113.2</v>
      </c>
      <c r="M210" s="27">
        <v>112.8</v>
      </c>
      <c r="N210" s="27">
        <v>141.1</v>
      </c>
      <c r="O210" s="21">
        <v>141.5</v>
      </c>
      <c r="P210" s="21">
        <v>129.80000000000001</v>
      </c>
      <c r="Q210" s="22">
        <v>146.30000000000001</v>
      </c>
      <c r="R210" s="21">
        <v>135.1</v>
      </c>
      <c r="S210" s="21">
        <v>136.19999999999999</v>
      </c>
      <c r="T210" s="27">
        <v>123.3</v>
      </c>
      <c r="U210" s="27">
        <v>145.5</v>
      </c>
    </row>
    <row r="211" spans="1:21">
      <c r="A211" s="21" t="s">
        <v>34</v>
      </c>
      <c r="B211" s="26">
        <v>2018</v>
      </c>
      <c r="C211" s="21" t="s">
        <v>43</v>
      </c>
      <c r="D211" s="52">
        <f t="shared" si="3"/>
        <v>43374</v>
      </c>
      <c r="E211" s="27">
        <v>137.4</v>
      </c>
      <c r="F211" s="27">
        <v>149.5</v>
      </c>
      <c r="G211" s="27">
        <v>137.30000000000001</v>
      </c>
      <c r="H211" s="27">
        <v>141.9</v>
      </c>
      <c r="I211" s="27">
        <v>121.1</v>
      </c>
      <c r="J211" s="27">
        <v>142.5</v>
      </c>
      <c r="K211" s="27">
        <v>146.69999999999999</v>
      </c>
      <c r="L211" s="27">
        <v>119.1</v>
      </c>
      <c r="M211" s="27">
        <v>111.9</v>
      </c>
      <c r="N211" s="27">
        <v>141</v>
      </c>
      <c r="O211" s="21">
        <v>148</v>
      </c>
      <c r="P211" s="21">
        <v>139.19999999999999</v>
      </c>
      <c r="Q211" s="22">
        <v>146.9</v>
      </c>
      <c r="R211" s="21">
        <v>142.19999999999999</v>
      </c>
      <c r="S211" s="21">
        <v>142.1</v>
      </c>
      <c r="T211" s="27">
        <v>125.5</v>
      </c>
      <c r="U211" s="27">
        <v>147.80000000000001</v>
      </c>
    </row>
    <row r="212" spans="1:21">
      <c r="A212" s="21" t="s">
        <v>30</v>
      </c>
      <c r="B212" s="26">
        <v>2018</v>
      </c>
      <c r="C212" s="21" t="s">
        <v>45</v>
      </c>
      <c r="D212" s="52">
        <f t="shared" si="3"/>
        <v>43405</v>
      </c>
      <c r="E212" s="27">
        <v>137.1</v>
      </c>
      <c r="F212" s="27">
        <v>150.80000000000001</v>
      </c>
      <c r="G212" s="27">
        <v>136.69999999999999</v>
      </c>
      <c r="H212" s="27">
        <v>141.9</v>
      </c>
      <c r="I212" s="27">
        <v>122.8</v>
      </c>
      <c r="J212" s="27">
        <v>143.9</v>
      </c>
      <c r="K212" s="27">
        <v>147.5</v>
      </c>
      <c r="L212" s="27">
        <v>121</v>
      </c>
      <c r="M212" s="27">
        <v>111.6</v>
      </c>
      <c r="N212" s="27">
        <v>140.6</v>
      </c>
      <c r="O212" s="21">
        <v>151.69999999999999</v>
      </c>
      <c r="P212" s="21">
        <v>145.5</v>
      </c>
      <c r="Q212" s="22">
        <v>139.25</v>
      </c>
      <c r="R212" s="21">
        <v>148</v>
      </c>
      <c r="S212" s="21">
        <v>145.4</v>
      </c>
      <c r="T212" s="27">
        <v>130.30000000000001</v>
      </c>
      <c r="U212" s="27">
        <v>150.19999999999999</v>
      </c>
    </row>
    <row r="213" spans="1:21">
      <c r="A213" s="21" t="s">
        <v>33</v>
      </c>
      <c r="B213" s="26">
        <v>2018</v>
      </c>
      <c r="C213" s="21" t="s">
        <v>45</v>
      </c>
      <c r="D213" s="52">
        <f t="shared" si="3"/>
        <v>43405</v>
      </c>
      <c r="E213" s="27">
        <v>138.1</v>
      </c>
      <c r="F213" s="27">
        <v>146.30000000000001</v>
      </c>
      <c r="G213" s="27">
        <v>137.80000000000001</v>
      </c>
      <c r="H213" s="27">
        <v>141.6</v>
      </c>
      <c r="I213" s="27">
        <v>118.1</v>
      </c>
      <c r="J213" s="27">
        <v>141.5</v>
      </c>
      <c r="K213" s="27">
        <v>145.19999999999999</v>
      </c>
      <c r="L213" s="27">
        <v>115.3</v>
      </c>
      <c r="M213" s="27">
        <v>112.5</v>
      </c>
      <c r="N213" s="27">
        <v>141.4</v>
      </c>
      <c r="O213" s="21">
        <v>142.4</v>
      </c>
      <c r="P213" s="21">
        <v>130.19999999999999</v>
      </c>
      <c r="Q213" s="22">
        <v>146.9</v>
      </c>
      <c r="R213" s="21">
        <v>135.80000000000001</v>
      </c>
      <c r="S213" s="21">
        <v>136.80000000000001</v>
      </c>
      <c r="T213" s="27">
        <v>121.2</v>
      </c>
      <c r="U213" s="27">
        <v>146.1</v>
      </c>
    </row>
    <row r="214" spans="1:21">
      <c r="A214" s="21" t="s">
        <v>34</v>
      </c>
      <c r="B214" s="26">
        <v>2018</v>
      </c>
      <c r="C214" s="21" t="s">
        <v>45</v>
      </c>
      <c r="D214" s="52">
        <f t="shared" si="3"/>
        <v>43405</v>
      </c>
      <c r="E214" s="27">
        <v>137.4</v>
      </c>
      <c r="F214" s="27">
        <v>149.19999999999999</v>
      </c>
      <c r="G214" s="27">
        <v>137.1</v>
      </c>
      <c r="H214" s="27">
        <v>141.80000000000001</v>
      </c>
      <c r="I214" s="27">
        <v>121.1</v>
      </c>
      <c r="J214" s="27">
        <v>142.80000000000001</v>
      </c>
      <c r="K214" s="27">
        <v>146.69999999999999</v>
      </c>
      <c r="L214" s="27">
        <v>119.1</v>
      </c>
      <c r="M214" s="27">
        <v>111.9</v>
      </c>
      <c r="N214" s="27">
        <v>140.9</v>
      </c>
      <c r="O214" s="21">
        <v>148</v>
      </c>
      <c r="P214" s="21">
        <v>139.1</v>
      </c>
      <c r="Q214" s="22">
        <v>146.9</v>
      </c>
      <c r="R214" s="21">
        <v>142.19999999999999</v>
      </c>
      <c r="S214" s="21">
        <v>142.1</v>
      </c>
      <c r="T214" s="27">
        <v>125.5</v>
      </c>
      <c r="U214" s="27">
        <v>147.80000000000001</v>
      </c>
    </row>
    <row r="215" spans="1:21">
      <c r="A215" s="21" t="s">
        <v>30</v>
      </c>
      <c r="B215" s="26">
        <v>2018</v>
      </c>
      <c r="C215" s="21" t="s">
        <v>46</v>
      </c>
      <c r="D215" s="52">
        <f t="shared" si="3"/>
        <v>43435</v>
      </c>
      <c r="E215" s="27">
        <v>137.1</v>
      </c>
      <c r="F215" s="27">
        <v>151.9</v>
      </c>
      <c r="G215" s="27">
        <v>137.4</v>
      </c>
      <c r="H215" s="27">
        <v>142.4</v>
      </c>
      <c r="I215" s="27">
        <v>124.2</v>
      </c>
      <c r="J215" s="27">
        <v>140.19999999999999</v>
      </c>
      <c r="K215" s="27">
        <v>136.6</v>
      </c>
      <c r="L215" s="27">
        <v>120.9</v>
      </c>
      <c r="M215" s="27">
        <v>109.9</v>
      </c>
      <c r="N215" s="27">
        <v>140.19999999999999</v>
      </c>
      <c r="O215" s="21">
        <v>151.6</v>
      </c>
      <c r="P215" s="21">
        <v>145.9</v>
      </c>
      <c r="Q215" s="22">
        <v>139.25</v>
      </c>
      <c r="R215" s="21">
        <v>149.5</v>
      </c>
      <c r="S215" s="21">
        <v>149.6</v>
      </c>
      <c r="T215" s="27">
        <v>128.9</v>
      </c>
      <c r="U215" s="27">
        <v>155.1</v>
      </c>
    </row>
    <row r="216" spans="1:21">
      <c r="A216" s="21" t="s">
        <v>33</v>
      </c>
      <c r="B216" s="26">
        <v>2018</v>
      </c>
      <c r="C216" s="21" t="s">
        <v>46</v>
      </c>
      <c r="D216" s="52">
        <f t="shared" si="3"/>
        <v>43435</v>
      </c>
      <c r="E216" s="27">
        <v>138.5</v>
      </c>
      <c r="F216" s="27">
        <v>147.80000000000001</v>
      </c>
      <c r="G216" s="27">
        <v>141.1</v>
      </c>
      <c r="H216" s="27">
        <v>141.6</v>
      </c>
      <c r="I216" s="27">
        <v>118.1</v>
      </c>
      <c r="J216" s="27">
        <v>138.5</v>
      </c>
      <c r="K216" s="27">
        <v>132.4</v>
      </c>
      <c r="L216" s="27">
        <v>117.5</v>
      </c>
      <c r="M216" s="27">
        <v>111</v>
      </c>
      <c r="N216" s="27">
        <v>141.5</v>
      </c>
      <c r="O216" s="21">
        <v>142.69999999999999</v>
      </c>
      <c r="P216" s="21">
        <v>130.30000000000001</v>
      </c>
      <c r="Q216" s="22">
        <v>146.5</v>
      </c>
      <c r="R216" s="21">
        <v>136.19999999999999</v>
      </c>
      <c r="S216" s="21">
        <v>137.30000000000001</v>
      </c>
      <c r="T216" s="27">
        <v>118.8</v>
      </c>
      <c r="U216" s="27">
        <v>146.5</v>
      </c>
    </row>
    <row r="217" spans="1:21">
      <c r="A217" s="21" t="s">
        <v>34</v>
      </c>
      <c r="B217" s="26">
        <v>2018</v>
      </c>
      <c r="C217" s="21" t="s">
        <v>46</v>
      </c>
      <c r="D217" s="52">
        <f t="shared" si="3"/>
        <v>43435</v>
      </c>
      <c r="E217" s="27">
        <v>137.5</v>
      </c>
      <c r="F217" s="27">
        <v>150.5</v>
      </c>
      <c r="G217" s="27">
        <v>138.80000000000001</v>
      </c>
      <c r="H217" s="27">
        <v>142.1</v>
      </c>
      <c r="I217" s="27">
        <v>122</v>
      </c>
      <c r="J217" s="27">
        <v>139.4</v>
      </c>
      <c r="K217" s="27">
        <v>135.19999999999999</v>
      </c>
      <c r="L217" s="27">
        <v>119.8</v>
      </c>
      <c r="M217" s="27">
        <v>110.3</v>
      </c>
      <c r="N217" s="27">
        <v>140.6</v>
      </c>
      <c r="O217" s="21">
        <v>148.1</v>
      </c>
      <c r="P217" s="21">
        <v>139.4</v>
      </c>
      <c r="Q217" s="22">
        <v>146.5</v>
      </c>
      <c r="R217" s="21">
        <v>143.19999999999999</v>
      </c>
      <c r="S217" s="21">
        <v>144.9</v>
      </c>
      <c r="T217" s="27">
        <v>123.6</v>
      </c>
      <c r="U217" s="27">
        <v>150.1</v>
      </c>
    </row>
    <row r="218" spans="1:21">
      <c r="A218" s="21" t="s">
        <v>30</v>
      </c>
      <c r="B218" s="26">
        <v>2019</v>
      </c>
      <c r="C218" s="21" t="s">
        <v>31</v>
      </c>
      <c r="D218" s="52">
        <f t="shared" si="3"/>
        <v>43466</v>
      </c>
      <c r="E218" s="27">
        <v>136.6</v>
      </c>
      <c r="F218" s="27">
        <v>152.5</v>
      </c>
      <c r="G218" s="27">
        <v>138.19999999999999</v>
      </c>
      <c r="H218" s="27">
        <v>142.4</v>
      </c>
      <c r="I218" s="27">
        <v>123.9</v>
      </c>
      <c r="J218" s="27">
        <v>135.5</v>
      </c>
      <c r="K218" s="27">
        <v>131.69999999999999</v>
      </c>
      <c r="L218" s="27">
        <v>121.3</v>
      </c>
      <c r="M218" s="27">
        <v>108.4</v>
      </c>
      <c r="N218" s="27">
        <v>138.9</v>
      </c>
      <c r="O218" s="21">
        <v>150.6</v>
      </c>
      <c r="P218" s="21">
        <v>145.1</v>
      </c>
      <c r="Q218" s="22">
        <v>139.25</v>
      </c>
      <c r="R218" s="21">
        <v>150.1</v>
      </c>
      <c r="S218" s="21">
        <v>149.6</v>
      </c>
      <c r="T218" s="27">
        <v>128.6</v>
      </c>
      <c r="U218" s="27">
        <v>155.19999999999999</v>
      </c>
    </row>
    <row r="219" spans="1:21">
      <c r="A219" s="21" t="s">
        <v>33</v>
      </c>
      <c r="B219" s="26">
        <v>2019</v>
      </c>
      <c r="C219" s="21" t="s">
        <v>31</v>
      </c>
      <c r="D219" s="52">
        <f t="shared" si="3"/>
        <v>43466</v>
      </c>
      <c r="E219" s="27">
        <v>138.30000000000001</v>
      </c>
      <c r="F219" s="27">
        <v>149.4</v>
      </c>
      <c r="G219" s="27">
        <v>143.5</v>
      </c>
      <c r="H219" s="27">
        <v>141.69999999999999</v>
      </c>
      <c r="I219" s="27">
        <v>118.1</v>
      </c>
      <c r="J219" s="27">
        <v>135.19999999999999</v>
      </c>
      <c r="K219" s="27">
        <v>130.5</v>
      </c>
      <c r="L219" s="27">
        <v>118.2</v>
      </c>
      <c r="M219" s="27">
        <v>110.4</v>
      </c>
      <c r="N219" s="27">
        <v>140.4</v>
      </c>
      <c r="O219" s="21">
        <v>143</v>
      </c>
      <c r="P219" s="21">
        <v>130.4</v>
      </c>
      <c r="Q219" s="22">
        <v>147.69999999999999</v>
      </c>
      <c r="R219" s="21">
        <v>136.30000000000001</v>
      </c>
      <c r="S219" s="21">
        <v>137.80000000000001</v>
      </c>
      <c r="T219" s="27">
        <v>118.6</v>
      </c>
      <c r="U219" s="27">
        <v>146.6</v>
      </c>
    </row>
    <row r="220" spans="1:21">
      <c r="A220" s="21" t="s">
        <v>34</v>
      </c>
      <c r="B220" s="26">
        <v>2019</v>
      </c>
      <c r="C220" s="21" t="s">
        <v>31</v>
      </c>
      <c r="D220" s="52">
        <f t="shared" si="3"/>
        <v>43466</v>
      </c>
      <c r="E220" s="27">
        <v>137.1</v>
      </c>
      <c r="F220" s="27">
        <v>151.4</v>
      </c>
      <c r="G220" s="27">
        <v>140.19999999999999</v>
      </c>
      <c r="H220" s="27">
        <v>142.1</v>
      </c>
      <c r="I220" s="27">
        <v>121.8</v>
      </c>
      <c r="J220" s="27">
        <v>135.4</v>
      </c>
      <c r="K220" s="27">
        <v>131.30000000000001</v>
      </c>
      <c r="L220" s="27">
        <v>120.3</v>
      </c>
      <c r="M220" s="27">
        <v>109.1</v>
      </c>
      <c r="N220" s="27">
        <v>139.4</v>
      </c>
      <c r="O220" s="21">
        <v>147.6</v>
      </c>
      <c r="P220" s="21">
        <v>139</v>
      </c>
      <c r="Q220" s="22">
        <v>147.69999999999999</v>
      </c>
      <c r="R220" s="21">
        <v>143.6</v>
      </c>
      <c r="S220" s="21">
        <v>145.1</v>
      </c>
      <c r="T220" s="27">
        <v>123.3</v>
      </c>
      <c r="U220" s="27">
        <v>150.19999999999999</v>
      </c>
    </row>
    <row r="221" spans="1:21">
      <c r="A221" s="21" t="s">
        <v>30</v>
      </c>
      <c r="B221" s="26">
        <v>2019</v>
      </c>
      <c r="C221" s="21" t="s">
        <v>35</v>
      </c>
      <c r="D221" s="52">
        <f t="shared" si="3"/>
        <v>43497</v>
      </c>
      <c r="E221" s="27">
        <v>136.80000000000001</v>
      </c>
      <c r="F221" s="27">
        <v>153</v>
      </c>
      <c r="G221" s="27">
        <v>139.1</v>
      </c>
      <c r="H221" s="27">
        <v>142.5</v>
      </c>
      <c r="I221" s="27">
        <v>124.1</v>
      </c>
      <c r="J221" s="27">
        <v>135.80000000000001</v>
      </c>
      <c r="K221" s="27">
        <v>128.69999999999999</v>
      </c>
      <c r="L221" s="27">
        <v>121.5</v>
      </c>
      <c r="M221" s="27">
        <v>108.3</v>
      </c>
      <c r="N221" s="27">
        <v>139.19999999999999</v>
      </c>
      <c r="O221" s="21">
        <v>150.5</v>
      </c>
      <c r="P221" s="21">
        <v>146.1</v>
      </c>
      <c r="Q221" s="22">
        <v>139.25</v>
      </c>
      <c r="R221" s="21">
        <v>150.1</v>
      </c>
      <c r="S221" s="21">
        <v>149.9</v>
      </c>
      <c r="T221" s="27">
        <v>129.19999999999999</v>
      </c>
      <c r="U221" s="27">
        <v>155.5</v>
      </c>
    </row>
    <row r="222" spans="1:21">
      <c r="A222" s="21" t="s">
        <v>33</v>
      </c>
      <c r="B222" s="26">
        <v>2019</v>
      </c>
      <c r="C222" s="21" t="s">
        <v>35</v>
      </c>
      <c r="D222" s="52">
        <f t="shared" si="3"/>
        <v>43497</v>
      </c>
      <c r="E222" s="27">
        <v>139.4</v>
      </c>
      <c r="F222" s="27">
        <v>150.1</v>
      </c>
      <c r="G222" s="27">
        <v>145.30000000000001</v>
      </c>
      <c r="H222" s="27">
        <v>141.69999999999999</v>
      </c>
      <c r="I222" s="27">
        <v>118.4</v>
      </c>
      <c r="J222" s="27">
        <v>137</v>
      </c>
      <c r="K222" s="27">
        <v>131.6</v>
      </c>
      <c r="L222" s="27">
        <v>119.9</v>
      </c>
      <c r="M222" s="27">
        <v>110.4</v>
      </c>
      <c r="N222" s="27">
        <v>140.80000000000001</v>
      </c>
      <c r="O222" s="21">
        <v>143.30000000000001</v>
      </c>
      <c r="P222" s="21">
        <v>130.80000000000001</v>
      </c>
      <c r="Q222" s="22">
        <v>148.5</v>
      </c>
      <c r="R222" s="21">
        <v>136.6</v>
      </c>
      <c r="S222" s="21">
        <v>138.5</v>
      </c>
      <c r="T222" s="27">
        <v>119.2</v>
      </c>
      <c r="U222" s="27">
        <v>146.6</v>
      </c>
    </row>
    <row r="223" spans="1:21">
      <c r="A223" s="21" t="s">
        <v>34</v>
      </c>
      <c r="B223" s="26">
        <v>2019</v>
      </c>
      <c r="C223" s="21" t="s">
        <v>35</v>
      </c>
      <c r="D223" s="52">
        <f t="shared" si="3"/>
        <v>43497</v>
      </c>
      <c r="E223" s="27">
        <v>137.6</v>
      </c>
      <c r="F223" s="27">
        <v>152</v>
      </c>
      <c r="G223" s="27">
        <v>141.5</v>
      </c>
      <c r="H223" s="27">
        <v>142.19999999999999</v>
      </c>
      <c r="I223" s="27">
        <v>122</v>
      </c>
      <c r="J223" s="27">
        <v>136.4</v>
      </c>
      <c r="K223" s="27">
        <v>129.69999999999999</v>
      </c>
      <c r="L223" s="27">
        <v>121</v>
      </c>
      <c r="M223" s="27">
        <v>109</v>
      </c>
      <c r="N223" s="27">
        <v>139.69999999999999</v>
      </c>
      <c r="O223" s="21">
        <v>147.69999999999999</v>
      </c>
      <c r="P223" s="21">
        <v>139.69999999999999</v>
      </c>
      <c r="Q223" s="22">
        <v>148.5</v>
      </c>
      <c r="R223" s="21">
        <v>143.69999999999999</v>
      </c>
      <c r="S223" s="21">
        <v>145.6</v>
      </c>
      <c r="T223" s="27">
        <v>123.9</v>
      </c>
      <c r="U223" s="27">
        <v>150.30000000000001</v>
      </c>
    </row>
    <row r="224" spans="1:21">
      <c r="A224" s="21" t="s">
        <v>30</v>
      </c>
      <c r="B224" s="26">
        <v>2019</v>
      </c>
      <c r="C224" s="21" t="s">
        <v>36</v>
      </c>
      <c r="D224" s="52">
        <f t="shared" si="3"/>
        <v>43525</v>
      </c>
      <c r="E224" s="27">
        <v>136.9</v>
      </c>
      <c r="F224" s="27">
        <v>154.1</v>
      </c>
      <c r="G224" s="27">
        <v>138.69999999999999</v>
      </c>
      <c r="H224" s="27">
        <v>142.5</v>
      </c>
      <c r="I224" s="27">
        <v>124.1</v>
      </c>
      <c r="J224" s="27">
        <v>136.1</v>
      </c>
      <c r="K224" s="27">
        <v>128.19999999999999</v>
      </c>
      <c r="L224" s="27">
        <v>122.3</v>
      </c>
      <c r="M224" s="27">
        <v>108.3</v>
      </c>
      <c r="N224" s="27">
        <v>138.9</v>
      </c>
      <c r="O224" s="21">
        <v>150.80000000000001</v>
      </c>
      <c r="P224" s="21">
        <v>146.1</v>
      </c>
      <c r="Q224" s="22">
        <v>139.25</v>
      </c>
      <c r="R224" s="21">
        <v>150</v>
      </c>
      <c r="S224" s="21">
        <v>150.4</v>
      </c>
      <c r="T224" s="27">
        <v>129.9</v>
      </c>
      <c r="U224" s="27">
        <v>155.5</v>
      </c>
    </row>
    <row r="225" spans="1:21">
      <c r="A225" s="21" t="s">
        <v>33</v>
      </c>
      <c r="B225" s="26">
        <v>2019</v>
      </c>
      <c r="C225" s="21" t="s">
        <v>36</v>
      </c>
      <c r="D225" s="52">
        <f t="shared" si="3"/>
        <v>43525</v>
      </c>
      <c r="E225" s="27">
        <v>139.69999999999999</v>
      </c>
      <c r="F225" s="27">
        <v>151.1</v>
      </c>
      <c r="G225" s="27">
        <v>142.9</v>
      </c>
      <c r="H225" s="27">
        <v>141.9</v>
      </c>
      <c r="I225" s="27">
        <v>118.4</v>
      </c>
      <c r="J225" s="27">
        <v>139.4</v>
      </c>
      <c r="K225" s="27">
        <v>141.19999999999999</v>
      </c>
      <c r="L225" s="27">
        <v>120.7</v>
      </c>
      <c r="M225" s="27">
        <v>110.4</v>
      </c>
      <c r="N225" s="27">
        <v>140.69999999999999</v>
      </c>
      <c r="O225" s="21">
        <v>143.5</v>
      </c>
      <c r="P225" s="21">
        <v>131.19999999999999</v>
      </c>
      <c r="Q225" s="22">
        <v>149</v>
      </c>
      <c r="R225" s="21">
        <v>136.80000000000001</v>
      </c>
      <c r="S225" s="21">
        <v>139.19999999999999</v>
      </c>
      <c r="T225" s="27">
        <v>119.9</v>
      </c>
      <c r="U225" s="27">
        <v>146.69999999999999</v>
      </c>
    </row>
    <row r="226" spans="1:21">
      <c r="A226" s="21" t="s">
        <v>34</v>
      </c>
      <c r="B226" s="26">
        <v>2019</v>
      </c>
      <c r="C226" s="21" t="s">
        <v>36</v>
      </c>
      <c r="D226" s="52">
        <f t="shared" si="3"/>
        <v>43525</v>
      </c>
      <c r="E226" s="27">
        <v>137.80000000000001</v>
      </c>
      <c r="F226" s="27">
        <v>153</v>
      </c>
      <c r="G226" s="27">
        <v>140.30000000000001</v>
      </c>
      <c r="H226" s="27">
        <v>142.30000000000001</v>
      </c>
      <c r="I226" s="27">
        <v>122</v>
      </c>
      <c r="J226" s="27">
        <v>137.6</v>
      </c>
      <c r="K226" s="27">
        <v>132.6</v>
      </c>
      <c r="L226" s="27">
        <v>121.8</v>
      </c>
      <c r="M226" s="27">
        <v>109</v>
      </c>
      <c r="N226" s="27">
        <v>139.5</v>
      </c>
      <c r="O226" s="21">
        <v>147.9</v>
      </c>
      <c r="P226" s="21">
        <v>139.9</v>
      </c>
      <c r="Q226" s="22">
        <v>149</v>
      </c>
      <c r="R226" s="21">
        <v>143.80000000000001</v>
      </c>
      <c r="S226" s="21">
        <v>146.19999999999999</v>
      </c>
      <c r="T226" s="27">
        <v>124.6</v>
      </c>
      <c r="U226" s="27">
        <v>150.30000000000001</v>
      </c>
    </row>
    <row r="227" spans="1:21">
      <c r="A227" s="21" t="s">
        <v>30</v>
      </c>
      <c r="B227" s="26">
        <v>2019</v>
      </c>
      <c r="C227" s="21" t="s">
        <v>38</v>
      </c>
      <c r="D227" s="52">
        <f t="shared" si="3"/>
        <v>43586</v>
      </c>
      <c r="E227" s="27">
        <v>137.4</v>
      </c>
      <c r="F227" s="27">
        <v>159.5</v>
      </c>
      <c r="G227" s="27">
        <v>134.5</v>
      </c>
      <c r="H227" s="27">
        <v>142.6</v>
      </c>
      <c r="I227" s="27">
        <v>124</v>
      </c>
      <c r="J227" s="27">
        <v>143.69999999999999</v>
      </c>
      <c r="K227" s="27">
        <v>133.4</v>
      </c>
      <c r="L227" s="27">
        <v>125.1</v>
      </c>
      <c r="M227" s="27">
        <v>109.3</v>
      </c>
      <c r="N227" s="27">
        <v>139.30000000000001</v>
      </c>
      <c r="O227" s="21">
        <v>151.30000000000001</v>
      </c>
      <c r="P227" s="21">
        <v>146.6</v>
      </c>
      <c r="Q227" s="22">
        <v>139.25</v>
      </c>
      <c r="R227" s="21">
        <v>149.5</v>
      </c>
      <c r="S227" s="21">
        <v>151.30000000000001</v>
      </c>
      <c r="T227" s="27">
        <v>130.19999999999999</v>
      </c>
      <c r="U227" s="27">
        <v>156.69999999999999</v>
      </c>
    </row>
    <row r="228" spans="1:21">
      <c r="A228" s="21" t="s">
        <v>33</v>
      </c>
      <c r="B228" s="26">
        <v>2019</v>
      </c>
      <c r="C228" s="21" t="s">
        <v>38</v>
      </c>
      <c r="D228" s="52">
        <f t="shared" si="3"/>
        <v>43586</v>
      </c>
      <c r="E228" s="27">
        <v>140.4</v>
      </c>
      <c r="F228" s="27">
        <v>156.69999999999999</v>
      </c>
      <c r="G228" s="27">
        <v>138.30000000000001</v>
      </c>
      <c r="H228" s="27">
        <v>142.4</v>
      </c>
      <c r="I228" s="27">
        <v>118.6</v>
      </c>
      <c r="J228" s="27">
        <v>149.69999999999999</v>
      </c>
      <c r="K228" s="27">
        <v>161.6</v>
      </c>
      <c r="L228" s="27">
        <v>124.4</v>
      </c>
      <c r="M228" s="27">
        <v>111.2</v>
      </c>
      <c r="N228" s="27">
        <v>141</v>
      </c>
      <c r="O228" s="21">
        <v>144</v>
      </c>
      <c r="P228" s="21">
        <v>131.69999999999999</v>
      </c>
      <c r="Q228" s="22">
        <v>150.1</v>
      </c>
      <c r="R228" s="21">
        <v>137.19999999999999</v>
      </c>
      <c r="S228" s="21">
        <v>139.80000000000001</v>
      </c>
      <c r="T228" s="27">
        <v>120.1</v>
      </c>
      <c r="U228" s="27">
        <v>148</v>
      </c>
    </row>
    <row r="229" spans="1:21">
      <c r="A229" s="21" t="s">
        <v>34</v>
      </c>
      <c r="B229" s="26">
        <v>2019</v>
      </c>
      <c r="C229" s="21" t="s">
        <v>38</v>
      </c>
      <c r="D229" s="52">
        <f t="shared" si="3"/>
        <v>43586</v>
      </c>
      <c r="E229" s="27">
        <v>138.30000000000001</v>
      </c>
      <c r="F229" s="27">
        <v>158.5</v>
      </c>
      <c r="G229" s="27">
        <v>136</v>
      </c>
      <c r="H229" s="27">
        <v>142.5</v>
      </c>
      <c r="I229" s="27">
        <v>122</v>
      </c>
      <c r="J229" s="27">
        <v>146.5</v>
      </c>
      <c r="K229" s="27">
        <v>143</v>
      </c>
      <c r="L229" s="27">
        <v>124.9</v>
      </c>
      <c r="M229" s="27">
        <v>109.9</v>
      </c>
      <c r="N229" s="27">
        <v>139.9</v>
      </c>
      <c r="O229" s="21">
        <v>148.4</v>
      </c>
      <c r="P229" s="21">
        <v>140.4</v>
      </c>
      <c r="Q229" s="22">
        <v>150.1</v>
      </c>
      <c r="R229" s="21">
        <v>143.69999999999999</v>
      </c>
      <c r="S229" s="21">
        <v>146.9</v>
      </c>
      <c r="T229" s="27">
        <v>124.9</v>
      </c>
      <c r="U229" s="27">
        <v>151.6</v>
      </c>
    </row>
    <row r="230" spans="1:21">
      <c r="A230" s="21" t="s">
        <v>30</v>
      </c>
      <c r="B230" s="26">
        <v>2019</v>
      </c>
      <c r="C230" s="21" t="s">
        <v>39</v>
      </c>
      <c r="D230" s="52">
        <f t="shared" si="3"/>
        <v>43617</v>
      </c>
      <c r="E230" s="27">
        <v>137.80000000000001</v>
      </c>
      <c r="F230" s="27">
        <v>163.5</v>
      </c>
      <c r="G230" s="27">
        <v>136.19999999999999</v>
      </c>
      <c r="H230" s="27">
        <v>143.19999999999999</v>
      </c>
      <c r="I230" s="27">
        <v>124.3</v>
      </c>
      <c r="J230" s="27">
        <v>143.30000000000001</v>
      </c>
      <c r="K230" s="27">
        <v>140.6</v>
      </c>
      <c r="L230" s="27">
        <v>128.69999999999999</v>
      </c>
      <c r="M230" s="27">
        <v>110.6</v>
      </c>
      <c r="N230" s="27">
        <v>140.4</v>
      </c>
      <c r="O230" s="21">
        <v>151.4</v>
      </c>
      <c r="P230" s="21">
        <v>146.5</v>
      </c>
      <c r="Q230" s="22">
        <v>139.25</v>
      </c>
      <c r="R230" s="21">
        <v>149.6</v>
      </c>
      <c r="S230" s="21">
        <v>151.69999999999999</v>
      </c>
      <c r="T230" s="27">
        <v>130.19999999999999</v>
      </c>
      <c r="U230" s="27">
        <v>157.69999999999999</v>
      </c>
    </row>
    <row r="231" spans="1:21">
      <c r="A231" s="21" t="s">
        <v>33</v>
      </c>
      <c r="B231" s="26">
        <v>2019</v>
      </c>
      <c r="C231" s="21" t="s">
        <v>39</v>
      </c>
      <c r="D231" s="52">
        <f t="shared" si="3"/>
        <v>43617</v>
      </c>
      <c r="E231" s="27">
        <v>140.69999999999999</v>
      </c>
      <c r="F231" s="27">
        <v>159.6</v>
      </c>
      <c r="G231" s="27">
        <v>140.4</v>
      </c>
      <c r="H231" s="27">
        <v>143.4</v>
      </c>
      <c r="I231" s="27">
        <v>118.6</v>
      </c>
      <c r="J231" s="27">
        <v>150.9</v>
      </c>
      <c r="K231" s="27">
        <v>169.8</v>
      </c>
      <c r="L231" s="27">
        <v>127.4</v>
      </c>
      <c r="M231" s="27">
        <v>111.8</v>
      </c>
      <c r="N231" s="27">
        <v>141</v>
      </c>
      <c r="O231" s="21">
        <v>144.30000000000001</v>
      </c>
      <c r="P231" s="21">
        <v>131.69999999999999</v>
      </c>
      <c r="Q231" s="22">
        <v>149.4</v>
      </c>
      <c r="R231" s="21">
        <v>137.4</v>
      </c>
      <c r="S231" s="21">
        <v>140.30000000000001</v>
      </c>
      <c r="T231" s="27">
        <v>119.6</v>
      </c>
      <c r="U231" s="27">
        <v>148.9</v>
      </c>
    </row>
    <row r="232" spans="1:21">
      <c r="A232" s="21" t="s">
        <v>34</v>
      </c>
      <c r="B232" s="26">
        <v>2019</v>
      </c>
      <c r="C232" s="21" t="s">
        <v>39</v>
      </c>
      <c r="D232" s="52">
        <f t="shared" si="3"/>
        <v>43617</v>
      </c>
      <c r="E232" s="27">
        <v>138.69999999999999</v>
      </c>
      <c r="F232" s="27">
        <v>162.1</v>
      </c>
      <c r="G232" s="27">
        <v>137.80000000000001</v>
      </c>
      <c r="H232" s="27">
        <v>143.30000000000001</v>
      </c>
      <c r="I232" s="27">
        <v>122.2</v>
      </c>
      <c r="J232" s="27">
        <v>146.80000000000001</v>
      </c>
      <c r="K232" s="27">
        <v>150.5</v>
      </c>
      <c r="L232" s="27">
        <v>128.30000000000001</v>
      </c>
      <c r="M232" s="27">
        <v>111</v>
      </c>
      <c r="N232" s="27">
        <v>140.6</v>
      </c>
      <c r="O232" s="21">
        <v>148.6</v>
      </c>
      <c r="P232" s="21">
        <v>140.4</v>
      </c>
      <c r="Q232" s="22">
        <v>149.4</v>
      </c>
      <c r="R232" s="21">
        <v>143.80000000000001</v>
      </c>
      <c r="S232" s="21">
        <v>147.4</v>
      </c>
      <c r="T232" s="27">
        <v>124.6</v>
      </c>
      <c r="U232" s="27">
        <v>152.5</v>
      </c>
    </row>
    <row r="233" spans="1:21">
      <c r="A233" s="21" t="s">
        <v>30</v>
      </c>
      <c r="B233" s="26">
        <v>2019</v>
      </c>
      <c r="C233" s="21" t="s">
        <v>40</v>
      </c>
      <c r="D233" s="52">
        <f t="shared" si="3"/>
        <v>43647</v>
      </c>
      <c r="E233" s="27">
        <v>138.4</v>
      </c>
      <c r="F233" s="27">
        <v>164</v>
      </c>
      <c r="G233" s="27">
        <v>138.4</v>
      </c>
      <c r="H233" s="27">
        <v>143.9</v>
      </c>
      <c r="I233" s="27">
        <v>124.4</v>
      </c>
      <c r="J233" s="27">
        <v>146.4</v>
      </c>
      <c r="K233" s="27">
        <v>150.1</v>
      </c>
      <c r="L233" s="27">
        <v>130.6</v>
      </c>
      <c r="M233" s="27">
        <v>110.8</v>
      </c>
      <c r="N233" s="27">
        <v>141.69999999999999</v>
      </c>
      <c r="O233" s="21">
        <v>151.6</v>
      </c>
      <c r="P233" s="21">
        <v>146.6</v>
      </c>
      <c r="Q233" s="22">
        <v>139.25</v>
      </c>
      <c r="R233" s="21">
        <v>150</v>
      </c>
      <c r="S233" s="21">
        <v>152.19999999999999</v>
      </c>
      <c r="T233" s="27">
        <v>131.19999999999999</v>
      </c>
      <c r="U233" s="27">
        <v>159.1</v>
      </c>
    </row>
    <row r="234" spans="1:21">
      <c r="A234" s="21" t="s">
        <v>33</v>
      </c>
      <c r="B234" s="26">
        <v>2019</v>
      </c>
      <c r="C234" s="21" t="s">
        <v>40</v>
      </c>
      <c r="D234" s="52">
        <f t="shared" si="3"/>
        <v>43647</v>
      </c>
      <c r="E234" s="27">
        <v>141.4</v>
      </c>
      <c r="F234" s="27">
        <v>160.19999999999999</v>
      </c>
      <c r="G234" s="27">
        <v>142.5</v>
      </c>
      <c r="H234" s="27">
        <v>144.1</v>
      </c>
      <c r="I234" s="27">
        <v>119.3</v>
      </c>
      <c r="J234" s="27">
        <v>154.69999999999999</v>
      </c>
      <c r="K234" s="27">
        <v>180.1</v>
      </c>
      <c r="L234" s="27">
        <v>128.9</v>
      </c>
      <c r="M234" s="27">
        <v>111.8</v>
      </c>
      <c r="N234" s="27">
        <v>141.6</v>
      </c>
      <c r="O234" s="21">
        <v>144.69999999999999</v>
      </c>
      <c r="P234" s="21">
        <v>131.9</v>
      </c>
      <c r="Q234" s="22">
        <v>150.6</v>
      </c>
      <c r="R234" s="21">
        <v>137.69999999999999</v>
      </c>
      <c r="S234" s="21">
        <v>140.80000000000001</v>
      </c>
      <c r="T234" s="27">
        <v>120.6</v>
      </c>
      <c r="U234" s="27">
        <v>150.4</v>
      </c>
    </row>
    <row r="235" spans="1:21">
      <c r="A235" s="21" t="s">
        <v>34</v>
      </c>
      <c r="B235" s="26">
        <v>2019</v>
      </c>
      <c r="C235" s="21" t="s">
        <v>40</v>
      </c>
      <c r="D235" s="52">
        <f t="shared" si="3"/>
        <v>43647</v>
      </c>
      <c r="E235" s="27">
        <v>139.30000000000001</v>
      </c>
      <c r="F235" s="27">
        <v>162.69999999999999</v>
      </c>
      <c r="G235" s="27">
        <v>140</v>
      </c>
      <c r="H235" s="27">
        <v>144</v>
      </c>
      <c r="I235" s="27">
        <v>122.5</v>
      </c>
      <c r="J235" s="27">
        <v>150.30000000000001</v>
      </c>
      <c r="K235" s="27">
        <v>160.30000000000001</v>
      </c>
      <c r="L235" s="27">
        <v>130</v>
      </c>
      <c r="M235" s="27">
        <v>111.1</v>
      </c>
      <c r="N235" s="27">
        <v>141.69999999999999</v>
      </c>
      <c r="O235" s="21">
        <v>148.9</v>
      </c>
      <c r="P235" s="21">
        <v>140.5</v>
      </c>
      <c r="Q235" s="22">
        <v>150.6</v>
      </c>
      <c r="R235" s="21">
        <v>144.19999999999999</v>
      </c>
      <c r="S235" s="21">
        <v>147.9</v>
      </c>
      <c r="T235" s="27">
        <v>125.6</v>
      </c>
      <c r="U235" s="27">
        <v>154</v>
      </c>
    </row>
    <row r="236" spans="1:21">
      <c r="A236" s="21" t="s">
        <v>30</v>
      </c>
      <c r="B236" s="26">
        <v>2019</v>
      </c>
      <c r="C236" s="21" t="s">
        <v>41</v>
      </c>
      <c r="D236" s="52">
        <f t="shared" si="3"/>
        <v>43678</v>
      </c>
      <c r="E236" s="27">
        <v>139.19999999999999</v>
      </c>
      <c r="F236" s="27">
        <v>161.9</v>
      </c>
      <c r="G236" s="27">
        <v>137.1</v>
      </c>
      <c r="H236" s="27">
        <v>144.6</v>
      </c>
      <c r="I236" s="27">
        <v>124.7</v>
      </c>
      <c r="J236" s="27">
        <v>145.5</v>
      </c>
      <c r="K236" s="27">
        <v>156.19999999999999</v>
      </c>
      <c r="L236" s="27">
        <v>131.5</v>
      </c>
      <c r="M236" s="27">
        <v>111.7</v>
      </c>
      <c r="N236" s="27">
        <v>142.69999999999999</v>
      </c>
      <c r="O236" s="21">
        <v>151.80000000000001</v>
      </c>
      <c r="P236" s="21">
        <v>146.6</v>
      </c>
      <c r="Q236" s="22">
        <v>139.25</v>
      </c>
      <c r="R236" s="21">
        <v>150.19999999999999</v>
      </c>
      <c r="S236" s="21">
        <v>152.69999999999999</v>
      </c>
      <c r="T236" s="27">
        <v>131.4</v>
      </c>
      <c r="U236" s="27">
        <v>159.69999999999999</v>
      </c>
    </row>
    <row r="237" spans="1:21">
      <c r="A237" s="21" t="s">
        <v>33</v>
      </c>
      <c r="B237" s="26">
        <v>2019</v>
      </c>
      <c r="C237" s="21" t="s">
        <v>41</v>
      </c>
      <c r="D237" s="52">
        <f t="shared" si="3"/>
        <v>43678</v>
      </c>
      <c r="E237" s="27">
        <v>142.1</v>
      </c>
      <c r="F237" s="27">
        <v>158.30000000000001</v>
      </c>
      <c r="G237" s="27">
        <v>140.80000000000001</v>
      </c>
      <c r="H237" s="27">
        <v>144.9</v>
      </c>
      <c r="I237" s="27">
        <v>119.9</v>
      </c>
      <c r="J237" s="27">
        <v>153.9</v>
      </c>
      <c r="K237" s="27">
        <v>189.1</v>
      </c>
      <c r="L237" s="27">
        <v>129.80000000000001</v>
      </c>
      <c r="M237" s="27">
        <v>112.7</v>
      </c>
      <c r="N237" s="27">
        <v>142.5</v>
      </c>
      <c r="O237" s="21">
        <v>145</v>
      </c>
      <c r="P237" s="21">
        <v>132.19999999999999</v>
      </c>
      <c r="Q237" s="22">
        <v>151.6</v>
      </c>
      <c r="R237" s="21">
        <v>138.1</v>
      </c>
      <c r="S237" s="21">
        <v>141.5</v>
      </c>
      <c r="T237" s="27">
        <v>120.8</v>
      </c>
      <c r="U237" s="27">
        <v>151.5</v>
      </c>
    </row>
    <row r="238" spans="1:21">
      <c r="A238" s="21" t="s">
        <v>34</v>
      </c>
      <c r="B238" s="26">
        <v>2019</v>
      </c>
      <c r="C238" s="21" t="s">
        <v>41</v>
      </c>
      <c r="D238" s="52">
        <f t="shared" si="3"/>
        <v>43678</v>
      </c>
      <c r="E238" s="27">
        <v>140.1</v>
      </c>
      <c r="F238" s="27">
        <v>160.6</v>
      </c>
      <c r="G238" s="27">
        <v>138.5</v>
      </c>
      <c r="H238" s="27">
        <v>144.69999999999999</v>
      </c>
      <c r="I238" s="27">
        <v>122.9</v>
      </c>
      <c r="J238" s="27">
        <v>149.4</v>
      </c>
      <c r="K238" s="27">
        <v>167.4</v>
      </c>
      <c r="L238" s="27">
        <v>130.9</v>
      </c>
      <c r="M238" s="27">
        <v>112</v>
      </c>
      <c r="N238" s="27">
        <v>142.6</v>
      </c>
      <c r="O238" s="21">
        <v>149.1</v>
      </c>
      <c r="P238" s="21">
        <v>140.6</v>
      </c>
      <c r="Q238" s="22">
        <v>151.6</v>
      </c>
      <c r="R238" s="21">
        <v>144.5</v>
      </c>
      <c r="S238" s="21">
        <v>148.5</v>
      </c>
      <c r="T238" s="27">
        <v>125.8</v>
      </c>
      <c r="U238" s="27">
        <v>154.9</v>
      </c>
    </row>
    <row r="239" spans="1:21">
      <c r="A239" s="21" t="s">
        <v>30</v>
      </c>
      <c r="B239" s="26">
        <v>2019</v>
      </c>
      <c r="C239" s="21" t="s">
        <v>42</v>
      </c>
      <c r="D239" s="52">
        <f t="shared" si="3"/>
        <v>43709</v>
      </c>
      <c r="E239" s="27">
        <v>140.1</v>
      </c>
      <c r="F239" s="27">
        <v>161.9</v>
      </c>
      <c r="G239" s="27">
        <v>138.30000000000001</v>
      </c>
      <c r="H239" s="27">
        <v>145.69999999999999</v>
      </c>
      <c r="I239" s="27">
        <v>125.1</v>
      </c>
      <c r="J239" s="27">
        <v>143.80000000000001</v>
      </c>
      <c r="K239" s="27">
        <v>163.4</v>
      </c>
      <c r="L239" s="27">
        <v>132.19999999999999</v>
      </c>
      <c r="M239" s="27">
        <v>112.8</v>
      </c>
      <c r="N239" s="27">
        <v>144.19999999999999</v>
      </c>
      <c r="O239" s="21">
        <v>151.69999999999999</v>
      </c>
      <c r="P239" s="21">
        <v>146.6</v>
      </c>
      <c r="Q239" s="22">
        <v>139.25</v>
      </c>
      <c r="R239" s="21">
        <v>150.30000000000001</v>
      </c>
      <c r="S239" s="21">
        <v>153.4</v>
      </c>
      <c r="T239" s="27">
        <v>131.6</v>
      </c>
      <c r="U239" s="27">
        <v>160.19999999999999</v>
      </c>
    </row>
    <row r="240" spans="1:21">
      <c r="A240" s="21" t="s">
        <v>33</v>
      </c>
      <c r="B240" s="26">
        <v>2019</v>
      </c>
      <c r="C240" s="21" t="s">
        <v>42</v>
      </c>
      <c r="D240" s="52">
        <f t="shared" si="3"/>
        <v>43709</v>
      </c>
      <c r="E240" s="27">
        <v>142.69999999999999</v>
      </c>
      <c r="F240" s="27">
        <v>158.69999999999999</v>
      </c>
      <c r="G240" s="27">
        <v>141.6</v>
      </c>
      <c r="H240" s="27">
        <v>144.9</v>
      </c>
      <c r="I240" s="27">
        <v>120.8</v>
      </c>
      <c r="J240" s="27">
        <v>149.80000000000001</v>
      </c>
      <c r="K240" s="27">
        <v>192.4</v>
      </c>
      <c r="L240" s="27">
        <v>130.30000000000001</v>
      </c>
      <c r="M240" s="27">
        <v>114</v>
      </c>
      <c r="N240" s="27">
        <v>143.80000000000001</v>
      </c>
      <c r="O240" s="21">
        <v>145.30000000000001</v>
      </c>
      <c r="P240" s="21">
        <v>132.19999999999999</v>
      </c>
      <c r="Q240" s="22">
        <v>152.19999999999999</v>
      </c>
      <c r="R240" s="21">
        <v>138.30000000000001</v>
      </c>
      <c r="S240" s="21">
        <v>141.9</v>
      </c>
      <c r="T240" s="27">
        <v>121.2</v>
      </c>
      <c r="U240" s="27">
        <v>151.6</v>
      </c>
    </row>
    <row r="241" spans="1:21">
      <c r="A241" s="21" t="s">
        <v>34</v>
      </c>
      <c r="B241" s="26">
        <v>2019</v>
      </c>
      <c r="C241" s="21" t="s">
        <v>42</v>
      </c>
      <c r="D241" s="52">
        <f t="shared" si="3"/>
        <v>43709</v>
      </c>
      <c r="E241" s="27">
        <v>140.9</v>
      </c>
      <c r="F241" s="27">
        <v>160.80000000000001</v>
      </c>
      <c r="G241" s="27">
        <v>139.6</v>
      </c>
      <c r="H241" s="27">
        <v>145.4</v>
      </c>
      <c r="I241" s="27">
        <v>123.5</v>
      </c>
      <c r="J241" s="27">
        <v>146.6</v>
      </c>
      <c r="K241" s="27">
        <v>173.2</v>
      </c>
      <c r="L241" s="27">
        <v>131.6</v>
      </c>
      <c r="M241" s="27">
        <v>113.2</v>
      </c>
      <c r="N241" s="27">
        <v>144.1</v>
      </c>
      <c r="O241" s="21">
        <v>149.19999999999999</v>
      </c>
      <c r="P241" s="21">
        <v>140.6</v>
      </c>
      <c r="Q241" s="22">
        <v>152.19999999999999</v>
      </c>
      <c r="R241" s="21">
        <v>144.6</v>
      </c>
      <c r="S241" s="21">
        <v>149</v>
      </c>
      <c r="T241" s="27">
        <v>126.1</v>
      </c>
      <c r="U241" s="27">
        <v>155.19999999999999</v>
      </c>
    </row>
    <row r="242" spans="1:21">
      <c r="A242" s="21" t="s">
        <v>30</v>
      </c>
      <c r="B242" s="26">
        <v>2019</v>
      </c>
      <c r="C242" s="21" t="s">
        <v>43</v>
      </c>
      <c r="D242" s="52">
        <f t="shared" si="3"/>
        <v>43739</v>
      </c>
      <c r="E242" s="27">
        <v>141</v>
      </c>
      <c r="F242" s="27">
        <v>161.6</v>
      </c>
      <c r="G242" s="27">
        <v>141.19999999999999</v>
      </c>
      <c r="H242" s="27">
        <v>146.5</v>
      </c>
      <c r="I242" s="27">
        <v>125.6</v>
      </c>
      <c r="J242" s="27">
        <v>145.69999999999999</v>
      </c>
      <c r="K242" s="27">
        <v>178.8</v>
      </c>
      <c r="L242" s="27">
        <v>133.1</v>
      </c>
      <c r="M242" s="27">
        <v>113.6</v>
      </c>
      <c r="N242" s="27">
        <v>145.5</v>
      </c>
      <c r="O242" s="21">
        <v>151.69999999999999</v>
      </c>
      <c r="P242" s="21">
        <v>146.69999999999999</v>
      </c>
      <c r="Q242" s="22">
        <v>139.25</v>
      </c>
      <c r="R242" s="21">
        <v>150.6</v>
      </c>
      <c r="S242" s="21">
        <v>153.69999999999999</v>
      </c>
      <c r="T242" s="27">
        <v>131.69999999999999</v>
      </c>
      <c r="U242" s="27">
        <v>160.69999999999999</v>
      </c>
    </row>
    <row r="243" spans="1:21">
      <c r="A243" s="21" t="s">
        <v>33</v>
      </c>
      <c r="B243" s="26">
        <v>2019</v>
      </c>
      <c r="C243" s="21" t="s">
        <v>43</v>
      </c>
      <c r="D243" s="52">
        <f t="shared" si="3"/>
        <v>43739</v>
      </c>
      <c r="E243" s="27">
        <v>143.5</v>
      </c>
      <c r="F243" s="27">
        <v>159.80000000000001</v>
      </c>
      <c r="G243" s="27">
        <v>144.69999999999999</v>
      </c>
      <c r="H243" s="27">
        <v>145.6</v>
      </c>
      <c r="I243" s="27">
        <v>121.1</v>
      </c>
      <c r="J243" s="27">
        <v>150.6</v>
      </c>
      <c r="K243" s="27">
        <v>207.2</v>
      </c>
      <c r="L243" s="27">
        <v>131.19999999999999</v>
      </c>
      <c r="M243" s="27">
        <v>114.8</v>
      </c>
      <c r="N243" s="27">
        <v>145.19999999999999</v>
      </c>
      <c r="O243" s="21">
        <v>145.9</v>
      </c>
      <c r="P243" s="21">
        <v>132.4</v>
      </c>
      <c r="Q243" s="22">
        <v>153</v>
      </c>
      <c r="R243" s="21">
        <v>138.69999999999999</v>
      </c>
      <c r="S243" s="21">
        <v>142.4</v>
      </c>
      <c r="T243" s="27">
        <v>121.5</v>
      </c>
      <c r="U243" s="27">
        <v>151.69999999999999</v>
      </c>
    </row>
    <row r="244" spans="1:21">
      <c r="A244" s="21" t="s">
        <v>34</v>
      </c>
      <c r="B244" s="26">
        <v>2019</v>
      </c>
      <c r="C244" s="21" t="s">
        <v>43</v>
      </c>
      <c r="D244" s="52">
        <f t="shared" si="3"/>
        <v>43739</v>
      </c>
      <c r="E244" s="27">
        <v>141.80000000000001</v>
      </c>
      <c r="F244" s="27">
        <v>161</v>
      </c>
      <c r="G244" s="27">
        <v>142.6</v>
      </c>
      <c r="H244" s="27">
        <v>146.19999999999999</v>
      </c>
      <c r="I244" s="27">
        <v>123.9</v>
      </c>
      <c r="J244" s="27">
        <v>148</v>
      </c>
      <c r="K244" s="27">
        <v>188.4</v>
      </c>
      <c r="L244" s="27">
        <v>132.5</v>
      </c>
      <c r="M244" s="27">
        <v>114</v>
      </c>
      <c r="N244" s="27">
        <v>145.4</v>
      </c>
      <c r="O244" s="21">
        <v>149.4</v>
      </c>
      <c r="P244" s="21">
        <v>140.80000000000001</v>
      </c>
      <c r="Q244" s="22">
        <v>153</v>
      </c>
      <c r="R244" s="21">
        <v>145</v>
      </c>
      <c r="S244" s="21">
        <v>149.4</v>
      </c>
      <c r="T244" s="27">
        <v>126.3</v>
      </c>
      <c r="U244" s="27">
        <v>155.4</v>
      </c>
    </row>
    <row r="245" spans="1:21">
      <c r="A245" s="21" t="s">
        <v>30</v>
      </c>
      <c r="B245" s="26">
        <v>2019</v>
      </c>
      <c r="C245" s="21" t="s">
        <v>45</v>
      </c>
      <c r="D245" s="52">
        <f t="shared" si="3"/>
        <v>43770</v>
      </c>
      <c r="E245" s="27">
        <v>141.80000000000001</v>
      </c>
      <c r="F245" s="27">
        <v>163.69999999999999</v>
      </c>
      <c r="G245" s="27">
        <v>143.80000000000001</v>
      </c>
      <c r="H245" s="27">
        <v>147.1</v>
      </c>
      <c r="I245" s="27">
        <v>126</v>
      </c>
      <c r="J245" s="27">
        <v>146.19999999999999</v>
      </c>
      <c r="K245" s="27">
        <v>191.4</v>
      </c>
      <c r="L245" s="27">
        <v>136.19999999999999</v>
      </c>
      <c r="M245" s="27">
        <v>113.8</v>
      </c>
      <c r="N245" s="27">
        <v>147.30000000000001</v>
      </c>
      <c r="O245" s="21">
        <v>152.30000000000001</v>
      </c>
      <c r="P245" s="21">
        <v>147</v>
      </c>
      <c r="Q245" s="22">
        <v>139.25</v>
      </c>
      <c r="R245" s="21">
        <v>150.9</v>
      </c>
      <c r="S245" s="21">
        <v>154.30000000000001</v>
      </c>
      <c r="T245" s="27">
        <v>132.1</v>
      </c>
      <c r="U245" s="27">
        <v>160.80000000000001</v>
      </c>
    </row>
    <row r="246" spans="1:21">
      <c r="A246" s="21" t="s">
        <v>33</v>
      </c>
      <c r="B246" s="26">
        <v>2019</v>
      </c>
      <c r="C246" s="21" t="s">
        <v>45</v>
      </c>
      <c r="D246" s="52">
        <f t="shared" si="3"/>
        <v>43770</v>
      </c>
      <c r="E246" s="27">
        <v>144.1</v>
      </c>
      <c r="F246" s="27">
        <v>162.4</v>
      </c>
      <c r="G246" s="27">
        <v>148.4</v>
      </c>
      <c r="H246" s="27">
        <v>145.9</v>
      </c>
      <c r="I246" s="27">
        <v>121.5</v>
      </c>
      <c r="J246" s="27">
        <v>148.80000000000001</v>
      </c>
      <c r="K246" s="27">
        <v>215.7</v>
      </c>
      <c r="L246" s="27">
        <v>134.6</v>
      </c>
      <c r="M246" s="27">
        <v>115</v>
      </c>
      <c r="N246" s="27">
        <v>146.30000000000001</v>
      </c>
      <c r="O246" s="21">
        <v>146.30000000000001</v>
      </c>
      <c r="P246" s="21">
        <v>132.6</v>
      </c>
      <c r="Q246" s="22">
        <v>153.5</v>
      </c>
      <c r="R246" s="21">
        <v>139.1</v>
      </c>
      <c r="S246" s="21">
        <v>142.80000000000001</v>
      </c>
      <c r="T246" s="27">
        <v>121.7</v>
      </c>
      <c r="U246" s="27">
        <v>151.80000000000001</v>
      </c>
    </row>
    <row r="247" spans="1:21">
      <c r="A247" s="21" t="s">
        <v>34</v>
      </c>
      <c r="B247" s="26">
        <v>2019</v>
      </c>
      <c r="C247" s="21" t="s">
        <v>45</v>
      </c>
      <c r="D247" s="52">
        <f t="shared" si="3"/>
        <v>43770</v>
      </c>
      <c r="E247" s="27">
        <v>142.5</v>
      </c>
      <c r="F247" s="27">
        <v>163.19999999999999</v>
      </c>
      <c r="G247" s="27">
        <v>145.6</v>
      </c>
      <c r="H247" s="27">
        <v>146.69999999999999</v>
      </c>
      <c r="I247" s="27">
        <v>124.3</v>
      </c>
      <c r="J247" s="27">
        <v>147.4</v>
      </c>
      <c r="K247" s="27">
        <v>199.6</v>
      </c>
      <c r="L247" s="27">
        <v>135.69999999999999</v>
      </c>
      <c r="M247" s="27">
        <v>114.2</v>
      </c>
      <c r="N247" s="27">
        <v>147</v>
      </c>
      <c r="O247" s="21">
        <v>149.9</v>
      </c>
      <c r="P247" s="21">
        <v>141</v>
      </c>
      <c r="Q247" s="22">
        <v>153.5</v>
      </c>
      <c r="R247" s="21">
        <v>145.30000000000001</v>
      </c>
      <c r="S247" s="21">
        <v>149.9</v>
      </c>
      <c r="T247" s="27">
        <v>126.6</v>
      </c>
      <c r="U247" s="27">
        <v>155.5</v>
      </c>
    </row>
    <row r="248" spans="1:21">
      <c r="A248" s="21" t="s">
        <v>30</v>
      </c>
      <c r="B248" s="26">
        <v>2019</v>
      </c>
      <c r="C248" s="21" t="s">
        <v>46</v>
      </c>
      <c r="D248" s="52">
        <f t="shared" si="3"/>
        <v>43800</v>
      </c>
      <c r="E248" s="27">
        <v>142.80000000000001</v>
      </c>
      <c r="F248" s="27">
        <v>165.3</v>
      </c>
      <c r="G248" s="27">
        <v>149.5</v>
      </c>
      <c r="H248" s="27">
        <v>148.69999999999999</v>
      </c>
      <c r="I248" s="27">
        <v>127.5</v>
      </c>
      <c r="J248" s="27">
        <v>144.30000000000001</v>
      </c>
      <c r="K248" s="27">
        <v>209.5</v>
      </c>
      <c r="L248" s="27">
        <v>138.80000000000001</v>
      </c>
      <c r="M248" s="27">
        <v>113.6</v>
      </c>
      <c r="N248" s="27">
        <v>149.1</v>
      </c>
      <c r="O248" s="21">
        <v>152.6</v>
      </c>
      <c r="P248" s="21">
        <v>147.30000000000001</v>
      </c>
      <c r="Q248" s="22">
        <v>139.25</v>
      </c>
      <c r="R248" s="21">
        <v>151.19999999999999</v>
      </c>
      <c r="S248" s="21">
        <v>154.80000000000001</v>
      </c>
      <c r="T248" s="27">
        <v>135</v>
      </c>
      <c r="U248" s="27">
        <v>161.1</v>
      </c>
    </row>
    <row r="249" spans="1:21">
      <c r="A249" s="21" t="s">
        <v>33</v>
      </c>
      <c r="B249" s="26">
        <v>2019</v>
      </c>
      <c r="C249" s="21" t="s">
        <v>46</v>
      </c>
      <c r="D249" s="52">
        <f t="shared" si="3"/>
        <v>43800</v>
      </c>
      <c r="E249" s="27">
        <v>144.9</v>
      </c>
      <c r="F249" s="27">
        <v>164.5</v>
      </c>
      <c r="G249" s="27">
        <v>153.69999999999999</v>
      </c>
      <c r="H249" s="27">
        <v>147.5</v>
      </c>
      <c r="I249" s="27">
        <v>122.7</v>
      </c>
      <c r="J249" s="27">
        <v>147.19999999999999</v>
      </c>
      <c r="K249" s="27">
        <v>231.5</v>
      </c>
      <c r="L249" s="27">
        <v>137.19999999999999</v>
      </c>
      <c r="M249" s="27">
        <v>114.7</v>
      </c>
      <c r="N249" s="27">
        <v>148</v>
      </c>
      <c r="O249" s="21">
        <v>146.80000000000001</v>
      </c>
      <c r="P249" s="21">
        <v>132.80000000000001</v>
      </c>
      <c r="Q249" s="22">
        <v>152.80000000000001</v>
      </c>
      <c r="R249" s="21">
        <v>139.80000000000001</v>
      </c>
      <c r="S249" s="21">
        <v>143.19999999999999</v>
      </c>
      <c r="T249" s="27">
        <v>125.2</v>
      </c>
      <c r="U249" s="27">
        <v>151.9</v>
      </c>
    </row>
    <row r="250" spans="1:21">
      <c r="A250" s="21" t="s">
        <v>34</v>
      </c>
      <c r="B250" s="26">
        <v>2019</v>
      </c>
      <c r="C250" s="21" t="s">
        <v>46</v>
      </c>
      <c r="D250" s="52">
        <f t="shared" si="3"/>
        <v>43800</v>
      </c>
      <c r="E250" s="27">
        <v>143.5</v>
      </c>
      <c r="F250" s="27">
        <v>165</v>
      </c>
      <c r="G250" s="27">
        <v>151.1</v>
      </c>
      <c r="H250" s="27">
        <v>148.30000000000001</v>
      </c>
      <c r="I250" s="27">
        <v>125.7</v>
      </c>
      <c r="J250" s="27">
        <v>145.69999999999999</v>
      </c>
      <c r="K250" s="27">
        <v>217</v>
      </c>
      <c r="L250" s="27">
        <v>138.30000000000001</v>
      </c>
      <c r="M250" s="27">
        <v>114</v>
      </c>
      <c r="N250" s="27">
        <v>148.69999999999999</v>
      </c>
      <c r="O250" s="21">
        <v>150.30000000000001</v>
      </c>
      <c r="P250" s="21">
        <v>141.30000000000001</v>
      </c>
      <c r="Q250" s="22">
        <v>152.80000000000001</v>
      </c>
      <c r="R250" s="21">
        <v>145.80000000000001</v>
      </c>
      <c r="S250" s="21">
        <v>150.4</v>
      </c>
      <c r="T250" s="27">
        <v>129.80000000000001</v>
      </c>
      <c r="U250" s="27">
        <v>155.69999999999999</v>
      </c>
    </row>
    <row r="251" spans="1:21">
      <c r="A251" s="21" t="s">
        <v>30</v>
      </c>
      <c r="B251" s="26">
        <v>2020</v>
      </c>
      <c r="C251" s="21" t="s">
        <v>31</v>
      </c>
      <c r="D251" s="52">
        <f t="shared" si="3"/>
        <v>43831</v>
      </c>
      <c r="E251" s="27">
        <v>143.69999999999999</v>
      </c>
      <c r="F251" s="27">
        <v>167.3</v>
      </c>
      <c r="G251" s="27">
        <v>153.5</v>
      </c>
      <c r="H251" s="27">
        <v>150.5</v>
      </c>
      <c r="I251" s="27">
        <v>132</v>
      </c>
      <c r="J251" s="27">
        <v>142.19999999999999</v>
      </c>
      <c r="K251" s="27">
        <v>191.5</v>
      </c>
      <c r="L251" s="27">
        <v>141.1</v>
      </c>
      <c r="M251" s="27">
        <v>113.8</v>
      </c>
      <c r="N251" s="27">
        <v>151.6</v>
      </c>
      <c r="O251" s="21">
        <v>152.80000000000001</v>
      </c>
      <c r="P251" s="21">
        <v>147.4</v>
      </c>
      <c r="Q251" s="22">
        <v>139.25</v>
      </c>
      <c r="R251" s="21">
        <v>151.69999999999999</v>
      </c>
      <c r="S251" s="21">
        <v>155.69999999999999</v>
      </c>
      <c r="T251" s="27">
        <v>136.30000000000001</v>
      </c>
      <c r="U251" s="27">
        <v>161.69999999999999</v>
      </c>
    </row>
    <row r="252" spans="1:21">
      <c r="A252" s="21" t="s">
        <v>33</v>
      </c>
      <c r="B252" s="26">
        <v>2020</v>
      </c>
      <c r="C252" s="21" t="s">
        <v>31</v>
      </c>
      <c r="D252" s="52">
        <f t="shared" si="3"/>
        <v>43831</v>
      </c>
      <c r="E252" s="27">
        <v>145.6</v>
      </c>
      <c r="F252" s="27">
        <v>167.6</v>
      </c>
      <c r="G252" s="27">
        <v>157</v>
      </c>
      <c r="H252" s="27">
        <v>149.30000000000001</v>
      </c>
      <c r="I252" s="27">
        <v>126.3</v>
      </c>
      <c r="J252" s="27">
        <v>144.4</v>
      </c>
      <c r="K252" s="27">
        <v>207.8</v>
      </c>
      <c r="L252" s="27">
        <v>139.1</v>
      </c>
      <c r="M252" s="27">
        <v>114.8</v>
      </c>
      <c r="N252" s="27">
        <v>149.5</v>
      </c>
      <c r="O252" s="21">
        <v>147</v>
      </c>
      <c r="P252" s="21">
        <v>133.19999999999999</v>
      </c>
      <c r="Q252" s="22">
        <v>153.9</v>
      </c>
      <c r="R252" s="21">
        <v>140.1</v>
      </c>
      <c r="S252" s="21">
        <v>143.80000000000001</v>
      </c>
      <c r="T252" s="27">
        <v>126.1</v>
      </c>
      <c r="U252" s="27">
        <v>152.1</v>
      </c>
    </row>
    <row r="253" spans="1:21">
      <c r="A253" s="21" t="s">
        <v>34</v>
      </c>
      <c r="B253" s="26">
        <v>2020</v>
      </c>
      <c r="C253" s="21" t="s">
        <v>31</v>
      </c>
      <c r="D253" s="52">
        <f t="shared" si="3"/>
        <v>43831</v>
      </c>
      <c r="E253" s="27">
        <v>144.30000000000001</v>
      </c>
      <c r="F253" s="27">
        <v>167.4</v>
      </c>
      <c r="G253" s="27">
        <v>154.9</v>
      </c>
      <c r="H253" s="27">
        <v>150.1</v>
      </c>
      <c r="I253" s="27">
        <v>129.9</v>
      </c>
      <c r="J253" s="27">
        <v>143.19999999999999</v>
      </c>
      <c r="K253" s="27">
        <v>197</v>
      </c>
      <c r="L253" s="27">
        <v>140.4</v>
      </c>
      <c r="M253" s="27">
        <v>114.1</v>
      </c>
      <c r="N253" s="27">
        <v>150.9</v>
      </c>
      <c r="O253" s="21">
        <v>150.5</v>
      </c>
      <c r="P253" s="21">
        <v>141.5</v>
      </c>
      <c r="Q253" s="22">
        <v>153.9</v>
      </c>
      <c r="R253" s="21">
        <v>146.19999999999999</v>
      </c>
      <c r="S253" s="21">
        <v>151.19999999999999</v>
      </c>
      <c r="T253" s="27">
        <v>130.9</v>
      </c>
      <c r="U253" s="27">
        <v>156.1</v>
      </c>
    </row>
    <row r="254" spans="1:21">
      <c r="A254" s="21" t="s">
        <v>30</v>
      </c>
      <c r="B254" s="26">
        <v>2020</v>
      </c>
      <c r="C254" s="21" t="s">
        <v>35</v>
      </c>
      <c r="D254" s="52">
        <f t="shared" si="3"/>
        <v>43862</v>
      </c>
      <c r="E254" s="27">
        <v>144.19999999999999</v>
      </c>
      <c r="F254" s="27">
        <v>167.5</v>
      </c>
      <c r="G254" s="27">
        <v>150.9</v>
      </c>
      <c r="H254" s="27">
        <v>150.9</v>
      </c>
      <c r="I254" s="27">
        <v>133.69999999999999</v>
      </c>
      <c r="J254" s="27">
        <v>140.69999999999999</v>
      </c>
      <c r="K254" s="27">
        <v>165.1</v>
      </c>
      <c r="L254" s="27">
        <v>141.80000000000001</v>
      </c>
      <c r="M254" s="27">
        <v>113.1</v>
      </c>
      <c r="N254" s="27">
        <v>152.80000000000001</v>
      </c>
      <c r="O254" s="21">
        <v>153</v>
      </c>
      <c r="P254" s="21">
        <v>147.5</v>
      </c>
      <c r="Q254" s="22">
        <v>139.25</v>
      </c>
      <c r="R254" s="21">
        <v>151.80000000000001</v>
      </c>
      <c r="S254" s="21">
        <v>156.19999999999999</v>
      </c>
      <c r="T254" s="27">
        <v>136</v>
      </c>
      <c r="U254" s="27">
        <v>161.9</v>
      </c>
    </row>
    <row r="255" spans="1:21">
      <c r="A255" s="21" t="s">
        <v>33</v>
      </c>
      <c r="B255" s="26">
        <v>2020</v>
      </c>
      <c r="C255" s="21" t="s">
        <v>35</v>
      </c>
      <c r="D255" s="52">
        <f t="shared" si="3"/>
        <v>43862</v>
      </c>
      <c r="E255" s="27">
        <v>146.19999999999999</v>
      </c>
      <c r="F255" s="27">
        <v>167.6</v>
      </c>
      <c r="G255" s="27">
        <v>153.1</v>
      </c>
      <c r="H255" s="27">
        <v>150.69999999999999</v>
      </c>
      <c r="I255" s="27">
        <v>127.4</v>
      </c>
      <c r="J255" s="27">
        <v>143.1</v>
      </c>
      <c r="K255" s="27">
        <v>181.7</v>
      </c>
      <c r="L255" s="27">
        <v>139.6</v>
      </c>
      <c r="M255" s="27">
        <v>114.6</v>
      </c>
      <c r="N255" s="27">
        <v>150.4</v>
      </c>
      <c r="O255" s="21">
        <v>147.30000000000001</v>
      </c>
      <c r="P255" s="21">
        <v>133.5</v>
      </c>
      <c r="Q255" s="22">
        <v>154.80000000000001</v>
      </c>
      <c r="R255" s="21">
        <v>140.4</v>
      </c>
      <c r="S255" s="21">
        <v>144.4</v>
      </c>
      <c r="T255" s="27">
        <v>125.2</v>
      </c>
      <c r="U255" s="27">
        <v>152.19999999999999</v>
      </c>
    </row>
    <row r="256" spans="1:21">
      <c r="A256" s="21" t="s">
        <v>34</v>
      </c>
      <c r="B256" s="26">
        <v>2020</v>
      </c>
      <c r="C256" s="21" t="s">
        <v>35</v>
      </c>
      <c r="D256" s="52">
        <f t="shared" si="3"/>
        <v>43862</v>
      </c>
      <c r="E256" s="27">
        <v>144.80000000000001</v>
      </c>
      <c r="F256" s="27">
        <v>167.5</v>
      </c>
      <c r="G256" s="27">
        <v>151.80000000000001</v>
      </c>
      <c r="H256" s="27">
        <v>150.80000000000001</v>
      </c>
      <c r="I256" s="27">
        <v>131.4</v>
      </c>
      <c r="J256" s="27">
        <v>141.80000000000001</v>
      </c>
      <c r="K256" s="27">
        <v>170.7</v>
      </c>
      <c r="L256" s="27">
        <v>141.1</v>
      </c>
      <c r="M256" s="27">
        <v>113.6</v>
      </c>
      <c r="N256" s="27">
        <v>152</v>
      </c>
      <c r="O256" s="21">
        <v>150.80000000000001</v>
      </c>
      <c r="P256" s="21">
        <v>141.69999999999999</v>
      </c>
      <c r="Q256" s="22">
        <v>154.80000000000001</v>
      </c>
      <c r="R256" s="21">
        <v>146.4</v>
      </c>
      <c r="S256" s="21">
        <v>151.69999999999999</v>
      </c>
      <c r="T256" s="27">
        <v>130.30000000000001</v>
      </c>
      <c r="U256" s="27">
        <v>156.19999999999999</v>
      </c>
    </row>
    <row r="257" spans="1:21">
      <c r="A257" s="21" t="s">
        <v>30</v>
      </c>
      <c r="B257" s="26">
        <v>2020</v>
      </c>
      <c r="C257" s="21" t="s">
        <v>36</v>
      </c>
      <c r="D257" s="52">
        <f t="shared" si="3"/>
        <v>43891</v>
      </c>
      <c r="E257" s="27">
        <v>144.4</v>
      </c>
      <c r="F257" s="27">
        <v>166.8</v>
      </c>
      <c r="G257" s="27">
        <v>147.6</v>
      </c>
      <c r="H257" s="27">
        <v>151.69999999999999</v>
      </c>
      <c r="I257" s="27">
        <v>133.30000000000001</v>
      </c>
      <c r="J257" s="27">
        <v>141.80000000000001</v>
      </c>
      <c r="K257" s="27">
        <v>152.30000000000001</v>
      </c>
      <c r="L257" s="27">
        <v>141.80000000000001</v>
      </c>
      <c r="M257" s="27">
        <v>112.6</v>
      </c>
      <c r="N257" s="27">
        <v>154</v>
      </c>
      <c r="O257" s="21">
        <v>153.4</v>
      </c>
      <c r="P257" s="21">
        <v>147.6</v>
      </c>
      <c r="Q257" s="22">
        <v>139.25</v>
      </c>
      <c r="R257" s="21">
        <v>151.5</v>
      </c>
      <c r="S257" s="21">
        <v>156.69999999999999</v>
      </c>
      <c r="T257" s="27">
        <v>135.80000000000001</v>
      </c>
      <c r="U257" s="27">
        <v>161.19999999999999</v>
      </c>
    </row>
    <row r="258" spans="1:21">
      <c r="A258" s="21" t="s">
        <v>33</v>
      </c>
      <c r="B258" s="26">
        <v>2020</v>
      </c>
      <c r="C258" s="21" t="s">
        <v>36</v>
      </c>
      <c r="D258" s="52">
        <f t="shared" si="3"/>
        <v>43891</v>
      </c>
      <c r="E258" s="27">
        <v>146.5</v>
      </c>
      <c r="F258" s="27">
        <v>167.5</v>
      </c>
      <c r="G258" s="27">
        <v>148.9</v>
      </c>
      <c r="H258" s="27">
        <v>151.1</v>
      </c>
      <c r="I258" s="27">
        <v>127.5</v>
      </c>
      <c r="J258" s="27">
        <v>143.30000000000001</v>
      </c>
      <c r="K258" s="27">
        <v>167</v>
      </c>
      <c r="L258" s="27">
        <v>139.69999999999999</v>
      </c>
      <c r="M258" s="27">
        <v>114.4</v>
      </c>
      <c r="N258" s="27">
        <v>151.5</v>
      </c>
      <c r="O258" s="21">
        <v>147.69999999999999</v>
      </c>
      <c r="P258" s="21">
        <v>133.80000000000001</v>
      </c>
      <c r="Q258" s="22">
        <v>154.5</v>
      </c>
      <c r="R258" s="21">
        <v>140.80000000000001</v>
      </c>
      <c r="S258" s="21">
        <v>145</v>
      </c>
      <c r="T258" s="27">
        <v>124.6</v>
      </c>
      <c r="U258" s="27">
        <v>152.5</v>
      </c>
    </row>
    <row r="259" spans="1:21">
      <c r="A259" s="21" t="s">
        <v>34</v>
      </c>
      <c r="B259" s="26">
        <v>2020</v>
      </c>
      <c r="C259" s="21" t="s">
        <v>36</v>
      </c>
      <c r="D259" s="52">
        <f t="shared" ref="D259:D322" si="4">DATE(B259,MONTH(1&amp;C259),1)</f>
        <v>43891</v>
      </c>
      <c r="E259" s="27">
        <v>145.1</v>
      </c>
      <c r="F259" s="27">
        <v>167</v>
      </c>
      <c r="G259" s="27">
        <v>148.1</v>
      </c>
      <c r="H259" s="27">
        <v>151.5</v>
      </c>
      <c r="I259" s="27">
        <v>131.19999999999999</v>
      </c>
      <c r="J259" s="27">
        <v>142.5</v>
      </c>
      <c r="K259" s="27">
        <v>157.30000000000001</v>
      </c>
      <c r="L259" s="27">
        <v>141.1</v>
      </c>
      <c r="M259" s="27">
        <v>113.2</v>
      </c>
      <c r="N259" s="27">
        <v>153.19999999999999</v>
      </c>
      <c r="O259" s="21">
        <v>151.19999999999999</v>
      </c>
      <c r="P259" s="21">
        <v>141.9</v>
      </c>
      <c r="Q259" s="22">
        <v>154.5</v>
      </c>
      <c r="R259" s="21">
        <v>146.4</v>
      </c>
      <c r="S259" s="21">
        <v>152.30000000000001</v>
      </c>
      <c r="T259" s="27">
        <v>129.9</v>
      </c>
      <c r="U259" s="27">
        <v>156.1</v>
      </c>
    </row>
    <row r="260" spans="1:21">
      <c r="A260" s="21" t="s">
        <v>30</v>
      </c>
      <c r="B260" s="26">
        <v>2020</v>
      </c>
      <c r="C260" s="21" t="s">
        <v>37</v>
      </c>
      <c r="D260" s="52">
        <f t="shared" si="4"/>
        <v>43922</v>
      </c>
      <c r="E260" s="27">
        <v>147.19999999999999</v>
      </c>
      <c r="F260" s="27" t="s">
        <v>32</v>
      </c>
      <c r="G260" s="27">
        <v>146.9</v>
      </c>
      <c r="H260" s="27">
        <v>155.6</v>
      </c>
      <c r="I260" s="27">
        <v>137.1</v>
      </c>
      <c r="J260" s="27">
        <v>147.30000000000001</v>
      </c>
      <c r="K260" s="27">
        <v>162.69999999999999</v>
      </c>
      <c r="L260" s="27">
        <v>150.19999999999999</v>
      </c>
      <c r="M260" s="27">
        <v>119.8</v>
      </c>
      <c r="N260" s="27">
        <v>158.69999999999999</v>
      </c>
      <c r="O260" s="28" t="s">
        <v>32</v>
      </c>
      <c r="P260" s="28" t="s">
        <v>32</v>
      </c>
      <c r="Q260" s="28">
        <v>139.25</v>
      </c>
      <c r="R260" s="28" t="s">
        <v>32</v>
      </c>
      <c r="S260" s="28">
        <v>154.30000000000001</v>
      </c>
      <c r="T260" s="27" t="s">
        <v>32</v>
      </c>
      <c r="U260" s="27" t="s">
        <v>32</v>
      </c>
    </row>
    <row r="261" spans="1:21">
      <c r="A261" s="21" t="s">
        <v>33</v>
      </c>
      <c r="B261" s="26">
        <v>2020</v>
      </c>
      <c r="C261" s="21" t="s">
        <v>37</v>
      </c>
      <c r="D261" s="52">
        <f t="shared" si="4"/>
        <v>43922</v>
      </c>
      <c r="E261" s="27">
        <v>151.80000000000001</v>
      </c>
      <c r="F261" s="27" t="s">
        <v>32</v>
      </c>
      <c r="G261" s="27">
        <v>151.9</v>
      </c>
      <c r="H261" s="27">
        <v>155.5</v>
      </c>
      <c r="I261" s="27">
        <v>131.6</v>
      </c>
      <c r="J261" s="27">
        <v>152.9</v>
      </c>
      <c r="K261" s="27">
        <v>180</v>
      </c>
      <c r="L261" s="27">
        <v>150.80000000000001</v>
      </c>
      <c r="M261" s="27">
        <v>121.2</v>
      </c>
      <c r="N261" s="27">
        <v>154</v>
      </c>
      <c r="O261" s="28" t="s">
        <v>32</v>
      </c>
      <c r="P261" s="28" t="s">
        <v>32</v>
      </c>
      <c r="Q261" s="28">
        <v>155.6</v>
      </c>
      <c r="R261" s="28" t="s">
        <v>32</v>
      </c>
      <c r="S261" s="28">
        <v>144.80000000000001</v>
      </c>
      <c r="T261" s="27" t="s">
        <v>32</v>
      </c>
      <c r="U261" s="27" t="s">
        <v>32</v>
      </c>
    </row>
    <row r="262" spans="1:21">
      <c r="A262" s="21" t="s">
        <v>34</v>
      </c>
      <c r="B262" s="26">
        <v>2020</v>
      </c>
      <c r="C262" s="21" t="s">
        <v>37</v>
      </c>
      <c r="D262" s="52">
        <f t="shared" si="4"/>
        <v>43922</v>
      </c>
      <c r="E262" s="27">
        <v>148.69999999999999</v>
      </c>
      <c r="F262" s="27" t="s">
        <v>32</v>
      </c>
      <c r="G262" s="27">
        <v>148.80000000000001</v>
      </c>
      <c r="H262" s="27">
        <v>155.6</v>
      </c>
      <c r="I262" s="27">
        <v>135.1</v>
      </c>
      <c r="J262" s="27">
        <v>149.9</v>
      </c>
      <c r="K262" s="27">
        <v>168.6</v>
      </c>
      <c r="L262" s="27">
        <v>150.4</v>
      </c>
      <c r="M262" s="27">
        <v>120.3</v>
      </c>
      <c r="N262" s="27">
        <v>157.1</v>
      </c>
      <c r="O262" s="28" t="s">
        <v>32</v>
      </c>
      <c r="P262" s="28" t="s">
        <v>32</v>
      </c>
      <c r="Q262" s="28">
        <v>155.6</v>
      </c>
      <c r="R262" s="28" t="s">
        <v>32</v>
      </c>
      <c r="S262" s="28">
        <v>150.69999999999999</v>
      </c>
      <c r="T262" s="27" t="s">
        <v>32</v>
      </c>
      <c r="U262" s="27" t="s">
        <v>32</v>
      </c>
    </row>
    <row r="263" spans="1:21">
      <c r="A263" s="21" t="s">
        <v>30</v>
      </c>
      <c r="B263" s="26">
        <v>2020</v>
      </c>
      <c r="C263" s="21" t="s">
        <v>38</v>
      </c>
      <c r="D263" s="52">
        <f t="shared" si="4"/>
        <v>43952</v>
      </c>
      <c r="E263" s="27" t="s">
        <v>32</v>
      </c>
      <c r="F263" s="27" t="s">
        <v>32</v>
      </c>
      <c r="G263" s="27" t="s">
        <v>32</v>
      </c>
      <c r="H263" s="27" t="s">
        <v>32</v>
      </c>
      <c r="I263" s="27" t="s">
        <v>32</v>
      </c>
      <c r="J263" s="27" t="s">
        <v>32</v>
      </c>
      <c r="K263" s="27" t="s">
        <v>32</v>
      </c>
      <c r="L263" s="27" t="s">
        <v>32</v>
      </c>
      <c r="M263" s="27" t="s">
        <v>32</v>
      </c>
      <c r="N263" s="27" t="s">
        <v>32</v>
      </c>
      <c r="O263" s="28" t="s">
        <v>32</v>
      </c>
      <c r="P263" s="28" t="s">
        <v>32</v>
      </c>
      <c r="Q263" s="28">
        <v>139.25</v>
      </c>
      <c r="R263" s="28" t="s">
        <v>32</v>
      </c>
      <c r="S263" s="28" t="s">
        <v>32</v>
      </c>
      <c r="T263" s="27" t="s">
        <v>32</v>
      </c>
      <c r="U263" s="27" t="s">
        <v>32</v>
      </c>
    </row>
    <row r="264" spans="1:21">
      <c r="A264" s="21" t="s">
        <v>33</v>
      </c>
      <c r="B264" s="26">
        <v>2020</v>
      </c>
      <c r="C264" s="21" t="s">
        <v>38</v>
      </c>
      <c r="D264" s="52">
        <f t="shared" si="4"/>
        <v>43952</v>
      </c>
      <c r="E264" s="27" t="s">
        <v>32</v>
      </c>
      <c r="F264" s="27" t="s">
        <v>32</v>
      </c>
      <c r="G264" s="27" t="s">
        <v>32</v>
      </c>
      <c r="H264" s="27" t="s">
        <v>32</v>
      </c>
      <c r="I264" s="27" t="s">
        <v>32</v>
      </c>
      <c r="J264" s="27" t="s">
        <v>32</v>
      </c>
      <c r="K264" s="27" t="s">
        <v>32</v>
      </c>
      <c r="L264" s="27" t="s">
        <v>32</v>
      </c>
      <c r="M264" s="27" t="s">
        <v>32</v>
      </c>
      <c r="N264" s="27" t="s">
        <v>32</v>
      </c>
      <c r="O264" s="28" t="s">
        <v>32</v>
      </c>
      <c r="P264" s="28" t="s">
        <v>32</v>
      </c>
      <c r="Q264" s="28">
        <v>139.25</v>
      </c>
      <c r="R264" s="28" t="s">
        <v>32</v>
      </c>
      <c r="S264" s="28" t="s">
        <v>32</v>
      </c>
      <c r="T264" s="27" t="s">
        <v>32</v>
      </c>
      <c r="U264" s="27" t="s">
        <v>32</v>
      </c>
    </row>
    <row r="265" spans="1:21">
      <c r="A265" s="21" t="s">
        <v>34</v>
      </c>
      <c r="B265" s="26">
        <v>2020</v>
      </c>
      <c r="C265" s="21" t="s">
        <v>38</v>
      </c>
      <c r="D265" s="52">
        <f t="shared" si="4"/>
        <v>43952</v>
      </c>
      <c r="E265" s="27" t="s">
        <v>32</v>
      </c>
      <c r="F265" s="27" t="s">
        <v>32</v>
      </c>
      <c r="G265" s="27" t="s">
        <v>32</v>
      </c>
      <c r="H265" s="27" t="s">
        <v>32</v>
      </c>
      <c r="I265" s="27" t="s">
        <v>32</v>
      </c>
      <c r="J265" s="27" t="s">
        <v>32</v>
      </c>
      <c r="K265" s="27" t="s">
        <v>32</v>
      </c>
      <c r="L265" s="27" t="s">
        <v>32</v>
      </c>
      <c r="M265" s="27" t="s">
        <v>32</v>
      </c>
      <c r="N265" s="27" t="s">
        <v>32</v>
      </c>
      <c r="O265" s="28" t="s">
        <v>32</v>
      </c>
      <c r="P265" s="28" t="s">
        <v>32</v>
      </c>
      <c r="Q265" s="28">
        <v>139.25</v>
      </c>
      <c r="R265" s="28" t="s">
        <v>32</v>
      </c>
      <c r="S265" s="28" t="s">
        <v>32</v>
      </c>
      <c r="T265" s="27" t="s">
        <v>32</v>
      </c>
      <c r="U265" s="27" t="s">
        <v>32</v>
      </c>
    </row>
    <row r="266" spans="1:21">
      <c r="A266" s="21" t="s">
        <v>30</v>
      </c>
      <c r="B266" s="26">
        <v>2020</v>
      </c>
      <c r="C266" s="21" t="s">
        <v>39</v>
      </c>
      <c r="D266" s="52">
        <f t="shared" si="4"/>
        <v>43983</v>
      </c>
      <c r="E266" s="27">
        <v>148.19999999999999</v>
      </c>
      <c r="F266" s="27">
        <v>190.3</v>
      </c>
      <c r="G266" s="27">
        <v>149.4</v>
      </c>
      <c r="H266" s="27">
        <v>153.30000000000001</v>
      </c>
      <c r="I266" s="27">
        <v>138.19999999999999</v>
      </c>
      <c r="J266" s="27">
        <v>143.19999999999999</v>
      </c>
      <c r="K266" s="27">
        <v>148.9</v>
      </c>
      <c r="L266" s="27">
        <v>150.30000000000001</v>
      </c>
      <c r="M266" s="27">
        <v>113.2</v>
      </c>
      <c r="N266" s="27">
        <v>159.80000000000001</v>
      </c>
      <c r="O266" s="21">
        <v>154.69999999999999</v>
      </c>
      <c r="P266" s="21">
        <v>150</v>
      </c>
      <c r="Q266" s="22">
        <v>139.25</v>
      </c>
      <c r="R266" s="21">
        <v>151.69999999999999</v>
      </c>
      <c r="S266" s="21">
        <v>158.19999999999999</v>
      </c>
      <c r="T266" s="27">
        <v>141.4</v>
      </c>
      <c r="U266" s="27">
        <v>161.80000000000001</v>
      </c>
    </row>
    <row r="267" spans="1:21">
      <c r="A267" s="21" t="s">
        <v>33</v>
      </c>
      <c r="B267" s="26">
        <v>2020</v>
      </c>
      <c r="C267" s="21" t="s">
        <v>39</v>
      </c>
      <c r="D267" s="52">
        <f t="shared" si="4"/>
        <v>43983</v>
      </c>
      <c r="E267" s="27">
        <v>152.69999999999999</v>
      </c>
      <c r="F267" s="27">
        <v>197</v>
      </c>
      <c r="G267" s="27">
        <v>154.6</v>
      </c>
      <c r="H267" s="27">
        <v>153.4</v>
      </c>
      <c r="I267" s="27">
        <v>132.9</v>
      </c>
      <c r="J267" s="27">
        <v>151.80000000000001</v>
      </c>
      <c r="K267" s="27">
        <v>171.2</v>
      </c>
      <c r="L267" s="27">
        <v>152</v>
      </c>
      <c r="M267" s="27">
        <v>116.3</v>
      </c>
      <c r="N267" s="27">
        <v>158.80000000000001</v>
      </c>
      <c r="O267" s="21">
        <v>149.1</v>
      </c>
      <c r="P267" s="21">
        <v>136.6</v>
      </c>
      <c r="Q267" s="22">
        <v>154.69999999999999</v>
      </c>
      <c r="R267" s="21">
        <v>140.4</v>
      </c>
      <c r="S267" s="21">
        <v>148.1</v>
      </c>
      <c r="T267" s="27">
        <v>129.30000000000001</v>
      </c>
      <c r="U267" s="27">
        <v>152.5</v>
      </c>
    </row>
    <row r="268" spans="1:21">
      <c r="A268" s="21" t="s">
        <v>34</v>
      </c>
      <c r="B268" s="26">
        <v>2020</v>
      </c>
      <c r="C268" s="21" t="s">
        <v>39</v>
      </c>
      <c r="D268" s="52">
        <f t="shared" si="4"/>
        <v>43983</v>
      </c>
      <c r="E268" s="27">
        <v>149.6</v>
      </c>
      <c r="F268" s="27">
        <v>192.7</v>
      </c>
      <c r="G268" s="27">
        <v>151.4</v>
      </c>
      <c r="H268" s="27">
        <v>153.30000000000001</v>
      </c>
      <c r="I268" s="27">
        <v>136.30000000000001</v>
      </c>
      <c r="J268" s="27">
        <v>147.19999999999999</v>
      </c>
      <c r="K268" s="27">
        <v>156.5</v>
      </c>
      <c r="L268" s="27">
        <v>150.9</v>
      </c>
      <c r="M268" s="27">
        <v>114.2</v>
      </c>
      <c r="N268" s="27">
        <v>159.5</v>
      </c>
      <c r="O268" s="21">
        <v>152.5</v>
      </c>
      <c r="P268" s="21">
        <v>144.4</v>
      </c>
      <c r="Q268" s="22">
        <v>154.69999999999999</v>
      </c>
      <c r="R268" s="21">
        <v>146.4</v>
      </c>
      <c r="S268" s="21">
        <v>154.4</v>
      </c>
      <c r="T268" s="27">
        <v>135</v>
      </c>
      <c r="U268" s="27">
        <v>156.4</v>
      </c>
    </row>
    <row r="269" spans="1:21">
      <c r="A269" s="21" t="s">
        <v>30</v>
      </c>
      <c r="B269" s="26">
        <v>2020</v>
      </c>
      <c r="C269" s="21" t="s">
        <v>40</v>
      </c>
      <c r="D269" s="52">
        <f t="shared" si="4"/>
        <v>44013</v>
      </c>
      <c r="E269" s="27">
        <v>148.19999999999999</v>
      </c>
      <c r="F269" s="27">
        <v>190.3</v>
      </c>
      <c r="G269" s="27">
        <v>149.4</v>
      </c>
      <c r="H269" s="27">
        <v>153.30000000000001</v>
      </c>
      <c r="I269" s="27">
        <v>138.19999999999999</v>
      </c>
      <c r="J269" s="27">
        <v>143.19999999999999</v>
      </c>
      <c r="K269" s="27">
        <v>148.9</v>
      </c>
      <c r="L269" s="27">
        <v>150.30000000000001</v>
      </c>
      <c r="M269" s="27">
        <v>113.2</v>
      </c>
      <c r="N269" s="27">
        <v>159.80000000000001</v>
      </c>
      <c r="O269" s="21">
        <v>154.69999999999999</v>
      </c>
      <c r="P269" s="21">
        <v>150</v>
      </c>
      <c r="Q269" s="22">
        <v>139.25</v>
      </c>
      <c r="R269" s="21">
        <v>151.69999999999999</v>
      </c>
      <c r="S269" s="21">
        <v>158.19999999999999</v>
      </c>
      <c r="T269" s="27">
        <v>141.4</v>
      </c>
      <c r="U269" s="27">
        <v>161.80000000000001</v>
      </c>
    </row>
    <row r="270" spans="1:21">
      <c r="A270" s="21" t="s">
        <v>33</v>
      </c>
      <c r="B270" s="26">
        <v>2020</v>
      </c>
      <c r="C270" s="21" t="s">
        <v>40</v>
      </c>
      <c r="D270" s="52">
        <f t="shared" si="4"/>
        <v>44013</v>
      </c>
      <c r="E270" s="27">
        <v>152.69999999999999</v>
      </c>
      <c r="F270" s="27">
        <v>197</v>
      </c>
      <c r="G270" s="27">
        <v>154.6</v>
      </c>
      <c r="H270" s="27">
        <v>153.4</v>
      </c>
      <c r="I270" s="27">
        <v>132.9</v>
      </c>
      <c r="J270" s="27">
        <v>151.80000000000001</v>
      </c>
      <c r="K270" s="27">
        <v>171.2</v>
      </c>
      <c r="L270" s="27">
        <v>152</v>
      </c>
      <c r="M270" s="27">
        <v>116.3</v>
      </c>
      <c r="N270" s="27">
        <v>158.80000000000001</v>
      </c>
      <c r="O270" s="21">
        <v>149.1</v>
      </c>
      <c r="P270" s="21">
        <v>136.6</v>
      </c>
      <c r="Q270" s="22">
        <v>154.69999999999999</v>
      </c>
      <c r="R270" s="21">
        <v>140.4</v>
      </c>
      <c r="S270" s="21">
        <v>148.1</v>
      </c>
      <c r="T270" s="27">
        <v>129.30000000000001</v>
      </c>
      <c r="U270" s="27">
        <v>152.5</v>
      </c>
    </row>
    <row r="271" spans="1:21">
      <c r="A271" s="21" t="s">
        <v>34</v>
      </c>
      <c r="B271" s="26">
        <v>2020</v>
      </c>
      <c r="C271" s="21" t="s">
        <v>40</v>
      </c>
      <c r="D271" s="52">
        <f t="shared" si="4"/>
        <v>44013</v>
      </c>
      <c r="E271" s="27">
        <v>149.6</v>
      </c>
      <c r="F271" s="27">
        <v>192.7</v>
      </c>
      <c r="G271" s="27">
        <v>151.4</v>
      </c>
      <c r="H271" s="27">
        <v>153.30000000000001</v>
      </c>
      <c r="I271" s="27">
        <v>136.30000000000001</v>
      </c>
      <c r="J271" s="27">
        <v>147.19999999999999</v>
      </c>
      <c r="K271" s="27">
        <v>156.5</v>
      </c>
      <c r="L271" s="27">
        <v>150.9</v>
      </c>
      <c r="M271" s="27">
        <v>114.2</v>
      </c>
      <c r="N271" s="27">
        <v>159.5</v>
      </c>
      <c r="O271" s="21">
        <v>152.5</v>
      </c>
      <c r="P271" s="21">
        <v>144.4</v>
      </c>
      <c r="Q271" s="22">
        <v>154.69999999999999</v>
      </c>
      <c r="R271" s="21">
        <v>146.4</v>
      </c>
      <c r="S271" s="21">
        <v>154.4</v>
      </c>
      <c r="T271" s="27">
        <v>135</v>
      </c>
      <c r="U271" s="27">
        <v>156.4</v>
      </c>
    </row>
    <row r="272" spans="1:21">
      <c r="A272" s="21" t="s">
        <v>30</v>
      </c>
      <c r="B272" s="26">
        <v>2020</v>
      </c>
      <c r="C272" s="21" t="s">
        <v>41</v>
      </c>
      <c r="D272" s="52">
        <f t="shared" si="4"/>
        <v>44044</v>
      </c>
      <c r="E272" s="27">
        <v>147.6</v>
      </c>
      <c r="F272" s="27">
        <v>187.2</v>
      </c>
      <c r="G272" s="27">
        <v>148.4</v>
      </c>
      <c r="H272" s="27">
        <v>153.30000000000001</v>
      </c>
      <c r="I272" s="27">
        <v>139.80000000000001</v>
      </c>
      <c r="J272" s="27">
        <v>146.9</v>
      </c>
      <c r="K272" s="27">
        <v>171</v>
      </c>
      <c r="L272" s="27">
        <v>149.9</v>
      </c>
      <c r="M272" s="27">
        <v>114.2</v>
      </c>
      <c r="N272" s="27">
        <v>160</v>
      </c>
      <c r="O272" s="21">
        <v>155.1</v>
      </c>
      <c r="P272" s="21">
        <v>149.30000000000001</v>
      </c>
      <c r="Q272" s="22">
        <v>139.25</v>
      </c>
      <c r="R272" s="21">
        <v>151.9</v>
      </c>
      <c r="S272" s="21">
        <v>158.80000000000001</v>
      </c>
      <c r="T272" s="27">
        <v>143.6</v>
      </c>
      <c r="U272" s="27">
        <v>162.69999999999999</v>
      </c>
    </row>
    <row r="273" spans="1:21">
      <c r="A273" s="21" t="s">
        <v>33</v>
      </c>
      <c r="B273" s="26">
        <v>2020</v>
      </c>
      <c r="C273" s="21" t="s">
        <v>41</v>
      </c>
      <c r="D273" s="52">
        <f t="shared" si="4"/>
        <v>44044</v>
      </c>
      <c r="E273" s="27">
        <v>151.6</v>
      </c>
      <c r="F273" s="27">
        <v>197.8</v>
      </c>
      <c r="G273" s="27">
        <v>154.5</v>
      </c>
      <c r="H273" s="27">
        <v>153.4</v>
      </c>
      <c r="I273" s="27">
        <v>133.4</v>
      </c>
      <c r="J273" s="27">
        <v>154.5</v>
      </c>
      <c r="K273" s="27">
        <v>191.9</v>
      </c>
      <c r="L273" s="27">
        <v>151.30000000000001</v>
      </c>
      <c r="M273" s="27">
        <v>116.8</v>
      </c>
      <c r="N273" s="27">
        <v>160</v>
      </c>
      <c r="O273" s="21">
        <v>150</v>
      </c>
      <c r="P273" s="21">
        <v>135.19999999999999</v>
      </c>
      <c r="Q273" s="22">
        <v>155.5</v>
      </c>
      <c r="R273" s="21">
        <v>144.5</v>
      </c>
      <c r="S273" s="21">
        <v>148.69999999999999</v>
      </c>
      <c r="T273" s="27">
        <v>133.9</v>
      </c>
      <c r="U273" s="27">
        <v>155.5</v>
      </c>
    </row>
    <row r="274" spans="1:21">
      <c r="A274" s="21" t="s">
        <v>34</v>
      </c>
      <c r="B274" s="26">
        <v>2020</v>
      </c>
      <c r="C274" s="21" t="s">
        <v>41</v>
      </c>
      <c r="D274" s="52">
        <f t="shared" si="4"/>
        <v>44044</v>
      </c>
      <c r="E274" s="27">
        <v>148.9</v>
      </c>
      <c r="F274" s="27">
        <v>190.9</v>
      </c>
      <c r="G274" s="27">
        <v>150.80000000000001</v>
      </c>
      <c r="H274" s="27">
        <v>153.30000000000001</v>
      </c>
      <c r="I274" s="27">
        <v>137.4</v>
      </c>
      <c r="J274" s="27">
        <v>150.4</v>
      </c>
      <c r="K274" s="27">
        <v>178.1</v>
      </c>
      <c r="L274" s="27">
        <v>150.4</v>
      </c>
      <c r="M274" s="27">
        <v>115.1</v>
      </c>
      <c r="N274" s="27">
        <v>160</v>
      </c>
      <c r="O274" s="21">
        <v>153.1</v>
      </c>
      <c r="P274" s="21">
        <v>143.4</v>
      </c>
      <c r="Q274" s="22">
        <v>155.5</v>
      </c>
      <c r="R274" s="21">
        <v>148.4</v>
      </c>
      <c r="S274" s="21">
        <v>155</v>
      </c>
      <c r="T274" s="27">
        <v>138.5</v>
      </c>
      <c r="U274" s="27">
        <v>158.5</v>
      </c>
    </row>
    <row r="275" spans="1:21">
      <c r="A275" s="21" t="s">
        <v>30</v>
      </c>
      <c r="B275" s="26">
        <v>2020</v>
      </c>
      <c r="C275" s="21" t="s">
        <v>42</v>
      </c>
      <c r="D275" s="52">
        <f t="shared" si="4"/>
        <v>44075</v>
      </c>
      <c r="E275" s="27">
        <v>146.9</v>
      </c>
      <c r="F275" s="27">
        <v>183.9</v>
      </c>
      <c r="G275" s="27">
        <v>149.5</v>
      </c>
      <c r="H275" s="27">
        <v>153.4</v>
      </c>
      <c r="I275" s="27">
        <v>140.4</v>
      </c>
      <c r="J275" s="27">
        <v>147</v>
      </c>
      <c r="K275" s="27">
        <v>178.8</v>
      </c>
      <c r="L275" s="27">
        <v>149.30000000000001</v>
      </c>
      <c r="M275" s="27">
        <v>115.1</v>
      </c>
      <c r="N275" s="27">
        <v>160</v>
      </c>
      <c r="O275" s="21">
        <v>155.4</v>
      </c>
      <c r="P275" s="21">
        <v>149.9</v>
      </c>
      <c r="Q275" s="22">
        <v>139.25</v>
      </c>
      <c r="R275" s="21">
        <v>151.6</v>
      </c>
      <c r="S275" s="21">
        <v>159.1</v>
      </c>
      <c r="T275" s="27">
        <v>144.6</v>
      </c>
      <c r="U275" s="27">
        <v>161.1</v>
      </c>
    </row>
    <row r="276" spans="1:21">
      <c r="A276" s="21" t="s">
        <v>33</v>
      </c>
      <c r="B276" s="26">
        <v>2020</v>
      </c>
      <c r="C276" s="21" t="s">
        <v>42</v>
      </c>
      <c r="D276" s="52">
        <f t="shared" si="4"/>
        <v>44075</v>
      </c>
      <c r="E276" s="27">
        <v>151.5</v>
      </c>
      <c r="F276" s="27">
        <v>193.1</v>
      </c>
      <c r="G276" s="27">
        <v>157.30000000000001</v>
      </c>
      <c r="H276" s="27">
        <v>153.9</v>
      </c>
      <c r="I276" s="27">
        <v>134.4</v>
      </c>
      <c r="J276" s="27">
        <v>155.4</v>
      </c>
      <c r="K276" s="27">
        <v>202</v>
      </c>
      <c r="L276" s="27">
        <v>150.80000000000001</v>
      </c>
      <c r="M276" s="27">
        <v>118.9</v>
      </c>
      <c r="N276" s="27">
        <v>160.9</v>
      </c>
      <c r="O276" s="21">
        <v>150.19999999999999</v>
      </c>
      <c r="P276" s="21">
        <v>136.30000000000001</v>
      </c>
      <c r="Q276" s="22">
        <v>156.30000000000001</v>
      </c>
      <c r="R276" s="21">
        <v>145.4</v>
      </c>
      <c r="S276" s="21">
        <v>150</v>
      </c>
      <c r="T276" s="27">
        <v>135.1</v>
      </c>
      <c r="U276" s="27">
        <v>154.9</v>
      </c>
    </row>
    <row r="277" spans="1:21">
      <c r="A277" s="21" t="s">
        <v>34</v>
      </c>
      <c r="B277" s="26">
        <v>2020</v>
      </c>
      <c r="C277" s="21" t="s">
        <v>42</v>
      </c>
      <c r="D277" s="52">
        <f t="shared" si="4"/>
        <v>44075</v>
      </c>
      <c r="E277" s="27">
        <v>148.4</v>
      </c>
      <c r="F277" s="27">
        <v>187.1</v>
      </c>
      <c r="G277" s="27">
        <v>152.5</v>
      </c>
      <c r="H277" s="27">
        <v>153.6</v>
      </c>
      <c r="I277" s="27">
        <v>138.19999999999999</v>
      </c>
      <c r="J277" s="27">
        <v>150.9</v>
      </c>
      <c r="K277" s="27">
        <v>186.7</v>
      </c>
      <c r="L277" s="27">
        <v>149.80000000000001</v>
      </c>
      <c r="M277" s="27">
        <v>116.4</v>
      </c>
      <c r="N277" s="27">
        <v>160.30000000000001</v>
      </c>
      <c r="O277" s="21">
        <v>153.4</v>
      </c>
      <c r="P277" s="21">
        <v>144.30000000000001</v>
      </c>
      <c r="Q277" s="22">
        <v>156.30000000000001</v>
      </c>
      <c r="R277" s="21">
        <v>148.69999999999999</v>
      </c>
      <c r="S277" s="21">
        <v>155.6</v>
      </c>
      <c r="T277" s="27">
        <v>139.6</v>
      </c>
      <c r="U277" s="27">
        <v>157.5</v>
      </c>
    </row>
    <row r="278" spans="1:21">
      <c r="A278" s="21" t="s">
        <v>30</v>
      </c>
      <c r="B278" s="26">
        <v>2020</v>
      </c>
      <c r="C278" s="21" t="s">
        <v>43</v>
      </c>
      <c r="D278" s="52">
        <f t="shared" si="4"/>
        <v>44105</v>
      </c>
      <c r="E278" s="27">
        <v>146</v>
      </c>
      <c r="F278" s="27">
        <v>186.3</v>
      </c>
      <c r="G278" s="27">
        <v>159.19999999999999</v>
      </c>
      <c r="H278" s="27">
        <v>153.6</v>
      </c>
      <c r="I278" s="27">
        <v>142.6</v>
      </c>
      <c r="J278" s="27">
        <v>147.19999999999999</v>
      </c>
      <c r="K278" s="27">
        <v>200.6</v>
      </c>
      <c r="L278" s="27">
        <v>150.30000000000001</v>
      </c>
      <c r="M278" s="27">
        <v>115.3</v>
      </c>
      <c r="N278" s="27">
        <v>160.9</v>
      </c>
      <c r="O278" s="21">
        <v>155.69999999999999</v>
      </c>
      <c r="P278" s="21">
        <v>150.6</v>
      </c>
      <c r="Q278" s="22">
        <v>139.25</v>
      </c>
      <c r="R278" s="21">
        <v>152</v>
      </c>
      <c r="S278" s="21">
        <v>159.5</v>
      </c>
      <c r="T278" s="27">
        <v>146.4</v>
      </c>
      <c r="U278" s="27">
        <v>162.5</v>
      </c>
    </row>
    <row r="279" spans="1:21">
      <c r="A279" s="21" t="s">
        <v>33</v>
      </c>
      <c r="B279" s="26">
        <v>2020</v>
      </c>
      <c r="C279" s="21" t="s">
        <v>43</v>
      </c>
      <c r="D279" s="52">
        <f t="shared" si="4"/>
        <v>44105</v>
      </c>
      <c r="E279" s="27">
        <v>150.6</v>
      </c>
      <c r="F279" s="27">
        <v>193.7</v>
      </c>
      <c r="G279" s="27">
        <v>164.8</v>
      </c>
      <c r="H279" s="27">
        <v>153.69999999999999</v>
      </c>
      <c r="I279" s="27">
        <v>135.69999999999999</v>
      </c>
      <c r="J279" s="27">
        <v>155.69999999999999</v>
      </c>
      <c r="K279" s="27">
        <v>226</v>
      </c>
      <c r="L279" s="27">
        <v>152.19999999999999</v>
      </c>
      <c r="M279" s="27">
        <v>118.1</v>
      </c>
      <c r="N279" s="27">
        <v>161.30000000000001</v>
      </c>
      <c r="O279" s="21">
        <v>150.5</v>
      </c>
      <c r="P279" s="21">
        <v>136.1</v>
      </c>
      <c r="Q279" s="22">
        <v>156.5</v>
      </c>
      <c r="R279" s="21">
        <v>145.1</v>
      </c>
      <c r="S279" s="21">
        <v>151</v>
      </c>
      <c r="T279" s="27">
        <v>135.4</v>
      </c>
      <c r="U279" s="27">
        <v>155.69999999999999</v>
      </c>
    </row>
    <row r="280" spans="1:21">
      <c r="A280" s="21" t="s">
        <v>34</v>
      </c>
      <c r="B280" s="26">
        <v>2020</v>
      </c>
      <c r="C280" s="21" t="s">
        <v>43</v>
      </c>
      <c r="D280" s="52">
        <f t="shared" si="4"/>
        <v>44105</v>
      </c>
      <c r="E280" s="27">
        <v>147.5</v>
      </c>
      <c r="F280" s="27">
        <v>188.9</v>
      </c>
      <c r="G280" s="27">
        <v>161.4</v>
      </c>
      <c r="H280" s="27">
        <v>153.6</v>
      </c>
      <c r="I280" s="27">
        <v>140.1</v>
      </c>
      <c r="J280" s="27">
        <v>151.19999999999999</v>
      </c>
      <c r="K280" s="27">
        <v>209.2</v>
      </c>
      <c r="L280" s="27">
        <v>150.9</v>
      </c>
      <c r="M280" s="27">
        <v>116.2</v>
      </c>
      <c r="N280" s="27">
        <v>161</v>
      </c>
      <c r="O280" s="21">
        <v>153.69999999999999</v>
      </c>
      <c r="P280" s="21">
        <v>144.6</v>
      </c>
      <c r="Q280" s="22">
        <v>156.5</v>
      </c>
      <c r="R280" s="21">
        <v>148.69999999999999</v>
      </c>
      <c r="S280" s="21">
        <v>156.30000000000001</v>
      </c>
      <c r="T280" s="27">
        <v>140.6</v>
      </c>
      <c r="U280" s="27">
        <v>158.5</v>
      </c>
    </row>
    <row r="281" spans="1:21">
      <c r="A281" s="21" t="s">
        <v>30</v>
      </c>
      <c r="B281" s="26">
        <v>2020</v>
      </c>
      <c r="C281" s="21" t="s">
        <v>45</v>
      </c>
      <c r="D281" s="52">
        <f t="shared" si="4"/>
        <v>44136</v>
      </c>
      <c r="E281" s="27">
        <v>145.4</v>
      </c>
      <c r="F281" s="27">
        <v>188.6</v>
      </c>
      <c r="G281" s="27">
        <v>171.6</v>
      </c>
      <c r="H281" s="27">
        <v>153.80000000000001</v>
      </c>
      <c r="I281" s="27">
        <v>145.4</v>
      </c>
      <c r="J281" s="27">
        <v>146.5</v>
      </c>
      <c r="K281" s="27">
        <v>222.2</v>
      </c>
      <c r="L281" s="27">
        <v>155.9</v>
      </c>
      <c r="M281" s="27">
        <v>114.9</v>
      </c>
      <c r="N281" s="27">
        <v>162</v>
      </c>
      <c r="O281" s="21">
        <v>156.30000000000001</v>
      </c>
      <c r="P281" s="21">
        <v>151</v>
      </c>
      <c r="Q281" s="22">
        <v>139.25</v>
      </c>
      <c r="R281" s="21">
        <v>152.80000000000001</v>
      </c>
      <c r="S281" s="21">
        <v>160.4</v>
      </c>
      <c r="T281" s="27">
        <v>146.1</v>
      </c>
      <c r="U281" s="27">
        <v>161.6</v>
      </c>
    </row>
    <row r="282" spans="1:21">
      <c r="A282" s="21" t="s">
        <v>33</v>
      </c>
      <c r="B282" s="26">
        <v>2020</v>
      </c>
      <c r="C282" s="21" t="s">
        <v>45</v>
      </c>
      <c r="D282" s="52">
        <f t="shared" si="4"/>
        <v>44136</v>
      </c>
      <c r="E282" s="27">
        <v>149.69999999999999</v>
      </c>
      <c r="F282" s="27">
        <v>195.5</v>
      </c>
      <c r="G282" s="27">
        <v>176.9</v>
      </c>
      <c r="H282" s="27">
        <v>153.9</v>
      </c>
      <c r="I282" s="27">
        <v>138</v>
      </c>
      <c r="J282" s="27">
        <v>150.5</v>
      </c>
      <c r="K282" s="27">
        <v>245.3</v>
      </c>
      <c r="L282" s="27">
        <v>158.69999999999999</v>
      </c>
      <c r="M282" s="27">
        <v>117.2</v>
      </c>
      <c r="N282" s="27">
        <v>161.4</v>
      </c>
      <c r="O282" s="21">
        <v>151.1</v>
      </c>
      <c r="P282" s="21">
        <v>136.4</v>
      </c>
      <c r="Q282" s="22">
        <v>158</v>
      </c>
      <c r="R282" s="21">
        <v>145.1</v>
      </c>
      <c r="S282" s="21">
        <v>152</v>
      </c>
      <c r="T282" s="27">
        <v>135.19999999999999</v>
      </c>
      <c r="U282" s="27">
        <v>156.4</v>
      </c>
    </row>
    <row r="283" spans="1:21">
      <c r="A283" s="21" t="s">
        <v>34</v>
      </c>
      <c r="B283" s="26">
        <v>2020</v>
      </c>
      <c r="C283" s="21" t="s">
        <v>45</v>
      </c>
      <c r="D283" s="52">
        <f t="shared" si="4"/>
        <v>44136</v>
      </c>
      <c r="E283" s="27">
        <v>146.80000000000001</v>
      </c>
      <c r="F283" s="27">
        <v>191</v>
      </c>
      <c r="G283" s="27">
        <v>173.6</v>
      </c>
      <c r="H283" s="27">
        <v>153.80000000000001</v>
      </c>
      <c r="I283" s="27">
        <v>142.69999999999999</v>
      </c>
      <c r="J283" s="27">
        <v>148.4</v>
      </c>
      <c r="K283" s="27">
        <v>230</v>
      </c>
      <c r="L283" s="27">
        <v>156.80000000000001</v>
      </c>
      <c r="M283" s="27">
        <v>115.7</v>
      </c>
      <c r="N283" s="27">
        <v>161.80000000000001</v>
      </c>
      <c r="O283" s="21">
        <v>154.30000000000001</v>
      </c>
      <c r="P283" s="21">
        <v>144.9</v>
      </c>
      <c r="Q283" s="22">
        <v>158</v>
      </c>
      <c r="R283" s="21">
        <v>149.19999999999999</v>
      </c>
      <c r="S283" s="21">
        <v>157.19999999999999</v>
      </c>
      <c r="T283" s="27">
        <v>140.4</v>
      </c>
      <c r="U283" s="27">
        <v>158.6</v>
      </c>
    </row>
    <row r="284" spans="1:21">
      <c r="A284" s="21" t="s">
        <v>30</v>
      </c>
      <c r="B284" s="26">
        <v>2020</v>
      </c>
      <c r="C284" s="21" t="s">
        <v>46</v>
      </c>
      <c r="D284" s="52">
        <f t="shared" si="4"/>
        <v>44166</v>
      </c>
      <c r="E284" s="27">
        <v>144.6</v>
      </c>
      <c r="F284" s="27">
        <v>188.5</v>
      </c>
      <c r="G284" s="27">
        <v>173.4</v>
      </c>
      <c r="H284" s="27">
        <v>154</v>
      </c>
      <c r="I284" s="27">
        <v>150</v>
      </c>
      <c r="J284" s="27">
        <v>145.9</v>
      </c>
      <c r="K284" s="27">
        <v>225.2</v>
      </c>
      <c r="L284" s="27">
        <v>159.5</v>
      </c>
      <c r="M284" s="27">
        <v>114.4</v>
      </c>
      <c r="N284" s="27">
        <v>163.5</v>
      </c>
      <c r="O284" s="21">
        <v>157</v>
      </c>
      <c r="P284" s="21">
        <v>151.6</v>
      </c>
      <c r="Q284" s="22">
        <v>139.25</v>
      </c>
      <c r="R284" s="21">
        <v>153.4</v>
      </c>
      <c r="S284" s="21">
        <v>161.6</v>
      </c>
      <c r="T284" s="27">
        <v>146.4</v>
      </c>
      <c r="U284" s="27">
        <v>162.9</v>
      </c>
    </row>
    <row r="285" spans="1:21">
      <c r="A285" s="21" t="s">
        <v>33</v>
      </c>
      <c r="B285" s="26">
        <v>2020</v>
      </c>
      <c r="C285" s="21" t="s">
        <v>46</v>
      </c>
      <c r="D285" s="52">
        <f t="shared" si="4"/>
        <v>44166</v>
      </c>
      <c r="E285" s="27">
        <v>149</v>
      </c>
      <c r="F285" s="27">
        <v>195.7</v>
      </c>
      <c r="G285" s="27">
        <v>178.3</v>
      </c>
      <c r="H285" s="27">
        <v>154.19999999999999</v>
      </c>
      <c r="I285" s="27">
        <v>140.69999999999999</v>
      </c>
      <c r="J285" s="27">
        <v>149.69999999999999</v>
      </c>
      <c r="K285" s="27">
        <v>240.9</v>
      </c>
      <c r="L285" s="27">
        <v>161.5</v>
      </c>
      <c r="M285" s="27">
        <v>117.1</v>
      </c>
      <c r="N285" s="27">
        <v>161.9</v>
      </c>
      <c r="O285" s="21">
        <v>151.9</v>
      </c>
      <c r="P285" s="21">
        <v>136.69999999999999</v>
      </c>
      <c r="Q285" s="22">
        <v>158.4</v>
      </c>
      <c r="R285" s="21">
        <v>145.5</v>
      </c>
      <c r="S285" s="21">
        <v>152.9</v>
      </c>
      <c r="T285" s="27">
        <v>135.5</v>
      </c>
      <c r="U285" s="27">
        <v>156.9</v>
      </c>
    </row>
    <row r="286" spans="1:21">
      <c r="A286" s="21" t="s">
        <v>34</v>
      </c>
      <c r="B286" s="26">
        <v>2020</v>
      </c>
      <c r="C286" s="21" t="s">
        <v>46</v>
      </c>
      <c r="D286" s="52">
        <f t="shared" si="4"/>
        <v>44166</v>
      </c>
      <c r="E286" s="27">
        <v>146</v>
      </c>
      <c r="F286" s="27">
        <v>191</v>
      </c>
      <c r="G286" s="27">
        <v>175.3</v>
      </c>
      <c r="H286" s="27">
        <v>154.1</v>
      </c>
      <c r="I286" s="27">
        <v>146.6</v>
      </c>
      <c r="J286" s="27">
        <v>147.69999999999999</v>
      </c>
      <c r="K286" s="27">
        <v>230.5</v>
      </c>
      <c r="L286" s="27">
        <v>160.19999999999999</v>
      </c>
      <c r="M286" s="27">
        <v>115.3</v>
      </c>
      <c r="N286" s="27">
        <v>163</v>
      </c>
      <c r="O286" s="21">
        <v>155</v>
      </c>
      <c r="P286" s="21">
        <v>145.4</v>
      </c>
      <c r="Q286" s="22">
        <v>158.4</v>
      </c>
      <c r="R286" s="21">
        <v>149.69999999999999</v>
      </c>
      <c r="S286" s="21">
        <v>158.30000000000001</v>
      </c>
      <c r="T286" s="27">
        <v>140.69999999999999</v>
      </c>
      <c r="U286" s="27">
        <v>159.4</v>
      </c>
    </row>
    <row r="287" spans="1:21">
      <c r="A287" s="21" t="s">
        <v>30</v>
      </c>
      <c r="B287" s="26">
        <v>2021</v>
      </c>
      <c r="C287" s="21" t="s">
        <v>31</v>
      </c>
      <c r="D287" s="52">
        <f t="shared" si="4"/>
        <v>44197</v>
      </c>
      <c r="E287" s="27">
        <v>143.4</v>
      </c>
      <c r="F287" s="27">
        <v>187.5</v>
      </c>
      <c r="G287" s="27">
        <v>173.4</v>
      </c>
      <c r="H287" s="27">
        <v>154</v>
      </c>
      <c r="I287" s="27">
        <v>154.80000000000001</v>
      </c>
      <c r="J287" s="27">
        <v>147</v>
      </c>
      <c r="K287" s="27">
        <v>187.8</v>
      </c>
      <c r="L287" s="27">
        <v>159.5</v>
      </c>
      <c r="M287" s="27">
        <v>113.8</v>
      </c>
      <c r="N287" s="27">
        <v>164.5</v>
      </c>
      <c r="O287" s="21">
        <v>157.5</v>
      </c>
      <c r="P287" s="21">
        <v>152.4</v>
      </c>
      <c r="Q287" s="22">
        <v>139.25</v>
      </c>
      <c r="R287" s="21">
        <v>153.9</v>
      </c>
      <c r="S287" s="21">
        <v>162.5</v>
      </c>
      <c r="T287" s="27">
        <v>147.5</v>
      </c>
      <c r="U287" s="27">
        <v>163.5</v>
      </c>
    </row>
    <row r="288" spans="1:21">
      <c r="A288" s="21" t="s">
        <v>33</v>
      </c>
      <c r="B288" s="26">
        <v>2021</v>
      </c>
      <c r="C288" s="21" t="s">
        <v>31</v>
      </c>
      <c r="D288" s="52">
        <f t="shared" si="4"/>
        <v>44197</v>
      </c>
      <c r="E288" s="27">
        <v>148</v>
      </c>
      <c r="F288" s="27">
        <v>194.8</v>
      </c>
      <c r="G288" s="27">
        <v>178.4</v>
      </c>
      <c r="H288" s="27">
        <v>154.4</v>
      </c>
      <c r="I288" s="27">
        <v>144.1</v>
      </c>
      <c r="J288" s="27">
        <v>152.6</v>
      </c>
      <c r="K288" s="27">
        <v>206.8</v>
      </c>
      <c r="L288" s="27">
        <v>162.1</v>
      </c>
      <c r="M288" s="27">
        <v>116.3</v>
      </c>
      <c r="N288" s="27">
        <v>163</v>
      </c>
      <c r="O288" s="21">
        <v>152.5</v>
      </c>
      <c r="P288" s="21">
        <v>137.30000000000001</v>
      </c>
      <c r="Q288" s="22">
        <v>157.69999999999999</v>
      </c>
      <c r="R288" s="21">
        <v>145.69999999999999</v>
      </c>
      <c r="S288" s="21">
        <v>154.1</v>
      </c>
      <c r="T288" s="27">
        <v>136.9</v>
      </c>
      <c r="U288" s="27">
        <v>156.1</v>
      </c>
    </row>
    <row r="289" spans="1:21">
      <c r="A289" s="21" t="s">
        <v>34</v>
      </c>
      <c r="B289" s="26">
        <v>2021</v>
      </c>
      <c r="C289" s="21" t="s">
        <v>31</v>
      </c>
      <c r="D289" s="52">
        <f t="shared" si="4"/>
        <v>44197</v>
      </c>
      <c r="E289" s="27">
        <v>144.9</v>
      </c>
      <c r="F289" s="27">
        <v>190.1</v>
      </c>
      <c r="G289" s="27">
        <v>175.3</v>
      </c>
      <c r="H289" s="27">
        <v>154.1</v>
      </c>
      <c r="I289" s="27">
        <v>150.9</v>
      </c>
      <c r="J289" s="27">
        <v>149.6</v>
      </c>
      <c r="K289" s="27">
        <v>194.2</v>
      </c>
      <c r="L289" s="27">
        <v>160.4</v>
      </c>
      <c r="M289" s="27">
        <v>114.6</v>
      </c>
      <c r="N289" s="27">
        <v>164</v>
      </c>
      <c r="O289" s="21">
        <v>155.5</v>
      </c>
      <c r="P289" s="21">
        <v>146.1</v>
      </c>
      <c r="Q289" s="22">
        <v>157.69999999999999</v>
      </c>
      <c r="R289" s="21">
        <v>150</v>
      </c>
      <c r="S289" s="21">
        <v>159.30000000000001</v>
      </c>
      <c r="T289" s="27">
        <v>141.9</v>
      </c>
      <c r="U289" s="27">
        <v>159.19999999999999</v>
      </c>
    </row>
    <row r="290" spans="1:21">
      <c r="A290" s="21" t="s">
        <v>30</v>
      </c>
      <c r="B290" s="26">
        <v>2021</v>
      </c>
      <c r="C290" s="21" t="s">
        <v>35</v>
      </c>
      <c r="D290" s="52">
        <f t="shared" si="4"/>
        <v>44228</v>
      </c>
      <c r="E290" s="27">
        <v>142.80000000000001</v>
      </c>
      <c r="F290" s="27">
        <v>184</v>
      </c>
      <c r="G290" s="27">
        <v>168</v>
      </c>
      <c r="H290" s="27">
        <v>154.4</v>
      </c>
      <c r="I290" s="27">
        <v>163</v>
      </c>
      <c r="J290" s="27">
        <v>147.80000000000001</v>
      </c>
      <c r="K290" s="27">
        <v>149.69999999999999</v>
      </c>
      <c r="L290" s="27">
        <v>158.30000000000001</v>
      </c>
      <c r="M290" s="27">
        <v>111.8</v>
      </c>
      <c r="N290" s="27">
        <v>165</v>
      </c>
      <c r="O290" s="21">
        <v>159.1</v>
      </c>
      <c r="P290" s="21">
        <v>153.9</v>
      </c>
      <c r="Q290" s="22">
        <v>139.25</v>
      </c>
      <c r="R290" s="21">
        <v>154.80000000000001</v>
      </c>
      <c r="S290" s="21">
        <v>164.3</v>
      </c>
      <c r="T290" s="27">
        <v>150.19999999999999</v>
      </c>
      <c r="U290" s="27">
        <v>163.6</v>
      </c>
    </row>
    <row r="291" spans="1:21">
      <c r="A291" s="21" t="s">
        <v>33</v>
      </c>
      <c r="B291" s="26">
        <v>2021</v>
      </c>
      <c r="C291" s="21" t="s">
        <v>35</v>
      </c>
      <c r="D291" s="52">
        <f t="shared" si="4"/>
        <v>44228</v>
      </c>
      <c r="E291" s="27">
        <v>147.6</v>
      </c>
      <c r="F291" s="27">
        <v>191.2</v>
      </c>
      <c r="G291" s="27">
        <v>169.9</v>
      </c>
      <c r="H291" s="27">
        <v>155.1</v>
      </c>
      <c r="I291" s="27">
        <v>151.4</v>
      </c>
      <c r="J291" s="27">
        <v>154</v>
      </c>
      <c r="K291" s="27">
        <v>180.2</v>
      </c>
      <c r="L291" s="27">
        <v>159.80000000000001</v>
      </c>
      <c r="M291" s="27">
        <v>114.9</v>
      </c>
      <c r="N291" s="27">
        <v>162.5</v>
      </c>
      <c r="O291" s="21">
        <v>154.19999999999999</v>
      </c>
      <c r="P291" s="21">
        <v>138.19999999999999</v>
      </c>
      <c r="Q291" s="22">
        <v>159.80000000000001</v>
      </c>
      <c r="R291" s="21">
        <v>146.5</v>
      </c>
      <c r="S291" s="21">
        <v>156.30000000000001</v>
      </c>
      <c r="T291" s="27">
        <v>140.5</v>
      </c>
      <c r="U291" s="27">
        <v>156.6</v>
      </c>
    </row>
    <row r="292" spans="1:21">
      <c r="A292" s="21" t="s">
        <v>34</v>
      </c>
      <c r="B292" s="26">
        <v>2021</v>
      </c>
      <c r="C292" s="21" t="s">
        <v>35</v>
      </c>
      <c r="D292" s="52">
        <f t="shared" si="4"/>
        <v>44228</v>
      </c>
      <c r="E292" s="27">
        <v>144.30000000000001</v>
      </c>
      <c r="F292" s="27">
        <v>186.5</v>
      </c>
      <c r="G292" s="27">
        <v>168.7</v>
      </c>
      <c r="H292" s="27">
        <v>154.69999999999999</v>
      </c>
      <c r="I292" s="27">
        <v>158.69999999999999</v>
      </c>
      <c r="J292" s="27">
        <v>150.69999999999999</v>
      </c>
      <c r="K292" s="27">
        <v>160</v>
      </c>
      <c r="L292" s="27">
        <v>158.80000000000001</v>
      </c>
      <c r="M292" s="27">
        <v>112.8</v>
      </c>
      <c r="N292" s="27">
        <v>164.2</v>
      </c>
      <c r="O292" s="21">
        <v>157.19999999999999</v>
      </c>
      <c r="P292" s="21">
        <v>147.4</v>
      </c>
      <c r="Q292" s="22">
        <v>159.80000000000001</v>
      </c>
      <c r="R292" s="21">
        <v>150.9</v>
      </c>
      <c r="S292" s="21">
        <v>161.30000000000001</v>
      </c>
      <c r="T292" s="27">
        <v>145.1</v>
      </c>
      <c r="U292" s="27">
        <v>159.5</v>
      </c>
    </row>
    <row r="293" spans="1:21">
      <c r="A293" s="21" t="s">
        <v>30</v>
      </c>
      <c r="B293" s="26">
        <v>2021</v>
      </c>
      <c r="C293" s="21" t="s">
        <v>36</v>
      </c>
      <c r="D293" s="52">
        <f t="shared" si="4"/>
        <v>44256</v>
      </c>
      <c r="E293" s="27">
        <v>142.5</v>
      </c>
      <c r="F293" s="27">
        <v>189.4</v>
      </c>
      <c r="G293" s="27">
        <v>163.19999999999999</v>
      </c>
      <c r="H293" s="27">
        <v>154.5</v>
      </c>
      <c r="I293" s="27">
        <v>168.2</v>
      </c>
      <c r="J293" s="27">
        <v>150.5</v>
      </c>
      <c r="K293" s="27">
        <v>141</v>
      </c>
      <c r="L293" s="27">
        <v>159.19999999999999</v>
      </c>
      <c r="M293" s="27">
        <v>111.7</v>
      </c>
      <c r="N293" s="27">
        <v>164</v>
      </c>
      <c r="O293" s="21">
        <v>159.6</v>
      </c>
      <c r="P293" s="21">
        <v>154.4</v>
      </c>
      <c r="Q293" s="22">
        <v>139.25</v>
      </c>
      <c r="R293" s="21">
        <v>154.80000000000001</v>
      </c>
      <c r="S293" s="21">
        <v>164.6</v>
      </c>
      <c r="T293" s="27">
        <v>151.30000000000001</v>
      </c>
      <c r="U293" s="27">
        <v>163.80000000000001</v>
      </c>
    </row>
    <row r="294" spans="1:21">
      <c r="A294" s="21" t="s">
        <v>33</v>
      </c>
      <c r="B294" s="26">
        <v>2021</v>
      </c>
      <c r="C294" s="21" t="s">
        <v>36</v>
      </c>
      <c r="D294" s="52">
        <f t="shared" si="4"/>
        <v>44256</v>
      </c>
      <c r="E294" s="27">
        <v>147.5</v>
      </c>
      <c r="F294" s="27">
        <v>197.5</v>
      </c>
      <c r="G294" s="27">
        <v>164.7</v>
      </c>
      <c r="H294" s="27">
        <v>155.6</v>
      </c>
      <c r="I294" s="27">
        <v>156.4</v>
      </c>
      <c r="J294" s="27">
        <v>157.30000000000001</v>
      </c>
      <c r="K294" s="27">
        <v>166.1</v>
      </c>
      <c r="L294" s="27">
        <v>161.1</v>
      </c>
      <c r="M294" s="27">
        <v>114.3</v>
      </c>
      <c r="N294" s="27">
        <v>162.6</v>
      </c>
      <c r="O294" s="21">
        <v>155.1</v>
      </c>
      <c r="P294" s="21">
        <v>138.69999999999999</v>
      </c>
      <c r="Q294" s="22">
        <v>159.9</v>
      </c>
      <c r="R294" s="21">
        <v>147.19999999999999</v>
      </c>
      <c r="S294" s="21">
        <v>156.9</v>
      </c>
      <c r="T294" s="27">
        <v>141.69999999999999</v>
      </c>
      <c r="U294" s="27">
        <v>157.6</v>
      </c>
    </row>
    <row r="295" spans="1:21">
      <c r="A295" s="21" t="s">
        <v>34</v>
      </c>
      <c r="B295" s="26">
        <v>2021</v>
      </c>
      <c r="C295" s="21" t="s">
        <v>36</v>
      </c>
      <c r="D295" s="52">
        <f t="shared" si="4"/>
        <v>44256</v>
      </c>
      <c r="E295" s="27">
        <v>144.1</v>
      </c>
      <c r="F295" s="27">
        <v>192.2</v>
      </c>
      <c r="G295" s="27">
        <v>163.80000000000001</v>
      </c>
      <c r="H295" s="27">
        <v>154.9</v>
      </c>
      <c r="I295" s="27">
        <v>163.9</v>
      </c>
      <c r="J295" s="27">
        <v>153.69999999999999</v>
      </c>
      <c r="K295" s="27">
        <v>149.5</v>
      </c>
      <c r="L295" s="27">
        <v>159.80000000000001</v>
      </c>
      <c r="M295" s="27">
        <v>112.6</v>
      </c>
      <c r="N295" s="27">
        <v>163.5</v>
      </c>
      <c r="O295" s="21">
        <v>157.80000000000001</v>
      </c>
      <c r="P295" s="21">
        <v>147.9</v>
      </c>
      <c r="Q295" s="22">
        <v>159.9</v>
      </c>
      <c r="R295" s="21">
        <v>151.19999999999999</v>
      </c>
      <c r="S295" s="21">
        <v>161.69999999999999</v>
      </c>
      <c r="T295" s="27">
        <v>146.19999999999999</v>
      </c>
      <c r="U295" s="27">
        <v>160.19999999999999</v>
      </c>
    </row>
    <row r="296" spans="1:21">
      <c r="A296" s="21" t="s">
        <v>30</v>
      </c>
      <c r="B296" s="26">
        <v>2021</v>
      </c>
      <c r="C296" s="21" t="s">
        <v>37</v>
      </c>
      <c r="D296" s="52">
        <f t="shared" si="4"/>
        <v>44287</v>
      </c>
      <c r="E296" s="27">
        <v>142.69999999999999</v>
      </c>
      <c r="F296" s="27">
        <v>195.5</v>
      </c>
      <c r="G296" s="27">
        <v>163.4</v>
      </c>
      <c r="H296" s="27">
        <v>155</v>
      </c>
      <c r="I296" s="27">
        <v>175.2</v>
      </c>
      <c r="J296" s="27">
        <v>160.6</v>
      </c>
      <c r="K296" s="27">
        <v>135.1</v>
      </c>
      <c r="L296" s="27">
        <v>161.1</v>
      </c>
      <c r="M296" s="27">
        <v>112.2</v>
      </c>
      <c r="N296" s="27">
        <v>164.4</v>
      </c>
      <c r="O296" s="21">
        <v>160.69999999999999</v>
      </c>
      <c r="P296" s="21">
        <v>155.1</v>
      </c>
      <c r="Q296" s="22">
        <v>139.25</v>
      </c>
      <c r="R296" s="21">
        <v>155.5</v>
      </c>
      <c r="S296" s="21">
        <v>165.3</v>
      </c>
      <c r="T296" s="27">
        <v>151.69999999999999</v>
      </c>
      <c r="U296" s="27">
        <v>164.1</v>
      </c>
    </row>
    <row r="297" spans="1:21">
      <c r="A297" s="21" t="s">
        <v>33</v>
      </c>
      <c r="B297" s="26">
        <v>2021</v>
      </c>
      <c r="C297" s="21" t="s">
        <v>37</v>
      </c>
      <c r="D297" s="52">
        <f t="shared" si="4"/>
        <v>44287</v>
      </c>
      <c r="E297" s="27">
        <v>147.6</v>
      </c>
      <c r="F297" s="27">
        <v>202.5</v>
      </c>
      <c r="G297" s="27">
        <v>166.4</v>
      </c>
      <c r="H297" s="27">
        <v>156</v>
      </c>
      <c r="I297" s="27">
        <v>161.4</v>
      </c>
      <c r="J297" s="27">
        <v>168.8</v>
      </c>
      <c r="K297" s="27">
        <v>161.6</v>
      </c>
      <c r="L297" s="27">
        <v>162.80000000000001</v>
      </c>
      <c r="M297" s="27">
        <v>114.8</v>
      </c>
      <c r="N297" s="27">
        <v>162.80000000000001</v>
      </c>
      <c r="O297" s="21">
        <v>155.9</v>
      </c>
      <c r="P297" s="21">
        <v>139.30000000000001</v>
      </c>
      <c r="Q297" s="22">
        <v>161.4</v>
      </c>
      <c r="R297" s="21">
        <v>147.6</v>
      </c>
      <c r="S297" s="21">
        <v>157.5</v>
      </c>
      <c r="T297" s="27">
        <v>142.1</v>
      </c>
      <c r="U297" s="27">
        <v>157.6</v>
      </c>
    </row>
    <row r="298" spans="1:21">
      <c r="A298" s="21" t="s">
        <v>34</v>
      </c>
      <c r="B298" s="26">
        <v>2021</v>
      </c>
      <c r="C298" s="21" t="s">
        <v>37</v>
      </c>
      <c r="D298" s="52">
        <f t="shared" si="4"/>
        <v>44287</v>
      </c>
      <c r="E298" s="27">
        <v>144.30000000000001</v>
      </c>
      <c r="F298" s="27">
        <v>198</v>
      </c>
      <c r="G298" s="27">
        <v>164.6</v>
      </c>
      <c r="H298" s="27">
        <v>155.4</v>
      </c>
      <c r="I298" s="27">
        <v>170.1</v>
      </c>
      <c r="J298" s="27">
        <v>164.4</v>
      </c>
      <c r="K298" s="27">
        <v>144.1</v>
      </c>
      <c r="L298" s="27">
        <v>161.69999999999999</v>
      </c>
      <c r="M298" s="27">
        <v>113.1</v>
      </c>
      <c r="N298" s="27">
        <v>163.9</v>
      </c>
      <c r="O298" s="21">
        <v>158.80000000000001</v>
      </c>
      <c r="P298" s="21">
        <v>148.5</v>
      </c>
      <c r="Q298" s="22">
        <v>161.4</v>
      </c>
      <c r="R298" s="21">
        <v>151.80000000000001</v>
      </c>
      <c r="S298" s="21">
        <v>162.30000000000001</v>
      </c>
      <c r="T298" s="27">
        <v>146.6</v>
      </c>
      <c r="U298" s="27">
        <v>160.30000000000001</v>
      </c>
    </row>
    <row r="299" spans="1:21">
      <c r="A299" s="21" t="s">
        <v>30</v>
      </c>
      <c r="B299" s="26">
        <v>2021</v>
      </c>
      <c r="C299" s="21" t="s">
        <v>38</v>
      </c>
      <c r="D299" s="52">
        <f t="shared" si="4"/>
        <v>44317</v>
      </c>
      <c r="E299" s="27">
        <v>145.1</v>
      </c>
      <c r="F299" s="27">
        <v>198.5</v>
      </c>
      <c r="G299" s="27">
        <v>168.6</v>
      </c>
      <c r="H299" s="27">
        <v>155.80000000000001</v>
      </c>
      <c r="I299" s="27">
        <v>184.4</v>
      </c>
      <c r="J299" s="27">
        <v>162.30000000000001</v>
      </c>
      <c r="K299" s="27">
        <v>138.4</v>
      </c>
      <c r="L299" s="27">
        <v>165.1</v>
      </c>
      <c r="M299" s="27">
        <v>114.3</v>
      </c>
      <c r="N299" s="27">
        <v>169.7</v>
      </c>
      <c r="O299" s="21">
        <v>165.3</v>
      </c>
      <c r="P299" s="21">
        <v>160.6</v>
      </c>
      <c r="Q299" s="22">
        <v>139.25</v>
      </c>
      <c r="R299" s="21">
        <v>158.80000000000001</v>
      </c>
      <c r="S299" s="21">
        <v>169.1</v>
      </c>
      <c r="T299" s="27">
        <v>153.19999999999999</v>
      </c>
      <c r="U299" s="27">
        <v>167.6</v>
      </c>
    </row>
    <row r="300" spans="1:21">
      <c r="A300" s="21" t="s">
        <v>33</v>
      </c>
      <c r="B300" s="26">
        <v>2021</v>
      </c>
      <c r="C300" s="21" t="s">
        <v>38</v>
      </c>
      <c r="D300" s="52">
        <f t="shared" si="4"/>
        <v>44317</v>
      </c>
      <c r="E300" s="27">
        <v>148.80000000000001</v>
      </c>
      <c r="F300" s="27">
        <v>204.3</v>
      </c>
      <c r="G300" s="27">
        <v>173</v>
      </c>
      <c r="H300" s="27">
        <v>156.5</v>
      </c>
      <c r="I300" s="27">
        <v>168.8</v>
      </c>
      <c r="J300" s="27">
        <v>172.5</v>
      </c>
      <c r="K300" s="27">
        <v>166.5</v>
      </c>
      <c r="L300" s="27">
        <v>165.9</v>
      </c>
      <c r="M300" s="27">
        <v>115.9</v>
      </c>
      <c r="N300" s="27">
        <v>165.2</v>
      </c>
      <c r="O300" s="21">
        <v>156.5</v>
      </c>
      <c r="P300" s="21">
        <v>140.19999999999999</v>
      </c>
      <c r="Q300" s="22">
        <v>161.6</v>
      </c>
      <c r="R300" s="21">
        <v>150.1</v>
      </c>
      <c r="S300" s="21">
        <v>160.4</v>
      </c>
      <c r="T300" s="27">
        <v>145</v>
      </c>
      <c r="U300" s="27">
        <v>156.6</v>
      </c>
    </row>
    <row r="301" spans="1:21">
      <c r="A301" s="21" t="s">
        <v>34</v>
      </c>
      <c r="B301" s="26">
        <v>2021</v>
      </c>
      <c r="C301" s="21" t="s">
        <v>38</v>
      </c>
      <c r="D301" s="52">
        <f t="shared" si="4"/>
        <v>44317</v>
      </c>
      <c r="E301" s="27">
        <v>146.30000000000001</v>
      </c>
      <c r="F301" s="27">
        <v>200.5</v>
      </c>
      <c r="G301" s="27">
        <v>170.3</v>
      </c>
      <c r="H301" s="27">
        <v>156.1</v>
      </c>
      <c r="I301" s="27">
        <v>178.7</v>
      </c>
      <c r="J301" s="27">
        <v>167.1</v>
      </c>
      <c r="K301" s="27">
        <v>147.9</v>
      </c>
      <c r="L301" s="27">
        <v>165.4</v>
      </c>
      <c r="M301" s="27">
        <v>114.8</v>
      </c>
      <c r="N301" s="27">
        <v>168.2</v>
      </c>
      <c r="O301" s="21">
        <v>161.80000000000001</v>
      </c>
      <c r="P301" s="21">
        <v>152.1</v>
      </c>
      <c r="Q301" s="22">
        <v>161.6</v>
      </c>
      <c r="R301" s="21">
        <v>154.69999999999999</v>
      </c>
      <c r="S301" s="21">
        <v>165.8</v>
      </c>
      <c r="T301" s="27">
        <v>148.9</v>
      </c>
      <c r="U301" s="27">
        <v>161.19999999999999</v>
      </c>
    </row>
    <row r="302" spans="1:21">
      <c r="A302" s="21" t="s">
        <v>30</v>
      </c>
      <c r="B302" s="26">
        <v>2021</v>
      </c>
      <c r="C302" s="21" t="s">
        <v>39</v>
      </c>
      <c r="D302" s="52">
        <f t="shared" si="4"/>
        <v>44348</v>
      </c>
      <c r="E302" s="27">
        <v>145.6</v>
      </c>
      <c r="F302" s="27">
        <v>200.1</v>
      </c>
      <c r="G302" s="27">
        <v>179.3</v>
      </c>
      <c r="H302" s="27">
        <v>156.1</v>
      </c>
      <c r="I302" s="27">
        <v>190.4</v>
      </c>
      <c r="J302" s="27">
        <v>158.6</v>
      </c>
      <c r="K302" s="27">
        <v>144.69999999999999</v>
      </c>
      <c r="L302" s="27">
        <v>165.5</v>
      </c>
      <c r="M302" s="27">
        <v>114.6</v>
      </c>
      <c r="N302" s="27">
        <v>170</v>
      </c>
      <c r="O302" s="21">
        <v>165.3</v>
      </c>
      <c r="P302" s="21">
        <v>159.9</v>
      </c>
      <c r="Q302" s="22">
        <v>139.25</v>
      </c>
      <c r="R302" s="21">
        <v>159.19999999999999</v>
      </c>
      <c r="S302" s="21">
        <v>169.7</v>
      </c>
      <c r="T302" s="27">
        <v>154.19999999999999</v>
      </c>
      <c r="U302" s="27">
        <v>166.8</v>
      </c>
    </row>
    <row r="303" spans="1:21">
      <c r="A303" s="21" t="s">
        <v>33</v>
      </c>
      <c r="B303" s="26">
        <v>2021</v>
      </c>
      <c r="C303" s="21" t="s">
        <v>39</v>
      </c>
      <c r="D303" s="52">
        <f t="shared" si="4"/>
        <v>44348</v>
      </c>
      <c r="E303" s="27">
        <v>149.19999999999999</v>
      </c>
      <c r="F303" s="27">
        <v>205.5</v>
      </c>
      <c r="G303" s="27">
        <v>182.8</v>
      </c>
      <c r="H303" s="27">
        <v>156.5</v>
      </c>
      <c r="I303" s="27">
        <v>172.2</v>
      </c>
      <c r="J303" s="27">
        <v>171.5</v>
      </c>
      <c r="K303" s="27">
        <v>176.2</v>
      </c>
      <c r="L303" s="27">
        <v>166.9</v>
      </c>
      <c r="M303" s="27">
        <v>116.1</v>
      </c>
      <c r="N303" s="27">
        <v>165.5</v>
      </c>
      <c r="O303" s="21">
        <v>157.30000000000001</v>
      </c>
      <c r="P303" s="21">
        <v>140.5</v>
      </c>
      <c r="Q303" s="22">
        <v>160.5</v>
      </c>
      <c r="R303" s="21">
        <v>149.80000000000001</v>
      </c>
      <c r="S303" s="21">
        <v>160.80000000000001</v>
      </c>
      <c r="T303" s="27">
        <v>147.5</v>
      </c>
      <c r="U303" s="27">
        <v>158.1</v>
      </c>
    </row>
    <row r="304" spans="1:21">
      <c r="A304" s="21" t="s">
        <v>34</v>
      </c>
      <c r="B304" s="26">
        <v>2021</v>
      </c>
      <c r="C304" s="21" t="s">
        <v>39</v>
      </c>
      <c r="D304" s="52">
        <f t="shared" si="4"/>
        <v>44348</v>
      </c>
      <c r="E304" s="27">
        <v>146.69999999999999</v>
      </c>
      <c r="F304" s="27">
        <v>202</v>
      </c>
      <c r="G304" s="27">
        <v>180.7</v>
      </c>
      <c r="H304" s="27">
        <v>156.19999999999999</v>
      </c>
      <c r="I304" s="27">
        <v>183.7</v>
      </c>
      <c r="J304" s="27">
        <v>164.6</v>
      </c>
      <c r="K304" s="27">
        <v>155.4</v>
      </c>
      <c r="L304" s="27">
        <v>166</v>
      </c>
      <c r="M304" s="27">
        <v>115.1</v>
      </c>
      <c r="N304" s="27">
        <v>168.5</v>
      </c>
      <c r="O304" s="21">
        <v>162.19999999999999</v>
      </c>
      <c r="P304" s="21">
        <v>151.80000000000001</v>
      </c>
      <c r="Q304" s="22">
        <v>160.5</v>
      </c>
      <c r="R304" s="21">
        <v>154.80000000000001</v>
      </c>
      <c r="S304" s="21">
        <v>166.3</v>
      </c>
      <c r="T304" s="27">
        <v>150.69999999999999</v>
      </c>
      <c r="U304" s="27">
        <v>161.69999999999999</v>
      </c>
    </row>
    <row r="305" spans="1:21">
      <c r="A305" s="21" t="s">
        <v>30</v>
      </c>
      <c r="B305" s="26">
        <v>2021</v>
      </c>
      <c r="C305" s="21" t="s">
        <v>40</v>
      </c>
      <c r="D305" s="52">
        <f t="shared" si="4"/>
        <v>44378</v>
      </c>
      <c r="E305" s="27">
        <v>145.1</v>
      </c>
      <c r="F305" s="27">
        <v>204.5</v>
      </c>
      <c r="G305" s="27">
        <v>180.4</v>
      </c>
      <c r="H305" s="27">
        <v>157.1</v>
      </c>
      <c r="I305" s="27">
        <v>188.7</v>
      </c>
      <c r="J305" s="27">
        <v>157.69999999999999</v>
      </c>
      <c r="K305" s="27">
        <v>152.80000000000001</v>
      </c>
      <c r="L305" s="27">
        <v>163.6</v>
      </c>
      <c r="M305" s="27">
        <v>113.9</v>
      </c>
      <c r="N305" s="27">
        <v>169.7</v>
      </c>
      <c r="O305" s="21">
        <v>166</v>
      </c>
      <c r="P305" s="21">
        <v>161.1</v>
      </c>
      <c r="Q305" s="22">
        <v>139.25</v>
      </c>
      <c r="R305" s="21">
        <v>160.30000000000001</v>
      </c>
      <c r="S305" s="21">
        <v>170.4</v>
      </c>
      <c r="T305" s="27">
        <v>157.1</v>
      </c>
      <c r="U305" s="27">
        <v>167.2</v>
      </c>
    </row>
    <row r="306" spans="1:21">
      <c r="A306" s="21" t="s">
        <v>33</v>
      </c>
      <c r="B306" s="26">
        <v>2021</v>
      </c>
      <c r="C306" s="21" t="s">
        <v>40</v>
      </c>
      <c r="D306" s="52">
        <f t="shared" si="4"/>
        <v>44378</v>
      </c>
      <c r="E306" s="27">
        <v>149.1</v>
      </c>
      <c r="F306" s="27">
        <v>210.9</v>
      </c>
      <c r="G306" s="27">
        <v>185</v>
      </c>
      <c r="H306" s="27">
        <v>158.19999999999999</v>
      </c>
      <c r="I306" s="27">
        <v>170.6</v>
      </c>
      <c r="J306" s="27">
        <v>170.9</v>
      </c>
      <c r="K306" s="27">
        <v>186.4</v>
      </c>
      <c r="L306" s="27">
        <v>164.7</v>
      </c>
      <c r="M306" s="27">
        <v>115.7</v>
      </c>
      <c r="N306" s="27">
        <v>165.5</v>
      </c>
      <c r="O306" s="21">
        <v>157.9</v>
      </c>
      <c r="P306" s="21">
        <v>141.9</v>
      </c>
      <c r="Q306" s="22">
        <v>161.5</v>
      </c>
      <c r="R306" s="21">
        <v>150.69999999999999</v>
      </c>
      <c r="S306" s="21">
        <v>161.5</v>
      </c>
      <c r="T306" s="27">
        <v>149.5</v>
      </c>
      <c r="U306" s="27">
        <v>160.30000000000001</v>
      </c>
    </row>
    <row r="307" spans="1:21">
      <c r="A307" s="21" t="s">
        <v>34</v>
      </c>
      <c r="B307" s="26">
        <v>2021</v>
      </c>
      <c r="C307" s="21" t="s">
        <v>40</v>
      </c>
      <c r="D307" s="52">
        <f t="shared" si="4"/>
        <v>44378</v>
      </c>
      <c r="E307" s="27">
        <v>146.4</v>
      </c>
      <c r="F307" s="27">
        <v>206.8</v>
      </c>
      <c r="G307" s="27">
        <v>182.2</v>
      </c>
      <c r="H307" s="27">
        <v>157.5</v>
      </c>
      <c r="I307" s="27">
        <v>182.1</v>
      </c>
      <c r="J307" s="27">
        <v>163.9</v>
      </c>
      <c r="K307" s="27">
        <v>164.2</v>
      </c>
      <c r="L307" s="27">
        <v>164</v>
      </c>
      <c r="M307" s="27">
        <v>114.5</v>
      </c>
      <c r="N307" s="27">
        <v>168.3</v>
      </c>
      <c r="O307" s="21">
        <v>162.80000000000001</v>
      </c>
      <c r="P307" s="21">
        <v>153.1</v>
      </c>
      <c r="Q307" s="22">
        <v>161.5</v>
      </c>
      <c r="R307" s="21">
        <v>155.80000000000001</v>
      </c>
      <c r="S307" s="21">
        <v>167</v>
      </c>
      <c r="T307" s="27">
        <v>153.1</v>
      </c>
      <c r="U307" s="27">
        <v>163.19999999999999</v>
      </c>
    </row>
    <row r="308" spans="1:21">
      <c r="A308" s="21" t="s">
        <v>30</v>
      </c>
      <c r="B308" s="26">
        <v>2021</v>
      </c>
      <c r="C308" s="21" t="s">
        <v>41</v>
      </c>
      <c r="D308" s="52">
        <f t="shared" si="4"/>
        <v>44409</v>
      </c>
      <c r="E308" s="27">
        <v>144.9</v>
      </c>
      <c r="F308" s="27">
        <v>202.3</v>
      </c>
      <c r="G308" s="27">
        <v>176.5</v>
      </c>
      <c r="H308" s="27">
        <v>157.5</v>
      </c>
      <c r="I308" s="27">
        <v>190.9</v>
      </c>
      <c r="J308" s="27">
        <v>155.69999999999999</v>
      </c>
      <c r="K308" s="27">
        <v>153.9</v>
      </c>
      <c r="L308" s="27">
        <v>162.80000000000001</v>
      </c>
      <c r="M308" s="27">
        <v>115.2</v>
      </c>
      <c r="N308" s="27">
        <v>169.8</v>
      </c>
      <c r="O308" s="21">
        <v>167</v>
      </c>
      <c r="P308" s="21">
        <v>162.6</v>
      </c>
      <c r="Q308" s="22">
        <v>139.25</v>
      </c>
      <c r="R308" s="21">
        <v>160.9</v>
      </c>
      <c r="S308" s="21">
        <v>171.1</v>
      </c>
      <c r="T308" s="27">
        <v>157.69999999999999</v>
      </c>
      <c r="U308" s="27">
        <v>167.5</v>
      </c>
    </row>
    <row r="309" spans="1:21">
      <c r="A309" s="21" t="s">
        <v>33</v>
      </c>
      <c r="B309" s="26">
        <v>2021</v>
      </c>
      <c r="C309" s="21" t="s">
        <v>41</v>
      </c>
      <c r="D309" s="52">
        <f t="shared" si="4"/>
        <v>44409</v>
      </c>
      <c r="E309" s="27">
        <v>149.30000000000001</v>
      </c>
      <c r="F309" s="27">
        <v>207.4</v>
      </c>
      <c r="G309" s="27">
        <v>174.1</v>
      </c>
      <c r="H309" s="27">
        <v>159.19999999999999</v>
      </c>
      <c r="I309" s="27">
        <v>175</v>
      </c>
      <c r="J309" s="27">
        <v>161.30000000000001</v>
      </c>
      <c r="K309" s="27">
        <v>183.3</v>
      </c>
      <c r="L309" s="27">
        <v>164.5</v>
      </c>
      <c r="M309" s="27">
        <v>120.4</v>
      </c>
      <c r="N309" s="27">
        <v>166.2</v>
      </c>
      <c r="O309" s="21">
        <v>159.80000000000001</v>
      </c>
      <c r="P309" s="21">
        <v>143.6</v>
      </c>
      <c r="Q309" s="22">
        <v>162.1</v>
      </c>
      <c r="R309" s="21">
        <v>153.19999999999999</v>
      </c>
      <c r="S309" s="21">
        <v>162.80000000000001</v>
      </c>
      <c r="T309" s="27">
        <v>150.4</v>
      </c>
      <c r="U309" s="27">
        <v>160.4</v>
      </c>
    </row>
    <row r="310" spans="1:21">
      <c r="A310" s="21" t="s">
        <v>34</v>
      </c>
      <c r="B310" s="26">
        <v>2021</v>
      </c>
      <c r="C310" s="21" t="s">
        <v>41</v>
      </c>
      <c r="D310" s="52">
        <f t="shared" si="4"/>
        <v>44409</v>
      </c>
      <c r="E310" s="27">
        <v>146.6</v>
      </c>
      <c r="F310" s="27">
        <v>204</v>
      </c>
      <c r="G310" s="27">
        <v>172.8</v>
      </c>
      <c r="H310" s="27">
        <v>158.4</v>
      </c>
      <c r="I310" s="27">
        <v>188</v>
      </c>
      <c r="J310" s="27">
        <v>156.80000000000001</v>
      </c>
      <c r="K310" s="27">
        <v>162.19999999999999</v>
      </c>
      <c r="L310" s="27">
        <v>164.1</v>
      </c>
      <c r="M310" s="27">
        <v>119.7</v>
      </c>
      <c r="N310" s="27">
        <v>168.8</v>
      </c>
      <c r="O310" s="21">
        <v>164.5</v>
      </c>
      <c r="P310" s="21">
        <v>155.30000000000001</v>
      </c>
      <c r="Q310" s="22">
        <v>162.1</v>
      </c>
      <c r="R310" s="21">
        <v>157.5</v>
      </c>
      <c r="S310" s="21">
        <v>168.4</v>
      </c>
      <c r="T310" s="27">
        <v>154</v>
      </c>
      <c r="U310" s="27">
        <v>163.80000000000001</v>
      </c>
    </row>
    <row r="311" spans="1:21">
      <c r="A311" s="21" t="s">
        <v>30</v>
      </c>
      <c r="B311" s="26">
        <v>2021</v>
      </c>
      <c r="C311" s="21" t="s">
        <v>42</v>
      </c>
      <c r="D311" s="52">
        <f t="shared" si="4"/>
        <v>44440</v>
      </c>
      <c r="E311" s="27">
        <v>145.4</v>
      </c>
      <c r="F311" s="27">
        <v>202.1</v>
      </c>
      <c r="G311" s="27">
        <v>172</v>
      </c>
      <c r="H311" s="27">
        <v>158</v>
      </c>
      <c r="I311" s="27">
        <v>195.5</v>
      </c>
      <c r="J311" s="27">
        <v>152.69999999999999</v>
      </c>
      <c r="K311" s="27">
        <v>151.4</v>
      </c>
      <c r="L311" s="27">
        <v>163.9</v>
      </c>
      <c r="M311" s="27">
        <v>119.3</v>
      </c>
      <c r="N311" s="27">
        <v>170.1</v>
      </c>
      <c r="O311" s="21">
        <v>167.7</v>
      </c>
      <c r="P311" s="21">
        <v>163.6</v>
      </c>
      <c r="Q311" s="22">
        <v>139.25</v>
      </c>
      <c r="R311" s="21">
        <v>161.30000000000001</v>
      </c>
      <c r="S311" s="21">
        <v>171.9</v>
      </c>
      <c r="T311" s="27">
        <v>157.80000000000001</v>
      </c>
      <c r="U311" s="27">
        <v>168.5</v>
      </c>
    </row>
    <row r="312" spans="1:21">
      <c r="A312" s="21" t="s">
        <v>33</v>
      </c>
      <c r="B312" s="26">
        <v>2021</v>
      </c>
      <c r="C312" s="21" t="s">
        <v>42</v>
      </c>
      <c r="D312" s="52">
        <f t="shared" si="4"/>
        <v>44440</v>
      </c>
      <c r="E312" s="27">
        <v>149.30000000000001</v>
      </c>
      <c r="F312" s="27">
        <v>207.4</v>
      </c>
      <c r="G312" s="27">
        <v>174.1</v>
      </c>
      <c r="H312" s="27">
        <v>159.1</v>
      </c>
      <c r="I312" s="27">
        <v>175</v>
      </c>
      <c r="J312" s="27">
        <v>161.19999999999999</v>
      </c>
      <c r="K312" s="27">
        <v>183.5</v>
      </c>
      <c r="L312" s="27">
        <v>164.5</v>
      </c>
      <c r="M312" s="27">
        <v>120.4</v>
      </c>
      <c r="N312" s="27">
        <v>166.2</v>
      </c>
      <c r="O312" s="21">
        <v>159.80000000000001</v>
      </c>
      <c r="P312" s="21">
        <v>143.6</v>
      </c>
      <c r="Q312" s="22">
        <v>162.1</v>
      </c>
      <c r="R312" s="21">
        <v>153.30000000000001</v>
      </c>
      <c r="S312" s="21">
        <v>162.80000000000001</v>
      </c>
      <c r="T312" s="27">
        <v>150.5</v>
      </c>
      <c r="U312" s="27">
        <v>160.30000000000001</v>
      </c>
    </row>
    <row r="313" spans="1:21">
      <c r="A313" s="21" t="s">
        <v>34</v>
      </c>
      <c r="B313" s="26">
        <v>2021</v>
      </c>
      <c r="C313" s="21" t="s">
        <v>42</v>
      </c>
      <c r="D313" s="52">
        <f t="shared" si="4"/>
        <v>44440</v>
      </c>
      <c r="E313" s="27">
        <v>146.6</v>
      </c>
      <c r="F313" s="27">
        <v>204</v>
      </c>
      <c r="G313" s="27">
        <v>172.8</v>
      </c>
      <c r="H313" s="27">
        <v>158.4</v>
      </c>
      <c r="I313" s="27">
        <v>188</v>
      </c>
      <c r="J313" s="27">
        <v>156.69999999999999</v>
      </c>
      <c r="K313" s="27">
        <v>162.30000000000001</v>
      </c>
      <c r="L313" s="27">
        <v>164.1</v>
      </c>
      <c r="M313" s="27">
        <v>119.7</v>
      </c>
      <c r="N313" s="27">
        <v>168.8</v>
      </c>
      <c r="O313" s="21">
        <v>164.6</v>
      </c>
      <c r="P313" s="21">
        <v>155.30000000000001</v>
      </c>
      <c r="Q313" s="22">
        <v>162.1</v>
      </c>
      <c r="R313" s="21">
        <v>157.5</v>
      </c>
      <c r="S313" s="21">
        <v>168.4</v>
      </c>
      <c r="T313" s="27">
        <v>154</v>
      </c>
      <c r="U313" s="27">
        <v>163.69999999999999</v>
      </c>
    </row>
    <row r="314" spans="1:21">
      <c r="A314" s="21" t="s">
        <v>30</v>
      </c>
      <c r="B314" s="26">
        <v>2021</v>
      </c>
      <c r="C314" s="21" t="s">
        <v>43</v>
      </c>
      <c r="D314" s="52">
        <f t="shared" si="4"/>
        <v>44470</v>
      </c>
      <c r="E314" s="27">
        <v>146.1</v>
      </c>
      <c r="F314" s="27">
        <v>202.5</v>
      </c>
      <c r="G314" s="27">
        <v>170.1</v>
      </c>
      <c r="H314" s="27">
        <v>158.4</v>
      </c>
      <c r="I314" s="27">
        <v>198.8</v>
      </c>
      <c r="J314" s="27">
        <v>152.6</v>
      </c>
      <c r="K314" s="27">
        <v>170.4</v>
      </c>
      <c r="L314" s="27">
        <v>165.2</v>
      </c>
      <c r="M314" s="27">
        <v>121.6</v>
      </c>
      <c r="N314" s="27">
        <v>170.6</v>
      </c>
      <c r="O314" s="21">
        <v>168.9</v>
      </c>
      <c r="P314" s="21">
        <v>164.8</v>
      </c>
      <c r="Q314" s="22">
        <v>139.25</v>
      </c>
      <c r="R314" s="21">
        <v>162</v>
      </c>
      <c r="S314" s="21">
        <v>172.5</v>
      </c>
      <c r="T314" s="27">
        <v>159.5</v>
      </c>
      <c r="U314" s="27">
        <v>169</v>
      </c>
    </row>
    <row r="315" spans="1:21">
      <c r="A315" s="21" t="s">
        <v>33</v>
      </c>
      <c r="B315" s="26">
        <v>2021</v>
      </c>
      <c r="C315" s="21" t="s">
        <v>43</v>
      </c>
      <c r="D315" s="52">
        <f t="shared" si="4"/>
        <v>44470</v>
      </c>
      <c r="E315" s="27">
        <v>150.1</v>
      </c>
      <c r="F315" s="27">
        <v>208.4</v>
      </c>
      <c r="G315" s="27">
        <v>173</v>
      </c>
      <c r="H315" s="27">
        <v>159.19999999999999</v>
      </c>
      <c r="I315" s="27">
        <v>176.6</v>
      </c>
      <c r="J315" s="27">
        <v>159.30000000000001</v>
      </c>
      <c r="K315" s="27">
        <v>214.4</v>
      </c>
      <c r="L315" s="27">
        <v>165.3</v>
      </c>
      <c r="M315" s="27">
        <v>122.5</v>
      </c>
      <c r="N315" s="27">
        <v>166.8</v>
      </c>
      <c r="O315" s="21">
        <v>160.80000000000001</v>
      </c>
      <c r="P315" s="21">
        <v>144.4</v>
      </c>
      <c r="Q315" s="22">
        <v>163.6</v>
      </c>
      <c r="R315" s="21">
        <v>154.30000000000001</v>
      </c>
      <c r="S315" s="21">
        <v>163.5</v>
      </c>
      <c r="T315" s="27">
        <v>152.19999999999999</v>
      </c>
      <c r="U315" s="27">
        <v>160.30000000000001</v>
      </c>
    </row>
    <row r="316" spans="1:21">
      <c r="A316" s="21" t="s">
        <v>34</v>
      </c>
      <c r="B316" s="26">
        <v>2021</v>
      </c>
      <c r="C316" s="21" t="s">
        <v>43</v>
      </c>
      <c r="D316" s="52">
        <f t="shared" si="4"/>
        <v>44470</v>
      </c>
      <c r="E316" s="27">
        <v>147.4</v>
      </c>
      <c r="F316" s="27">
        <v>204.6</v>
      </c>
      <c r="G316" s="27">
        <v>171.2</v>
      </c>
      <c r="H316" s="27">
        <v>158.69999999999999</v>
      </c>
      <c r="I316" s="27">
        <v>190.6</v>
      </c>
      <c r="J316" s="27">
        <v>155.69999999999999</v>
      </c>
      <c r="K316" s="27">
        <v>185.3</v>
      </c>
      <c r="L316" s="27">
        <v>165.2</v>
      </c>
      <c r="M316" s="27">
        <v>121.9</v>
      </c>
      <c r="N316" s="27">
        <v>169.3</v>
      </c>
      <c r="O316" s="21">
        <v>165.7</v>
      </c>
      <c r="P316" s="21">
        <v>156.30000000000001</v>
      </c>
      <c r="Q316" s="22">
        <v>163.6</v>
      </c>
      <c r="R316" s="21">
        <v>158.4</v>
      </c>
      <c r="S316" s="21">
        <v>169.1</v>
      </c>
      <c r="T316" s="27">
        <v>155.69999999999999</v>
      </c>
      <c r="U316" s="27">
        <v>163.9</v>
      </c>
    </row>
    <row r="317" spans="1:21">
      <c r="A317" s="21" t="s">
        <v>30</v>
      </c>
      <c r="B317" s="26">
        <v>2021</v>
      </c>
      <c r="C317" s="21" t="s">
        <v>45</v>
      </c>
      <c r="D317" s="52">
        <f t="shared" si="4"/>
        <v>44501</v>
      </c>
      <c r="E317" s="27">
        <v>146.9</v>
      </c>
      <c r="F317" s="27">
        <v>199.8</v>
      </c>
      <c r="G317" s="27">
        <v>171.5</v>
      </c>
      <c r="H317" s="27">
        <v>159.1</v>
      </c>
      <c r="I317" s="27">
        <v>198.4</v>
      </c>
      <c r="J317" s="27">
        <v>153.19999999999999</v>
      </c>
      <c r="K317" s="27">
        <v>183.9</v>
      </c>
      <c r="L317" s="27">
        <v>165.4</v>
      </c>
      <c r="M317" s="27">
        <v>122.1</v>
      </c>
      <c r="N317" s="27">
        <v>170.8</v>
      </c>
      <c r="O317" s="21">
        <v>170.4</v>
      </c>
      <c r="P317" s="21">
        <v>166</v>
      </c>
      <c r="Q317" s="22">
        <v>139.25</v>
      </c>
      <c r="R317" s="21">
        <v>162.9</v>
      </c>
      <c r="S317" s="21">
        <v>173.4</v>
      </c>
      <c r="T317" s="27">
        <v>158.9</v>
      </c>
      <c r="U317" s="27">
        <v>169.3</v>
      </c>
    </row>
    <row r="318" spans="1:21">
      <c r="A318" s="21" t="s">
        <v>33</v>
      </c>
      <c r="B318" s="26">
        <v>2021</v>
      </c>
      <c r="C318" s="21" t="s">
        <v>45</v>
      </c>
      <c r="D318" s="52">
        <f t="shared" si="4"/>
        <v>44501</v>
      </c>
      <c r="E318" s="27">
        <v>151</v>
      </c>
      <c r="F318" s="27">
        <v>204.9</v>
      </c>
      <c r="G318" s="27">
        <v>175.4</v>
      </c>
      <c r="H318" s="27">
        <v>159.6</v>
      </c>
      <c r="I318" s="27">
        <v>175.8</v>
      </c>
      <c r="J318" s="27">
        <v>160.30000000000001</v>
      </c>
      <c r="K318" s="27">
        <v>229.1</v>
      </c>
      <c r="L318" s="27">
        <v>165.1</v>
      </c>
      <c r="M318" s="27">
        <v>123.1</v>
      </c>
      <c r="N318" s="27">
        <v>167.2</v>
      </c>
      <c r="O318" s="21">
        <v>162.30000000000001</v>
      </c>
      <c r="P318" s="21">
        <v>145.30000000000001</v>
      </c>
      <c r="Q318" s="22">
        <v>164.2</v>
      </c>
      <c r="R318" s="21">
        <v>155.19999999999999</v>
      </c>
      <c r="S318" s="21">
        <v>164.2</v>
      </c>
      <c r="T318" s="27">
        <v>151.19999999999999</v>
      </c>
      <c r="U318" s="27">
        <v>160.80000000000001</v>
      </c>
    </row>
    <row r="319" spans="1:21">
      <c r="A319" s="21" t="s">
        <v>34</v>
      </c>
      <c r="B319" s="26">
        <v>2021</v>
      </c>
      <c r="C319" s="21" t="s">
        <v>45</v>
      </c>
      <c r="D319" s="52">
        <f t="shared" si="4"/>
        <v>44501</v>
      </c>
      <c r="E319" s="27">
        <v>148.19999999999999</v>
      </c>
      <c r="F319" s="27">
        <v>201.6</v>
      </c>
      <c r="G319" s="27">
        <v>173</v>
      </c>
      <c r="H319" s="27">
        <v>159.30000000000001</v>
      </c>
      <c r="I319" s="27">
        <v>190.1</v>
      </c>
      <c r="J319" s="27">
        <v>156.5</v>
      </c>
      <c r="K319" s="27">
        <v>199.2</v>
      </c>
      <c r="L319" s="27">
        <v>165.3</v>
      </c>
      <c r="M319" s="27">
        <v>122.4</v>
      </c>
      <c r="N319" s="27">
        <v>169.6</v>
      </c>
      <c r="O319" s="21">
        <v>167.2</v>
      </c>
      <c r="P319" s="21">
        <v>157.4</v>
      </c>
      <c r="Q319" s="22">
        <v>164.2</v>
      </c>
      <c r="R319" s="21">
        <v>159.30000000000001</v>
      </c>
      <c r="S319" s="21">
        <v>169.9</v>
      </c>
      <c r="T319" s="27">
        <v>154.80000000000001</v>
      </c>
      <c r="U319" s="27">
        <v>164.3</v>
      </c>
    </row>
    <row r="320" spans="1:21">
      <c r="A320" s="21" t="s">
        <v>30</v>
      </c>
      <c r="B320" s="26">
        <v>2021</v>
      </c>
      <c r="C320" s="21" t="s">
        <v>46</v>
      </c>
      <c r="D320" s="52">
        <f t="shared" si="4"/>
        <v>44531</v>
      </c>
      <c r="E320" s="27">
        <v>147.4</v>
      </c>
      <c r="F320" s="27">
        <v>197</v>
      </c>
      <c r="G320" s="27">
        <v>176.5</v>
      </c>
      <c r="H320" s="27">
        <v>159.80000000000001</v>
      </c>
      <c r="I320" s="27">
        <v>195.8</v>
      </c>
      <c r="J320" s="27">
        <v>152</v>
      </c>
      <c r="K320" s="27">
        <v>172.3</v>
      </c>
      <c r="L320" s="27">
        <v>164.5</v>
      </c>
      <c r="M320" s="27">
        <v>120.6</v>
      </c>
      <c r="N320" s="27">
        <v>171.7</v>
      </c>
      <c r="O320" s="21">
        <v>171.8</v>
      </c>
      <c r="P320" s="21">
        <v>167.3</v>
      </c>
      <c r="Q320" s="22">
        <v>139.25</v>
      </c>
      <c r="R320" s="21">
        <v>163.9</v>
      </c>
      <c r="S320" s="21">
        <v>174</v>
      </c>
      <c r="T320" s="27">
        <v>160.1</v>
      </c>
      <c r="U320" s="27">
        <v>169.7</v>
      </c>
    </row>
    <row r="321" spans="1:21">
      <c r="A321" s="21" t="s">
        <v>33</v>
      </c>
      <c r="B321" s="26">
        <v>2021</v>
      </c>
      <c r="C321" s="21" t="s">
        <v>46</v>
      </c>
      <c r="D321" s="52">
        <f t="shared" si="4"/>
        <v>44531</v>
      </c>
      <c r="E321" s="27">
        <v>151.6</v>
      </c>
      <c r="F321" s="27">
        <v>202.2</v>
      </c>
      <c r="G321" s="27">
        <v>180</v>
      </c>
      <c r="H321" s="27">
        <v>160</v>
      </c>
      <c r="I321" s="27">
        <v>173.5</v>
      </c>
      <c r="J321" s="27">
        <v>158.30000000000001</v>
      </c>
      <c r="K321" s="27">
        <v>219.5</v>
      </c>
      <c r="L321" s="27">
        <v>164.2</v>
      </c>
      <c r="M321" s="27">
        <v>121.9</v>
      </c>
      <c r="N321" s="27">
        <v>168.2</v>
      </c>
      <c r="O321" s="21">
        <v>163.30000000000001</v>
      </c>
      <c r="P321" s="21">
        <v>146.69999999999999</v>
      </c>
      <c r="Q321" s="22">
        <v>163.4</v>
      </c>
      <c r="R321" s="21">
        <v>156</v>
      </c>
      <c r="S321" s="21">
        <v>165.1</v>
      </c>
      <c r="T321" s="27">
        <v>151.80000000000001</v>
      </c>
      <c r="U321" s="27">
        <v>160.6</v>
      </c>
    </row>
    <row r="322" spans="1:21">
      <c r="A322" s="21" t="s">
        <v>34</v>
      </c>
      <c r="B322" s="26">
        <v>2021</v>
      </c>
      <c r="C322" s="21" t="s">
        <v>46</v>
      </c>
      <c r="D322" s="52">
        <f t="shared" si="4"/>
        <v>44531</v>
      </c>
      <c r="E322" s="27">
        <v>148.69999999999999</v>
      </c>
      <c r="F322" s="27">
        <v>198.8</v>
      </c>
      <c r="G322" s="27">
        <v>177.9</v>
      </c>
      <c r="H322" s="27">
        <v>159.9</v>
      </c>
      <c r="I322" s="27">
        <v>187.6</v>
      </c>
      <c r="J322" s="27">
        <v>154.9</v>
      </c>
      <c r="K322" s="27">
        <v>188.3</v>
      </c>
      <c r="L322" s="27">
        <v>164.4</v>
      </c>
      <c r="M322" s="27">
        <v>121</v>
      </c>
      <c r="N322" s="27">
        <v>170.5</v>
      </c>
      <c r="O322" s="21">
        <v>168.5</v>
      </c>
      <c r="P322" s="21">
        <v>158.69999999999999</v>
      </c>
      <c r="Q322" s="22">
        <v>163.4</v>
      </c>
      <c r="R322" s="21">
        <v>160.19999999999999</v>
      </c>
      <c r="S322" s="21">
        <v>170.6</v>
      </c>
      <c r="T322" s="27">
        <v>155.69999999999999</v>
      </c>
      <c r="U322" s="27">
        <v>164.4</v>
      </c>
    </row>
    <row r="323" spans="1:21">
      <c r="A323" s="21" t="s">
        <v>30</v>
      </c>
      <c r="B323" s="26">
        <v>2022</v>
      </c>
      <c r="C323" s="21" t="s">
        <v>31</v>
      </c>
      <c r="D323" s="79">
        <f t="shared" ref="D323:D373" si="5">DATE(B323,MONTH(1&amp;C323),1)</f>
        <v>44562</v>
      </c>
      <c r="E323" s="27">
        <v>148.30000000000001</v>
      </c>
      <c r="F323" s="27">
        <v>196.9</v>
      </c>
      <c r="G323" s="27">
        <v>178</v>
      </c>
      <c r="H323" s="27">
        <v>160.5</v>
      </c>
      <c r="I323" s="27">
        <v>192.6</v>
      </c>
      <c r="J323" s="27">
        <v>151.19999999999999</v>
      </c>
      <c r="K323" s="27">
        <v>159.19999999999999</v>
      </c>
      <c r="L323" s="27">
        <v>164</v>
      </c>
      <c r="M323" s="27">
        <v>119.3</v>
      </c>
      <c r="N323" s="27">
        <v>173.3</v>
      </c>
      <c r="O323" s="21">
        <v>173.2</v>
      </c>
      <c r="P323" s="21">
        <v>169.3</v>
      </c>
      <c r="Q323" s="22">
        <v>139.25</v>
      </c>
      <c r="R323" s="21">
        <v>164.9</v>
      </c>
      <c r="S323" s="21">
        <v>174.7</v>
      </c>
      <c r="T323" s="27">
        <v>160.80000000000001</v>
      </c>
      <c r="U323" s="27">
        <v>169.9</v>
      </c>
    </row>
    <row r="324" spans="1:21">
      <c r="A324" s="21" t="s">
        <v>33</v>
      </c>
      <c r="B324" s="26">
        <v>2022</v>
      </c>
      <c r="C324" s="21" t="s">
        <v>31</v>
      </c>
      <c r="D324" s="79">
        <f t="shared" si="5"/>
        <v>44562</v>
      </c>
      <c r="E324" s="27">
        <v>152.19999999999999</v>
      </c>
      <c r="F324" s="27">
        <v>202.1</v>
      </c>
      <c r="G324" s="27">
        <v>180.1</v>
      </c>
      <c r="H324" s="27">
        <v>160.4</v>
      </c>
      <c r="I324" s="27">
        <v>171</v>
      </c>
      <c r="J324" s="27">
        <v>156.5</v>
      </c>
      <c r="K324" s="27">
        <v>203.6</v>
      </c>
      <c r="L324" s="27">
        <v>163.80000000000001</v>
      </c>
      <c r="M324" s="27">
        <v>121.3</v>
      </c>
      <c r="N324" s="27">
        <v>169.8</v>
      </c>
      <c r="O324" s="21">
        <v>164.7</v>
      </c>
      <c r="P324" s="21">
        <v>148.5</v>
      </c>
      <c r="Q324" s="22">
        <v>164.5</v>
      </c>
      <c r="R324" s="21">
        <v>156.80000000000001</v>
      </c>
      <c r="S324" s="21">
        <v>166.1</v>
      </c>
      <c r="T324" s="27">
        <v>152.69999999999999</v>
      </c>
      <c r="U324" s="27">
        <v>161</v>
      </c>
    </row>
    <row r="325" spans="1:21">
      <c r="A325" s="21" t="s">
        <v>34</v>
      </c>
      <c r="B325" s="26">
        <v>2022</v>
      </c>
      <c r="C325" s="21" t="s">
        <v>31</v>
      </c>
      <c r="D325" s="79">
        <f t="shared" si="5"/>
        <v>44562</v>
      </c>
      <c r="E325" s="27">
        <v>149.5</v>
      </c>
      <c r="F325" s="27">
        <v>198.7</v>
      </c>
      <c r="G325" s="27">
        <v>178.8</v>
      </c>
      <c r="H325" s="27">
        <v>160.5</v>
      </c>
      <c r="I325" s="27">
        <v>184.7</v>
      </c>
      <c r="J325" s="27">
        <v>153.69999999999999</v>
      </c>
      <c r="K325" s="27">
        <v>174.3</v>
      </c>
      <c r="L325" s="27">
        <v>163.9</v>
      </c>
      <c r="M325" s="27">
        <v>120</v>
      </c>
      <c r="N325" s="27">
        <v>172.1</v>
      </c>
      <c r="O325" s="21">
        <v>169.9</v>
      </c>
      <c r="P325" s="21">
        <v>160.69999999999999</v>
      </c>
      <c r="Q325" s="22">
        <v>164.5</v>
      </c>
      <c r="R325" s="21">
        <v>161.1</v>
      </c>
      <c r="S325" s="21">
        <v>171.4</v>
      </c>
      <c r="T325" s="27">
        <v>156.5</v>
      </c>
      <c r="U325" s="27">
        <v>164.7</v>
      </c>
    </row>
    <row r="326" spans="1:21">
      <c r="A326" s="21" t="s">
        <v>30</v>
      </c>
      <c r="B326" s="26">
        <v>2022</v>
      </c>
      <c r="C326" s="21" t="s">
        <v>35</v>
      </c>
      <c r="D326" s="79">
        <f t="shared" si="5"/>
        <v>44593</v>
      </c>
      <c r="E326" s="27">
        <v>148.80000000000001</v>
      </c>
      <c r="F326" s="27">
        <v>198.1</v>
      </c>
      <c r="G326" s="27">
        <v>175.5</v>
      </c>
      <c r="H326" s="27">
        <v>160.69999999999999</v>
      </c>
      <c r="I326" s="27">
        <v>192.6</v>
      </c>
      <c r="J326" s="27">
        <v>151.4</v>
      </c>
      <c r="K326" s="27">
        <v>155.19999999999999</v>
      </c>
      <c r="L326" s="27">
        <v>163.9</v>
      </c>
      <c r="M326" s="27">
        <v>118.1</v>
      </c>
      <c r="N326" s="27">
        <v>175.4</v>
      </c>
      <c r="O326" s="21">
        <v>174.1</v>
      </c>
      <c r="P326" s="21">
        <v>171</v>
      </c>
      <c r="Q326" s="22">
        <v>139.25</v>
      </c>
      <c r="R326" s="21">
        <v>165.7</v>
      </c>
      <c r="S326" s="21">
        <v>175.3</v>
      </c>
      <c r="T326" s="27">
        <v>161.19999999999999</v>
      </c>
      <c r="U326" s="27">
        <v>170.3</v>
      </c>
    </row>
    <row r="327" spans="1:21">
      <c r="A327" s="21" t="s">
        <v>33</v>
      </c>
      <c r="B327" s="26">
        <v>2022</v>
      </c>
      <c r="C327" s="21" t="s">
        <v>35</v>
      </c>
      <c r="D327" s="79">
        <f t="shared" si="5"/>
        <v>44593</v>
      </c>
      <c r="E327" s="27">
        <v>152.5</v>
      </c>
      <c r="F327" s="27">
        <v>205.2</v>
      </c>
      <c r="G327" s="27">
        <v>176.4</v>
      </c>
      <c r="H327" s="27">
        <v>160.6</v>
      </c>
      <c r="I327" s="27">
        <v>171.5</v>
      </c>
      <c r="J327" s="27">
        <v>156.4</v>
      </c>
      <c r="K327" s="27">
        <v>198</v>
      </c>
      <c r="L327" s="27">
        <v>163.19999999999999</v>
      </c>
      <c r="M327" s="27">
        <v>120.6</v>
      </c>
      <c r="N327" s="27">
        <v>172.2</v>
      </c>
      <c r="O327" s="21">
        <v>165.7</v>
      </c>
      <c r="P327" s="21">
        <v>150.4</v>
      </c>
      <c r="Q327" s="22">
        <v>165.5</v>
      </c>
      <c r="R327" s="21">
        <v>157.4</v>
      </c>
      <c r="S327" s="21">
        <v>167.2</v>
      </c>
      <c r="T327" s="27">
        <v>153.1</v>
      </c>
      <c r="U327" s="27">
        <v>162</v>
      </c>
    </row>
    <row r="328" spans="1:21">
      <c r="A328" s="21" t="s">
        <v>34</v>
      </c>
      <c r="B328" s="26">
        <v>2022</v>
      </c>
      <c r="C328" s="21" t="s">
        <v>35</v>
      </c>
      <c r="D328" s="79">
        <f t="shared" si="5"/>
        <v>44593</v>
      </c>
      <c r="E328" s="27">
        <v>150</v>
      </c>
      <c r="F328" s="27">
        <v>200.6</v>
      </c>
      <c r="G328" s="27">
        <v>175.8</v>
      </c>
      <c r="H328" s="27">
        <v>160.69999999999999</v>
      </c>
      <c r="I328" s="27">
        <v>184.9</v>
      </c>
      <c r="J328" s="27">
        <v>153.69999999999999</v>
      </c>
      <c r="K328" s="27">
        <v>169.7</v>
      </c>
      <c r="L328" s="27">
        <v>163.69999999999999</v>
      </c>
      <c r="M328" s="27">
        <v>118.9</v>
      </c>
      <c r="N328" s="27">
        <v>174.3</v>
      </c>
      <c r="O328" s="21">
        <v>170.8</v>
      </c>
      <c r="P328" s="21">
        <v>162.4</v>
      </c>
      <c r="Q328" s="22">
        <v>165.5</v>
      </c>
      <c r="R328" s="21">
        <v>161.80000000000001</v>
      </c>
      <c r="S328" s="21">
        <v>172.2</v>
      </c>
      <c r="T328" s="27">
        <v>156.9</v>
      </c>
      <c r="U328" s="27">
        <v>165.4</v>
      </c>
    </row>
    <row r="329" spans="1:21">
      <c r="A329" s="21" t="s">
        <v>30</v>
      </c>
      <c r="B329" s="26">
        <v>2022</v>
      </c>
      <c r="C329" s="21" t="s">
        <v>36</v>
      </c>
      <c r="D329" s="79">
        <f t="shared" si="5"/>
        <v>44621</v>
      </c>
      <c r="E329" s="27">
        <v>150.19999999999999</v>
      </c>
      <c r="F329" s="27">
        <v>208</v>
      </c>
      <c r="G329" s="27">
        <v>167.9</v>
      </c>
      <c r="H329" s="27">
        <v>162</v>
      </c>
      <c r="I329" s="27">
        <v>203.1</v>
      </c>
      <c r="J329" s="27">
        <v>155.9</v>
      </c>
      <c r="K329" s="27">
        <v>155.80000000000001</v>
      </c>
      <c r="L329" s="27">
        <v>164.2</v>
      </c>
      <c r="M329" s="27">
        <v>118.1</v>
      </c>
      <c r="N329" s="27">
        <v>178.7</v>
      </c>
      <c r="O329" s="21">
        <v>175.4</v>
      </c>
      <c r="P329" s="21">
        <v>173.2</v>
      </c>
      <c r="Q329" s="22">
        <v>139.25</v>
      </c>
      <c r="R329" s="21">
        <v>166.5</v>
      </c>
      <c r="S329" s="21">
        <v>176</v>
      </c>
      <c r="T329" s="27">
        <v>162</v>
      </c>
      <c r="U329" s="27">
        <v>170.6</v>
      </c>
    </row>
    <row r="330" spans="1:21">
      <c r="A330" s="21" t="s">
        <v>33</v>
      </c>
      <c r="B330" s="26">
        <v>2022</v>
      </c>
      <c r="C330" s="21" t="s">
        <v>36</v>
      </c>
      <c r="D330" s="79">
        <f t="shared" si="5"/>
        <v>44621</v>
      </c>
      <c r="E330" s="27">
        <v>153.69999999999999</v>
      </c>
      <c r="F330" s="27">
        <v>215.8</v>
      </c>
      <c r="G330" s="27">
        <v>167.7</v>
      </c>
      <c r="H330" s="27">
        <v>162.6</v>
      </c>
      <c r="I330" s="27">
        <v>180</v>
      </c>
      <c r="J330" s="27">
        <v>159.6</v>
      </c>
      <c r="K330" s="27">
        <v>188.4</v>
      </c>
      <c r="L330" s="27">
        <v>163.4</v>
      </c>
      <c r="M330" s="27">
        <v>120.3</v>
      </c>
      <c r="N330" s="27">
        <v>174.7</v>
      </c>
      <c r="O330" s="21">
        <v>167.1</v>
      </c>
      <c r="P330" s="21">
        <v>152.6</v>
      </c>
      <c r="Q330" s="22">
        <v>165.3</v>
      </c>
      <c r="R330" s="21">
        <v>158.6</v>
      </c>
      <c r="S330" s="21">
        <v>168.2</v>
      </c>
      <c r="T330" s="27">
        <v>154.19999999999999</v>
      </c>
      <c r="U330" s="27">
        <v>162.69999999999999</v>
      </c>
    </row>
    <row r="331" spans="1:21">
      <c r="A331" s="21" t="s">
        <v>34</v>
      </c>
      <c r="B331" s="26">
        <v>2022</v>
      </c>
      <c r="C331" s="21" t="s">
        <v>36</v>
      </c>
      <c r="D331" s="79">
        <f t="shared" si="5"/>
        <v>44621</v>
      </c>
      <c r="E331" s="27">
        <v>151.30000000000001</v>
      </c>
      <c r="F331" s="27">
        <v>210.7</v>
      </c>
      <c r="G331" s="27">
        <v>167.8</v>
      </c>
      <c r="H331" s="27">
        <v>162.19999999999999</v>
      </c>
      <c r="I331" s="27">
        <v>194.6</v>
      </c>
      <c r="J331" s="27">
        <v>157.6</v>
      </c>
      <c r="K331" s="27">
        <v>166.9</v>
      </c>
      <c r="L331" s="27">
        <v>163.9</v>
      </c>
      <c r="M331" s="27">
        <v>118.8</v>
      </c>
      <c r="N331" s="27">
        <v>177.4</v>
      </c>
      <c r="O331" s="21">
        <v>172.1</v>
      </c>
      <c r="P331" s="21">
        <v>164.6</v>
      </c>
      <c r="Q331" s="22">
        <v>165.3</v>
      </c>
      <c r="R331" s="21">
        <v>162.80000000000001</v>
      </c>
      <c r="S331" s="21">
        <v>173</v>
      </c>
      <c r="T331" s="27">
        <v>157.9</v>
      </c>
      <c r="U331" s="27">
        <v>166</v>
      </c>
    </row>
    <row r="332" spans="1:21">
      <c r="A332" s="21" t="s">
        <v>30</v>
      </c>
      <c r="B332" s="26">
        <v>2022</v>
      </c>
      <c r="C332" s="21" t="s">
        <v>37</v>
      </c>
      <c r="D332" s="79">
        <f t="shared" si="5"/>
        <v>44652</v>
      </c>
      <c r="E332" s="27">
        <v>151.80000000000001</v>
      </c>
      <c r="F332" s="27">
        <v>209.7</v>
      </c>
      <c r="G332" s="27">
        <v>164.5</v>
      </c>
      <c r="H332" s="27">
        <v>163.80000000000001</v>
      </c>
      <c r="I332" s="27">
        <v>207.4</v>
      </c>
      <c r="J332" s="27">
        <v>169.7</v>
      </c>
      <c r="K332" s="27">
        <v>153.6</v>
      </c>
      <c r="L332" s="27">
        <v>165.1</v>
      </c>
      <c r="M332" s="27">
        <v>118.2</v>
      </c>
      <c r="N332" s="27">
        <v>182.9</v>
      </c>
      <c r="O332" s="21">
        <v>177.5</v>
      </c>
      <c r="P332" s="21">
        <v>175.1</v>
      </c>
      <c r="Q332" s="22">
        <v>139.25</v>
      </c>
      <c r="R332" s="21">
        <v>167.7</v>
      </c>
      <c r="S332" s="21">
        <v>177</v>
      </c>
      <c r="T332" s="27">
        <v>166.2</v>
      </c>
      <c r="U332" s="27">
        <v>170.9</v>
      </c>
    </row>
    <row r="333" spans="1:21">
      <c r="A333" s="21" t="s">
        <v>33</v>
      </c>
      <c r="B333" s="26">
        <v>2022</v>
      </c>
      <c r="C333" s="21" t="s">
        <v>37</v>
      </c>
      <c r="D333" s="79">
        <f t="shared" si="5"/>
        <v>44652</v>
      </c>
      <c r="E333" s="27">
        <v>155.4</v>
      </c>
      <c r="F333" s="27">
        <v>215.8</v>
      </c>
      <c r="G333" s="27">
        <v>164.6</v>
      </c>
      <c r="H333" s="27">
        <v>164.2</v>
      </c>
      <c r="I333" s="27">
        <v>186</v>
      </c>
      <c r="J333" s="27">
        <v>175.9</v>
      </c>
      <c r="K333" s="27">
        <v>190.7</v>
      </c>
      <c r="L333" s="27">
        <v>164</v>
      </c>
      <c r="M333" s="27">
        <v>120.5</v>
      </c>
      <c r="N333" s="27">
        <v>178</v>
      </c>
      <c r="O333" s="21">
        <v>168.4</v>
      </c>
      <c r="P333" s="21">
        <v>154.5</v>
      </c>
      <c r="Q333" s="22">
        <v>167</v>
      </c>
      <c r="R333" s="21">
        <v>159.80000000000001</v>
      </c>
      <c r="S333" s="21">
        <v>169</v>
      </c>
      <c r="T333" s="27">
        <v>159.30000000000001</v>
      </c>
      <c r="U333" s="27">
        <v>164</v>
      </c>
    </row>
    <row r="334" spans="1:21">
      <c r="A334" s="21" t="s">
        <v>34</v>
      </c>
      <c r="B334" s="26">
        <v>2022</v>
      </c>
      <c r="C334" s="21" t="s">
        <v>37</v>
      </c>
      <c r="D334" s="79">
        <f t="shared" si="5"/>
        <v>44652</v>
      </c>
      <c r="E334" s="27">
        <v>152.9</v>
      </c>
      <c r="F334" s="27">
        <v>211.8</v>
      </c>
      <c r="G334" s="27">
        <v>164.5</v>
      </c>
      <c r="H334" s="27">
        <v>163.9</v>
      </c>
      <c r="I334" s="27">
        <v>199.5</v>
      </c>
      <c r="J334" s="27">
        <v>172.6</v>
      </c>
      <c r="K334" s="27">
        <v>166.2</v>
      </c>
      <c r="L334" s="27">
        <v>164.7</v>
      </c>
      <c r="M334" s="27">
        <v>119</v>
      </c>
      <c r="N334" s="27">
        <v>181.3</v>
      </c>
      <c r="O334" s="21">
        <v>173.9</v>
      </c>
      <c r="P334" s="21">
        <v>166.5</v>
      </c>
      <c r="Q334" s="22">
        <v>167</v>
      </c>
      <c r="R334" s="21">
        <v>164</v>
      </c>
      <c r="S334" s="21">
        <v>174</v>
      </c>
      <c r="T334" s="27">
        <v>162.6</v>
      </c>
      <c r="U334" s="27">
        <v>166.9</v>
      </c>
    </row>
    <row r="335" spans="1:21">
      <c r="A335" s="21" t="s">
        <v>30</v>
      </c>
      <c r="B335" s="26">
        <v>2022</v>
      </c>
      <c r="C335" s="21" t="s">
        <v>38</v>
      </c>
      <c r="D335" s="79">
        <f t="shared" si="5"/>
        <v>44682</v>
      </c>
      <c r="E335" s="27">
        <v>152.9</v>
      </c>
      <c r="F335" s="27">
        <v>214.7</v>
      </c>
      <c r="G335" s="27">
        <v>161.4</v>
      </c>
      <c r="H335" s="27">
        <v>164.6</v>
      </c>
      <c r="I335" s="27">
        <v>209.9</v>
      </c>
      <c r="J335" s="27">
        <v>168</v>
      </c>
      <c r="K335" s="27">
        <v>160.4</v>
      </c>
      <c r="L335" s="27">
        <v>165</v>
      </c>
      <c r="M335" s="27">
        <v>118.9</v>
      </c>
      <c r="N335" s="27">
        <v>186.6</v>
      </c>
      <c r="O335" s="21">
        <v>179.3</v>
      </c>
      <c r="P335" s="21">
        <v>177.2</v>
      </c>
      <c r="Q335" s="22">
        <v>139.25</v>
      </c>
      <c r="R335" s="21">
        <v>168.9</v>
      </c>
      <c r="S335" s="21">
        <v>177.7</v>
      </c>
      <c r="T335" s="27">
        <v>167.1</v>
      </c>
      <c r="U335" s="27">
        <v>171.8</v>
      </c>
    </row>
    <row r="336" spans="1:21">
      <c r="A336" s="21" t="s">
        <v>33</v>
      </c>
      <c r="B336" s="26">
        <v>2022</v>
      </c>
      <c r="C336" s="21" t="s">
        <v>38</v>
      </c>
      <c r="D336" s="79">
        <f t="shared" si="5"/>
        <v>44682</v>
      </c>
      <c r="E336" s="27">
        <v>156.69999999999999</v>
      </c>
      <c r="F336" s="27">
        <v>221.2</v>
      </c>
      <c r="G336" s="27">
        <v>164.1</v>
      </c>
      <c r="H336" s="27">
        <v>165.4</v>
      </c>
      <c r="I336" s="27">
        <v>189.5</v>
      </c>
      <c r="J336" s="27">
        <v>174.5</v>
      </c>
      <c r="K336" s="27">
        <v>203.2</v>
      </c>
      <c r="L336" s="27">
        <v>164.1</v>
      </c>
      <c r="M336" s="27">
        <v>121.2</v>
      </c>
      <c r="N336" s="27">
        <v>181.4</v>
      </c>
      <c r="O336" s="21">
        <v>170</v>
      </c>
      <c r="P336" s="21">
        <v>155.9</v>
      </c>
      <c r="Q336" s="22">
        <v>167.5</v>
      </c>
      <c r="R336" s="21">
        <v>161.1</v>
      </c>
      <c r="S336" s="21">
        <v>170.1</v>
      </c>
      <c r="T336" s="27">
        <v>159.4</v>
      </c>
      <c r="U336" s="27">
        <v>165.2</v>
      </c>
    </row>
    <row r="337" spans="1:21">
      <c r="A337" s="21" t="s">
        <v>34</v>
      </c>
      <c r="B337" s="26">
        <v>2022</v>
      </c>
      <c r="C337" s="21" t="s">
        <v>38</v>
      </c>
      <c r="D337" s="79">
        <f t="shared" si="5"/>
        <v>44682</v>
      </c>
      <c r="E337" s="27">
        <v>154.1</v>
      </c>
      <c r="F337" s="27">
        <v>217</v>
      </c>
      <c r="G337" s="27">
        <v>162.4</v>
      </c>
      <c r="H337" s="27">
        <v>164.9</v>
      </c>
      <c r="I337" s="27">
        <v>202.4</v>
      </c>
      <c r="J337" s="27">
        <v>171</v>
      </c>
      <c r="K337" s="27">
        <v>174.9</v>
      </c>
      <c r="L337" s="27">
        <v>164.7</v>
      </c>
      <c r="M337" s="27">
        <v>119.7</v>
      </c>
      <c r="N337" s="27">
        <v>184.9</v>
      </c>
      <c r="O337" s="21">
        <v>175.6</v>
      </c>
      <c r="P337" s="21">
        <v>168.4</v>
      </c>
      <c r="Q337" s="22">
        <v>167.5</v>
      </c>
      <c r="R337" s="21">
        <v>165.2</v>
      </c>
      <c r="S337" s="21">
        <v>174.8</v>
      </c>
      <c r="T337" s="27">
        <v>163</v>
      </c>
      <c r="U337" s="27">
        <v>167.9</v>
      </c>
    </row>
    <row r="338" spans="1:21">
      <c r="A338" s="21" t="s">
        <v>30</v>
      </c>
      <c r="B338" s="26">
        <v>2022</v>
      </c>
      <c r="C338" s="21" t="s">
        <v>39</v>
      </c>
      <c r="D338" s="79">
        <f t="shared" si="5"/>
        <v>44713</v>
      </c>
      <c r="E338" s="27">
        <v>153.80000000000001</v>
      </c>
      <c r="F338" s="27">
        <v>217.2</v>
      </c>
      <c r="G338" s="27">
        <v>169.6</v>
      </c>
      <c r="H338" s="27">
        <v>165.4</v>
      </c>
      <c r="I338" s="27">
        <v>208.1</v>
      </c>
      <c r="J338" s="27">
        <v>165.8</v>
      </c>
      <c r="K338" s="27">
        <v>167.3</v>
      </c>
      <c r="L338" s="27">
        <v>164.6</v>
      </c>
      <c r="M338" s="27">
        <v>119.1</v>
      </c>
      <c r="N338" s="27">
        <v>188.9</v>
      </c>
      <c r="O338" s="21">
        <v>180.7</v>
      </c>
      <c r="P338" s="21">
        <v>178.7</v>
      </c>
      <c r="Q338" s="22">
        <v>139.25</v>
      </c>
      <c r="R338" s="21">
        <v>170.3</v>
      </c>
      <c r="S338" s="21">
        <v>178.2</v>
      </c>
      <c r="T338" s="27">
        <v>165.5</v>
      </c>
      <c r="U338" s="27">
        <v>172.6</v>
      </c>
    </row>
    <row r="339" spans="1:21">
      <c r="A339" s="21" t="s">
        <v>33</v>
      </c>
      <c r="B339" s="26">
        <v>2022</v>
      </c>
      <c r="C339" s="21" t="s">
        <v>39</v>
      </c>
      <c r="D339" s="79">
        <f t="shared" si="5"/>
        <v>44713</v>
      </c>
      <c r="E339" s="27">
        <v>157.5</v>
      </c>
      <c r="F339" s="27">
        <v>223.4</v>
      </c>
      <c r="G339" s="27">
        <v>172.8</v>
      </c>
      <c r="H339" s="27">
        <v>166.4</v>
      </c>
      <c r="I339" s="27">
        <v>188.6</v>
      </c>
      <c r="J339" s="27">
        <v>174.1</v>
      </c>
      <c r="K339" s="27">
        <v>211.5</v>
      </c>
      <c r="L339" s="27">
        <v>163.6</v>
      </c>
      <c r="M339" s="27">
        <v>121.4</v>
      </c>
      <c r="N339" s="27">
        <v>183.5</v>
      </c>
      <c r="O339" s="21">
        <v>171.6</v>
      </c>
      <c r="P339" s="21">
        <v>157.4</v>
      </c>
      <c r="Q339" s="22">
        <v>166.8</v>
      </c>
      <c r="R339" s="21">
        <v>162.1</v>
      </c>
      <c r="S339" s="21">
        <v>170.9</v>
      </c>
      <c r="T339" s="27">
        <v>157.19999999999999</v>
      </c>
      <c r="U339" s="27">
        <v>166.5</v>
      </c>
    </row>
    <row r="340" spans="1:21">
      <c r="A340" s="21" t="s">
        <v>34</v>
      </c>
      <c r="B340" s="26">
        <v>2022</v>
      </c>
      <c r="C340" s="21" t="s">
        <v>39</v>
      </c>
      <c r="D340" s="79">
        <f t="shared" si="5"/>
        <v>44713</v>
      </c>
      <c r="E340" s="27">
        <v>155</v>
      </c>
      <c r="F340" s="27">
        <v>219.4</v>
      </c>
      <c r="G340" s="27">
        <v>170.8</v>
      </c>
      <c r="H340" s="27">
        <v>165.8</v>
      </c>
      <c r="I340" s="27">
        <v>200.9</v>
      </c>
      <c r="J340" s="27">
        <v>169.7</v>
      </c>
      <c r="K340" s="27">
        <v>182.3</v>
      </c>
      <c r="L340" s="27">
        <v>164.3</v>
      </c>
      <c r="M340" s="27">
        <v>119.9</v>
      </c>
      <c r="N340" s="27">
        <v>187.1</v>
      </c>
      <c r="O340" s="21">
        <v>177.1</v>
      </c>
      <c r="P340" s="21">
        <v>169.9</v>
      </c>
      <c r="Q340" s="22">
        <v>166.8</v>
      </c>
      <c r="R340" s="21">
        <v>166.4</v>
      </c>
      <c r="S340" s="21">
        <v>175.4</v>
      </c>
      <c r="T340" s="27">
        <v>161.1</v>
      </c>
      <c r="U340" s="27">
        <v>169</v>
      </c>
    </row>
    <row r="341" spans="1:21">
      <c r="A341" s="21" t="s">
        <v>30</v>
      </c>
      <c r="B341" s="26">
        <v>2022</v>
      </c>
      <c r="C341" s="21" t="s">
        <v>40</v>
      </c>
      <c r="D341" s="79">
        <f t="shared" si="5"/>
        <v>44743</v>
      </c>
      <c r="E341" s="27">
        <v>155.19999999999999</v>
      </c>
      <c r="F341" s="27">
        <v>210.8</v>
      </c>
      <c r="G341" s="27">
        <v>174.3</v>
      </c>
      <c r="H341" s="27">
        <v>166.3</v>
      </c>
      <c r="I341" s="27">
        <v>202.2</v>
      </c>
      <c r="J341" s="27">
        <v>169.6</v>
      </c>
      <c r="K341" s="27">
        <v>168.6</v>
      </c>
      <c r="L341" s="27">
        <v>164.4</v>
      </c>
      <c r="M341" s="27">
        <v>119.2</v>
      </c>
      <c r="N341" s="27">
        <v>191.8</v>
      </c>
      <c r="O341" s="21">
        <v>182</v>
      </c>
      <c r="P341" s="21">
        <v>180.3</v>
      </c>
      <c r="Q341" s="22">
        <v>139.25</v>
      </c>
      <c r="R341" s="21">
        <v>171.3</v>
      </c>
      <c r="S341" s="21">
        <v>178.8</v>
      </c>
      <c r="T341" s="27">
        <v>166.3</v>
      </c>
      <c r="U341" s="27">
        <v>174.7</v>
      </c>
    </row>
    <row r="342" spans="1:21">
      <c r="A342" s="21" t="s">
        <v>33</v>
      </c>
      <c r="B342" s="26">
        <v>2022</v>
      </c>
      <c r="C342" s="21" t="s">
        <v>40</v>
      </c>
      <c r="D342" s="79">
        <f t="shared" si="5"/>
        <v>44743</v>
      </c>
      <c r="E342" s="27">
        <v>159.30000000000001</v>
      </c>
      <c r="F342" s="27">
        <v>217.1</v>
      </c>
      <c r="G342" s="27">
        <v>176.6</v>
      </c>
      <c r="H342" s="27">
        <v>167.1</v>
      </c>
      <c r="I342" s="27">
        <v>184.8</v>
      </c>
      <c r="J342" s="27">
        <v>179.5</v>
      </c>
      <c r="K342" s="27">
        <v>208.5</v>
      </c>
      <c r="L342" s="27">
        <v>164</v>
      </c>
      <c r="M342" s="27">
        <v>121.5</v>
      </c>
      <c r="N342" s="27">
        <v>186.3</v>
      </c>
      <c r="O342" s="21">
        <v>172.7</v>
      </c>
      <c r="P342" s="21">
        <v>158.69999999999999</v>
      </c>
      <c r="Q342" s="22">
        <v>167.8</v>
      </c>
      <c r="R342" s="21">
        <v>163.1</v>
      </c>
      <c r="S342" s="21">
        <v>171.7</v>
      </c>
      <c r="T342" s="27">
        <v>157.4</v>
      </c>
      <c r="U342" s="27">
        <v>169.1</v>
      </c>
    </row>
    <row r="343" spans="1:21">
      <c r="A343" s="21" t="s">
        <v>34</v>
      </c>
      <c r="B343" s="26">
        <v>2022</v>
      </c>
      <c r="C343" s="21" t="s">
        <v>40</v>
      </c>
      <c r="D343" s="79">
        <f t="shared" si="5"/>
        <v>44743</v>
      </c>
      <c r="E343" s="27">
        <v>156.5</v>
      </c>
      <c r="F343" s="27">
        <v>213</v>
      </c>
      <c r="G343" s="27">
        <v>175.2</v>
      </c>
      <c r="H343" s="27">
        <v>166.6</v>
      </c>
      <c r="I343" s="27">
        <v>195.8</v>
      </c>
      <c r="J343" s="27">
        <v>174.2</v>
      </c>
      <c r="K343" s="27">
        <v>182.1</v>
      </c>
      <c r="L343" s="27">
        <v>164.3</v>
      </c>
      <c r="M343" s="27">
        <v>120</v>
      </c>
      <c r="N343" s="27">
        <v>190</v>
      </c>
      <c r="O343" s="21">
        <v>178.3</v>
      </c>
      <c r="P343" s="21">
        <v>171.3</v>
      </c>
      <c r="Q343" s="22">
        <v>167.8</v>
      </c>
      <c r="R343" s="21">
        <v>167.4</v>
      </c>
      <c r="S343" s="21">
        <v>176.1</v>
      </c>
      <c r="T343" s="27">
        <v>161.6</v>
      </c>
      <c r="U343" s="27">
        <v>171.4</v>
      </c>
    </row>
    <row r="344" spans="1:21">
      <c r="A344" s="21" t="s">
        <v>30</v>
      </c>
      <c r="B344" s="26">
        <v>2022</v>
      </c>
      <c r="C344" s="21" t="s">
        <v>41</v>
      </c>
      <c r="D344" s="79">
        <f t="shared" si="5"/>
        <v>44774</v>
      </c>
      <c r="E344" s="27">
        <v>159.5</v>
      </c>
      <c r="F344" s="27">
        <v>204.1</v>
      </c>
      <c r="G344" s="27">
        <v>168.3</v>
      </c>
      <c r="H344" s="27">
        <v>167.9</v>
      </c>
      <c r="I344" s="27">
        <v>198.1</v>
      </c>
      <c r="J344" s="27">
        <v>169.2</v>
      </c>
      <c r="K344" s="27">
        <v>173.1</v>
      </c>
      <c r="L344" s="27">
        <v>167.1</v>
      </c>
      <c r="M344" s="27">
        <v>120.2</v>
      </c>
      <c r="N344" s="27">
        <v>195.6</v>
      </c>
      <c r="O344" s="21">
        <v>183.2</v>
      </c>
      <c r="P344" s="21">
        <v>181.7</v>
      </c>
      <c r="Q344" s="22">
        <v>139.25</v>
      </c>
      <c r="R344" s="21">
        <v>172.3</v>
      </c>
      <c r="S344" s="21">
        <v>179.4</v>
      </c>
      <c r="T344" s="27">
        <v>166.6</v>
      </c>
      <c r="U344" s="27">
        <v>175.7</v>
      </c>
    </row>
    <row r="345" spans="1:21">
      <c r="A345" s="21" t="s">
        <v>33</v>
      </c>
      <c r="B345" s="26">
        <v>2022</v>
      </c>
      <c r="C345" s="21" t="s">
        <v>41</v>
      </c>
      <c r="D345" s="79">
        <f t="shared" si="5"/>
        <v>44774</v>
      </c>
      <c r="E345" s="27">
        <v>162.1</v>
      </c>
      <c r="F345" s="27">
        <v>210.9</v>
      </c>
      <c r="G345" s="27">
        <v>170.6</v>
      </c>
      <c r="H345" s="27">
        <v>168.4</v>
      </c>
      <c r="I345" s="27">
        <v>182.5</v>
      </c>
      <c r="J345" s="27">
        <v>177.1</v>
      </c>
      <c r="K345" s="27">
        <v>213.1</v>
      </c>
      <c r="L345" s="27">
        <v>167.3</v>
      </c>
      <c r="M345" s="27">
        <v>122.2</v>
      </c>
      <c r="N345" s="27">
        <v>189.7</v>
      </c>
      <c r="O345" s="21">
        <v>173.7</v>
      </c>
      <c r="P345" s="21">
        <v>160</v>
      </c>
      <c r="Q345" s="22">
        <v>169</v>
      </c>
      <c r="R345" s="21">
        <v>164.2</v>
      </c>
      <c r="S345" s="21">
        <v>172.6</v>
      </c>
      <c r="T345" s="27">
        <v>157.69999999999999</v>
      </c>
      <c r="U345" s="27">
        <v>169.9</v>
      </c>
    </row>
    <row r="346" spans="1:21">
      <c r="A346" s="21" t="s">
        <v>34</v>
      </c>
      <c r="B346" s="26">
        <v>2022</v>
      </c>
      <c r="C346" s="21" t="s">
        <v>41</v>
      </c>
      <c r="D346" s="79">
        <f t="shared" si="5"/>
        <v>44774</v>
      </c>
      <c r="E346" s="27">
        <v>160.30000000000001</v>
      </c>
      <c r="F346" s="27">
        <v>206.5</v>
      </c>
      <c r="G346" s="27">
        <v>169.2</v>
      </c>
      <c r="H346" s="27">
        <v>168.1</v>
      </c>
      <c r="I346" s="27">
        <v>192.4</v>
      </c>
      <c r="J346" s="27">
        <v>172.9</v>
      </c>
      <c r="K346" s="27">
        <v>186.7</v>
      </c>
      <c r="L346" s="27">
        <v>167.2</v>
      </c>
      <c r="M346" s="27">
        <v>120.9</v>
      </c>
      <c r="N346" s="27">
        <v>193.6</v>
      </c>
      <c r="O346" s="21">
        <v>179.5</v>
      </c>
      <c r="P346" s="21">
        <v>172.7</v>
      </c>
      <c r="Q346" s="22">
        <v>169</v>
      </c>
      <c r="R346" s="21">
        <v>168.5</v>
      </c>
      <c r="S346" s="21">
        <v>176.8</v>
      </c>
      <c r="T346" s="27">
        <v>161.9</v>
      </c>
      <c r="U346" s="27">
        <v>172.3</v>
      </c>
    </row>
    <row r="347" spans="1:21">
      <c r="A347" s="21" t="s">
        <v>30</v>
      </c>
      <c r="B347" s="26">
        <v>2022</v>
      </c>
      <c r="C347" s="21" t="s">
        <v>42</v>
      </c>
      <c r="D347" s="79">
        <f t="shared" si="5"/>
        <v>44805</v>
      </c>
      <c r="E347" s="27">
        <v>162.9</v>
      </c>
      <c r="F347" s="27">
        <v>206.7</v>
      </c>
      <c r="G347" s="27">
        <v>169</v>
      </c>
      <c r="H347" s="27">
        <v>169.5</v>
      </c>
      <c r="I347" s="27">
        <v>194.1</v>
      </c>
      <c r="J347" s="27">
        <v>164.1</v>
      </c>
      <c r="K347" s="27">
        <v>176.9</v>
      </c>
      <c r="L347" s="27">
        <v>169</v>
      </c>
      <c r="M347" s="27">
        <v>120.8</v>
      </c>
      <c r="N347" s="27">
        <v>199.1</v>
      </c>
      <c r="O347" s="21">
        <v>184.7</v>
      </c>
      <c r="P347" s="21">
        <v>183.3</v>
      </c>
      <c r="Q347" s="22">
        <v>139.25</v>
      </c>
      <c r="R347" s="21">
        <v>173.6</v>
      </c>
      <c r="S347" s="21">
        <v>180.2</v>
      </c>
      <c r="T347" s="27">
        <v>166.9</v>
      </c>
      <c r="U347" s="27">
        <v>176.2</v>
      </c>
    </row>
    <row r="348" spans="1:21">
      <c r="A348" s="21" t="s">
        <v>33</v>
      </c>
      <c r="B348" s="26">
        <v>2022</v>
      </c>
      <c r="C348" s="21" t="s">
        <v>42</v>
      </c>
      <c r="D348" s="79">
        <f t="shared" si="5"/>
        <v>44805</v>
      </c>
      <c r="E348" s="27">
        <v>164.9</v>
      </c>
      <c r="F348" s="27">
        <v>213.7</v>
      </c>
      <c r="G348" s="27">
        <v>170.9</v>
      </c>
      <c r="H348" s="27">
        <v>170.1</v>
      </c>
      <c r="I348" s="27">
        <v>179.3</v>
      </c>
      <c r="J348" s="27">
        <v>167.5</v>
      </c>
      <c r="K348" s="27">
        <v>220.8</v>
      </c>
      <c r="L348" s="27">
        <v>169.2</v>
      </c>
      <c r="M348" s="27">
        <v>123.1</v>
      </c>
      <c r="N348" s="27">
        <v>193.6</v>
      </c>
      <c r="O348" s="21">
        <v>175</v>
      </c>
      <c r="P348" s="21">
        <v>161.69999999999999</v>
      </c>
      <c r="Q348" s="22">
        <v>169.5</v>
      </c>
      <c r="R348" s="21">
        <v>165</v>
      </c>
      <c r="S348" s="21">
        <v>173.8</v>
      </c>
      <c r="T348" s="27">
        <v>158.19999999999999</v>
      </c>
      <c r="U348" s="27">
        <v>170.9</v>
      </c>
    </row>
    <row r="349" spans="1:21">
      <c r="A349" s="21" t="s">
        <v>34</v>
      </c>
      <c r="B349" s="26">
        <v>2022</v>
      </c>
      <c r="C349" s="21" t="s">
        <v>42</v>
      </c>
      <c r="D349" s="79">
        <f t="shared" si="5"/>
        <v>44805</v>
      </c>
      <c r="E349" s="27">
        <v>163.5</v>
      </c>
      <c r="F349" s="27">
        <v>209.2</v>
      </c>
      <c r="G349" s="27">
        <v>169.7</v>
      </c>
      <c r="H349" s="27">
        <v>169.7</v>
      </c>
      <c r="I349" s="27">
        <v>188.7</v>
      </c>
      <c r="J349" s="27">
        <v>165.7</v>
      </c>
      <c r="K349" s="27">
        <v>191.8</v>
      </c>
      <c r="L349" s="27">
        <v>169.1</v>
      </c>
      <c r="M349" s="27">
        <v>121.6</v>
      </c>
      <c r="N349" s="27">
        <v>197.3</v>
      </c>
      <c r="O349" s="21">
        <v>180.9</v>
      </c>
      <c r="P349" s="21">
        <v>174.3</v>
      </c>
      <c r="Q349" s="22">
        <v>169.5</v>
      </c>
      <c r="R349" s="21">
        <v>169.5</v>
      </c>
      <c r="S349" s="21">
        <v>177.8</v>
      </c>
      <c r="T349" s="27">
        <v>162.30000000000001</v>
      </c>
      <c r="U349" s="27">
        <v>173.1</v>
      </c>
    </row>
    <row r="350" spans="1:21">
      <c r="A350" s="21" t="s">
        <v>30</v>
      </c>
      <c r="B350" s="26">
        <v>2022</v>
      </c>
      <c r="C350" s="21" t="s">
        <v>43</v>
      </c>
      <c r="D350" s="79">
        <f t="shared" si="5"/>
        <v>44835</v>
      </c>
      <c r="E350" s="27">
        <v>164.7</v>
      </c>
      <c r="F350" s="27">
        <v>208.8</v>
      </c>
      <c r="G350" s="27">
        <v>170.3</v>
      </c>
      <c r="H350" s="27">
        <v>170.9</v>
      </c>
      <c r="I350" s="27">
        <v>191.6</v>
      </c>
      <c r="J350" s="27">
        <v>162.19999999999999</v>
      </c>
      <c r="K350" s="27">
        <v>184.8</v>
      </c>
      <c r="L350" s="27">
        <v>169.7</v>
      </c>
      <c r="M350" s="27">
        <v>121.1</v>
      </c>
      <c r="N350" s="27">
        <v>201.6</v>
      </c>
      <c r="O350" s="21">
        <v>186.1</v>
      </c>
      <c r="P350" s="21">
        <v>184.4</v>
      </c>
      <c r="Q350" s="22">
        <v>139.25</v>
      </c>
      <c r="R350" s="21">
        <v>174.4</v>
      </c>
      <c r="S350" s="21">
        <v>181.2</v>
      </c>
      <c r="T350" s="27">
        <v>167.4</v>
      </c>
      <c r="U350" s="27">
        <v>176.5</v>
      </c>
    </row>
    <row r="351" spans="1:21">
      <c r="A351" s="21" t="s">
        <v>33</v>
      </c>
      <c r="B351" s="26">
        <v>2022</v>
      </c>
      <c r="C351" s="21" t="s">
        <v>43</v>
      </c>
      <c r="D351" s="79">
        <f t="shared" si="5"/>
        <v>44835</v>
      </c>
      <c r="E351" s="27">
        <v>166.4</v>
      </c>
      <c r="F351" s="27">
        <v>214.9</v>
      </c>
      <c r="G351" s="27">
        <v>171.9</v>
      </c>
      <c r="H351" s="27">
        <v>171</v>
      </c>
      <c r="I351" s="27">
        <v>177.7</v>
      </c>
      <c r="J351" s="27">
        <v>165.7</v>
      </c>
      <c r="K351" s="27">
        <v>228.6</v>
      </c>
      <c r="L351" s="27">
        <v>169.9</v>
      </c>
      <c r="M351" s="27">
        <v>123.4</v>
      </c>
      <c r="N351" s="27">
        <v>196.4</v>
      </c>
      <c r="O351" s="21">
        <v>175.5</v>
      </c>
      <c r="P351" s="21">
        <v>162.6</v>
      </c>
      <c r="Q351" s="22">
        <v>171.2</v>
      </c>
      <c r="R351" s="21">
        <v>166</v>
      </c>
      <c r="S351" s="21">
        <v>174.7</v>
      </c>
      <c r="T351" s="27">
        <v>158.80000000000001</v>
      </c>
      <c r="U351" s="27">
        <v>171.2</v>
      </c>
    </row>
    <row r="352" spans="1:21">
      <c r="A352" s="21" t="s">
        <v>34</v>
      </c>
      <c r="B352" s="26">
        <v>2022</v>
      </c>
      <c r="C352" s="21" t="s">
        <v>43</v>
      </c>
      <c r="D352" s="79">
        <f t="shared" si="5"/>
        <v>44835</v>
      </c>
      <c r="E352" s="27">
        <v>165.2</v>
      </c>
      <c r="F352" s="27">
        <v>210.9</v>
      </c>
      <c r="G352" s="27">
        <v>170.9</v>
      </c>
      <c r="H352" s="27">
        <v>170.9</v>
      </c>
      <c r="I352" s="27">
        <v>186.5</v>
      </c>
      <c r="J352" s="27">
        <v>163.80000000000001</v>
      </c>
      <c r="K352" s="27">
        <v>199.7</v>
      </c>
      <c r="L352" s="27">
        <v>169.8</v>
      </c>
      <c r="M352" s="27">
        <v>121.9</v>
      </c>
      <c r="N352" s="27">
        <v>199.9</v>
      </c>
      <c r="O352" s="21">
        <v>181.9</v>
      </c>
      <c r="P352" s="21">
        <v>175.3</v>
      </c>
      <c r="Q352" s="22">
        <v>171.2</v>
      </c>
      <c r="R352" s="21">
        <v>170.4</v>
      </c>
      <c r="S352" s="21">
        <v>178.7</v>
      </c>
      <c r="T352" s="27">
        <v>162.9</v>
      </c>
      <c r="U352" s="27">
        <v>173.4</v>
      </c>
    </row>
    <row r="353" spans="1:21">
      <c r="A353" s="21" t="s">
        <v>30</v>
      </c>
      <c r="B353" s="26">
        <v>2022</v>
      </c>
      <c r="C353" s="21" t="s">
        <v>45</v>
      </c>
      <c r="D353" s="79">
        <f t="shared" si="5"/>
        <v>44866</v>
      </c>
      <c r="E353" s="27">
        <v>166.9</v>
      </c>
      <c r="F353" s="27">
        <v>207.2</v>
      </c>
      <c r="G353" s="27">
        <v>180.2</v>
      </c>
      <c r="H353" s="27">
        <v>172.3</v>
      </c>
      <c r="I353" s="27">
        <v>194</v>
      </c>
      <c r="J353" s="27">
        <v>159.1</v>
      </c>
      <c r="K353" s="27">
        <v>171.6</v>
      </c>
      <c r="L353" s="27">
        <v>170.2</v>
      </c>
      <c r="M353" s="27">
        <v>121.5</v>
      </c>
      <c r="N353" s="27">
        <v>204.8</v>
      </c>
      <c r="O353" s="21">
        <v>187.2</v>
      </c>
      <c r="P353" s="21">
        <v>185.2</v>
      </c>
      <c r="Q353" s="22">
        <v>139.25</v>
      </c>
      <c r="R353" s="21">
        <v>175.5</v>
      </c>
      <c r="S353" s="21">
        <v>182.3</v>
      </c>
      <c r="T353" s="27">
        <v>167.5</v>
      </c>
      <c r="U353" s="27">
        <v>176.9</v>
      </c>
    </row>
    <row r="354" spans="1:21">
      <c r="A354" s="21" t="s">
        <v>33</v>
      </c>
      <c r="B354" s="26">
        <v>2022</v>
      </c>
      <c r="C354" s="21" t="s">
        <v>45</v>
      </c>
      <c r="D354" s="79">
        <f t="shared" si="5"/>
        <v>44866</v>
      </c>
      <c r="E354" s="27">
        <v>168.4</v>
      </c>
      <c r="F354" s="27">
        <v>213.4</v>
      </c>
      <c r="G354" s="27">
        <v>183.2</v>
      </c>
      <c r="H354" s="27">
        <v>172.3</v>
      </c>
      <c r="I354" s="27">
        <v>180</v>
      </c>
      <c r="J354" s="27">
        <v>162.6</v>
      </c>
      <c r="K354" s="27">
        <v>205.5</v>
      </c>
      <c r="L354" s="27">
        <v>171</v>
      </c>
      <c r="M354" s="27">
        <v>123.4</v>
      </c>
      <c r="N354" s="27">
        <v>198.8</v>
      </c>
      <c r="O354" s="21">
        <v>176.7</v>
      </c>
      <c r="P354" s="21">
        <v>163.5</v>
      </c>
      <c r="Q354" s="22">
        <v>171.8</v>
      </c>
      <c r="R354" s="21">
        <v>166.9</v>
      </c>
      <c r="S354" s="21">
        <v>175.8</v>
      </c>
      <c r="T354" s="27">
        <v>158.9</v>
      </c>
      <c r="U354" s="27">
        <v>171.5</v>
      </c>
    </row>
    <row r="355" spans="1:21">
      <c r="A355" s="21" t="s">
        <v>34</v>
      </c>
      <c r="B355" s="26">
        <v>2022</v>
      </c>
      <c r="C355" s="21" t="s">
        <v>45</v>
      </c>
      <c r="D355" s="79">
        <f t="shared" si="5"/>
        <v>44866</v>
      </c>
      <c r="E355" s="27">
        <v>167.4</v>
      </c>
      <c r="F355" s="27">
        <v>209.4</v>
      </c>
      <c r="G355" s="27">
        <v>181.4</v>
      </c>
      <c r="H355" s="27">
        <v>172.3</v>
      </c>
      <c r="I355" s="27">
        <v>188.9</v>
      </c>
      <c r="J355" s="27">
        <v>160.69999999999999</v>
      </c>
      <c r="K355" s="27">
        <v>183.1</v>
      </c>
      <c r="L355" s="27">
        <v>170.5</v>
      </c>
      <c r="M355" s="27">
        <v>122.1</v>
      </c>
      <c r="N355" s="27">
        <v>202.8</v>
      </c>
      <c r="O355" s="21">
        <v>183.1</v>
      </c>
      <c r="P355" s="21">
        <v>176.2</v>
      </c>
      <c r="Q355" s="22">
        <v>171.8</v>
      </c>
      <c r="R355" s="21">
        <v>171.4</v>
      </c>
      <c r="S355" s="21">
        <v>179.8</v>
      </c>
      <c r="T355" s="27">
        <v>163</v>
      </c>
      <c r="U355" s="27">
        <v>173.7</v>
      </c>
    </row>
    <row r="356" spans="1:21">
      <c r="A356" s="21" t="s">
        <v>30</v>
      </c>
      <c r="B356" s="26">
        <v>2022</v>
      </c>
      <c r="C356" s="21" t="s">
        <v>46</v>
      </c>
      <c r="D356" s="79">
        <f t="shared" si="5"/>
        <v>44896</v>
      </c>
      <c r="E356" s="27">
        <v>168.8</v>
      </c>
      <c r="F356" s="27">
        <v>206.9</v>
      </c>
      <c r="G356" s="27">
        <v>189.1</v>
      </c>
      <c r="H356" s="27">
        <v>173.4</v>
      </c>
      <c r="I356" s="27">
        <v>193.9</v>
      </c>
      <c r="J356" s="27">
        <v>156.69999999999999</v>
      </c>
      <c r="K356" s="27">
        <v>150.19999999999999</v>
      </c>
      <c r="L356" s="27">
        <v>170.5</v>
      </c>
      <c r="M356" s="27">
        <v>121.2</v>
      </c>
      <c r="N356" s="27">
        <v>207.5</v>
      </c>
      <c r="O356" s="21">
        <v>188.1</v>
      </c>
      <c r="P356" s="21">
        <v>185.9</v>
      </c>
      <c r="Q356" s="22">
        <v>139.25</v>
      </c>
      <c r="R356" s="21">
        <v>176.4</v>
      </c>
      <c r="S356" s="21">
        <v>183.5</v>
      </c>
      <c r="T356" s="27">
        <v>167.8</v>
      </c>
      <c r="U356" s="27">
        <v>177.3</v>
      </c>
    </row>
    <row r="357" spans="1:21">
      <c r="A357" s="21" t="s">
        <v>33</v>
      </c>
      <c r="B357" s="26">
        <v>2022</v>
      </c>
      <c r="C357" s="21" t="s">
        <v>46</v>
      </c>
      <c r="D357" s="79">
        <f t="shared" si="5"/>
        <v>44896</v>
      </c>
      <c r="E357" s="27">
        <v>170.2</v>
      </c>
      <c r="F357" s="27">
        <v>212.9</v>
      </c>
      <c r="G357" s="27">
        <v>191.9</v>
      </c>
      <c r="H357" s="27">
        <v>173.9</v>
      </c>
      <c r="I357" s="27">
        <v>179.1</v>
      </c>
      <c r="J357" s="27">
        <v>159.5</v>
      </c>
      <c r="K357" s="27">
        <v>178.7</v>
      </c>
      <c r="L357" s="27">
        <v>171.3</v>
      </c>
      <c r="M357" s="27">
        <v>123.1</v>
      </c>
      <c r="N357" s="27">
        <v>200.5</v>
      </c>
      <c r="O357" s="21">
        <v>177.7</v>
      </c>
      <c r="P357" s="21">
        <v>164.5</v>
      </c>
      <c r="Q357" s="22">
        <v>170.7</v>
      </c>
      <c r="R357" s="21">
        <v>167.3</v>
      </c>
      <c r="S357" s="21">
        <v>177.2</v>
      </c>
      <c r="T357" s="27">
        <v>159.4</v>
      </c>
      <c r="U357" s="27">
        <v>171.8</v>
      </c>
    </row>
    <row r="358" spans="1:21">
      <c r="A358" s="21" t="s">
        <v>34</v>
      </c>
      <c r="B358" s="26">
        <v>2022</v>
      </c>
      <c r="C358" s="21" t="s">
        <v>46</v>
      </c>
      <c r="D358" s="79">
        <f t="shared" si="5"/>
        <v>44896</v>
      </c>
      <c r="E358" s="27">
        <v>169.2</v>
      </c>
      <c r="F358" s="27">
        <v>209</v>
      </c>
      <c r="G358" s="27">
        <v>190.2</v>
      </c>
      <c r="H358" s="27">
        <v>173.6</v>
      </c>
      <c r="I358" s="27">
        <v>188.5</v>
      </c>
      <c r="J358" s="27">
        <v>158</v>
      </c>
      <c r="K358" s="27">
        <v>159.9</v>
      </c>
      <c r="L358" s="27">
        <v>170.8</v>
      </c>
      <c r="M358" s="27">
        <v>121.8</v>
      </c>
      <c r="N358" s="27">
        <v>205.2</v>
      </c>
      <c r="O358" s="21">
        <v>184</v>
      </c>
      <c r="P358" s="21">
        <v>177</v>
      </c>
      <c r="Q358" s="22">
        <v>170.7</v>
      </c>
      <c r="R358" s="21">
        <v>172.1</v>
      </c>
      <c r="S358" s="21">
        <v>181.1</v>
      </c>
      <c r="T358" s="27">
        <v>163.4</v>
      </c>
      <c r="U358" s="27">
        <v>174.1</v>
      </c>
    </row>
    <row r="359" spans="1:21">
      <c r="A359" s="21" t="s">
        <v>30</v>
      </c>
      <c r="B359" s="26">
        <v>2023</v>
      </c>
      <c r="C359" s="21" t="s">
        <v>31</v>
      </c>
      <c r="D359" s="79">
        <f t="shared" si="5"/>
        <v>44927</v>
      </c>
      <c r="E359" s="27">
        <v>174</v>
      </c>
      <c r="F359" s="27">
        <v>208.3</v>
      </c>
      <c r="G359" s="27">
        <v>192.9</v>
      </c>
      <c r="H359" s="27">
        <v>174.3</v>
      </c>
      <c r="I359" s="27">
        <v>192.6</v>
      </c>
      <c r="J359" s="27">
        <v>156.30000000000001</v>
      </c>
      <c r="K359" s="27">
        <v>142.9</v>
      </c>
      <c r="L359" s="27">
        <v>170.7</v>
      </c>
      <c r="M359" s="27">
        <v>120.3</v>
      </c>
      <c r="N359" s="27">
        <v>210.5</v>
      </c>
      <c r="O359" s="21">
        <v>189</v>
      </c>
      <c r="P359" s="21">
        <v>186.3</v>
      </c>
      <c r="Q359" s="22">
        <v>139.25</v>
      </c>
      <c r="R359" s="21">
        <v>177.2</v>
      </c>
      <c r="S359" s="21">
        <v>184.7</v>
      </c>
      <c r="T359" s="27">
        <v>168.2</v>
      </c>
      <c r="U359" s="27">
        <v>177.8</v>
      </c>
    </row>
    <row r="360" spans="1:21">
      <c r="A360" s="21" t="s">
        <v>33</v>
      </c>
      <c r="B360" s="26">
        <v>2023</v>
      </c>
      <c r="C360" s="21" t="s">
        <v>31</v>
      </c>
      <c r="D360" s="79">
        <f t="shared" si="5"/>
        <v>44927</v>
      </c>
      <c r="E360" s="27">
        <v>173.3</v>
      </c>
      <c r="F360" s="27">
        <v>215.2</v>
      </c>
      <c r="G360" s="27">
        <v>197</v>
      </c>
      <c r="H360" s="27">
        <v>175.2</v>
      </c>
      <c r="I360" s="27">
        <v>178</v>
      </c>
      <c r="J360" s="27">
        <v>160.5</v>
      </c>
      <c r="K360" s="27">
        <v>175.3</v>
      </c>
      <c r="L360" s="27">
        <v>171.2</v>
      </c>
      <c r="M360" s="27">
        <v>122.7</v>
      </c>
      <c r="N360" s="27">
        <v>204.3</v>
      </c>
      <c r="O360" s="21">
        <v>178.7</v>
      </c>
      <c r="P360" s="21">
        <v>165.3</v>
      </c>
      <c r="Q360" s="22">
        <v>172.1</v>
      </c>
      <c r="R360" s="21">
        <v>168</v>
      </c>
      <c r="S360" s="21">
        <v>178.5</v>
      </c>
      <c r="T360" s="27">
        <v>159.5</v>
      </c>
      <c r="U360" s="27">
        <v>171.8</v>
      </c>
    </row>
    <row r="361" spans="1:21">
      <c r="A361" s="21" t="s">
        <v>34</v>
      </c>
      <c r="B361" s="26">
        <v>2023</v>
      </c>
      <c r="C361" s="21" t="s">
        <v>31</v>
      </c>
      <c r="D361" s="79">
        <f t="shared" si="5"/>
        <v>44927</v>
      </c>
      <c r="E361" s="27">
        <v>173.8</v>
      </c>
      <c r="F361" s="27">
        <v>210.7</v>
      </c>
      <c r="G361" s="27">
        <v>194.5</v>
      </c>
      <c r="H361" s="27">
        <v>174.6</v>
      </c>
      <c r="I361" s="27">
        <v>187.2</v>
      </c>
      <c r="J361" s="27">
        <v>158.30000000000001</v>
      </c>
      <c r="K361" s="27">
        <v>153.9</v>
      </c>
      <c r="L361" s="27">
        <v>170.9</v>
      </c>
      <c r="M361" s="27">
        <v>121.1</v>
      </c>
      <c r="N361" s="27">
        <v>208.4</v>
      </c>
      <c r="O361" s="21">
        <v>184.9</v>
      </c>
      <c r="P361" s="21">
        <v>177.6</v>
      </c>
      <c r="Q361" s="22">
        <v>172.1</v>
      </c>
      <c r="R361" s="21">
        <v>172.9</v>
      </c>
      <c r="S361" s="21">
        <v>182.3</v>
      </c>
      <c r="T361" s="27">
        <v>163.6</v>
      </c>
      <c r="U361" s="27">
        <v>174.3</v>
      </c>
    </row>
    <row r="362" spans="1:21">
      <c r="A362" s="21" t="s">
        <v>30</v>
      </c>
      <c r="B362" s="26">
        <v>2023</v>
      </c>
      <c r="C362" s="21" t="s">
        <v>35</v>
      </c>
      <c r="D362" s="79">
        <f t="shared" si="5"/>
        <v>44958</v>
      </c>
      <c r="E362" s="27">
        <v>174.2</v>
      </c>
      <c r="F362" s="27">
        <v>205.2</v>
      </c>
      <c r="G362" s="27">
        <v>173.9</v>
      </c>
      <c r="H362" s="27">
        <v>177</v>
      </c>
      <c r="I362" s="27">
        <v>183.4</v>
      </c>
      <c r="J362" s="27">
        <v>167.2</v>
      </c>
      <c r="K362" s="27">
        <v>140.9</v>
      </c>
      <c r="L362" s="27">
        <v>170.4</v>
      </c>
      <c r="M362" s="27">
        <v>119.1</v>
      </c>
      <c r="N362" s="27">
        <v>212.1</v>
      </c>
      <c r="O362" s="21">
        <v>190</v>
      </c>
      <c r="P362" s="21">
        <v>187</v>
      </c>
      <c r="Q362" s="22">
        <v>139.25</v>
      </c>
      <c r="R362" s="21">
        <v>178.6</v>
      </c>
      <c r="S362" s="21">
        <v>186.6</v>
      </c>
      <c r="T362" s="27">
        <v>169</v>
      </c>
      <c r="U362" s="27">
        <v>178.5</v>
      </c>
    </row>
    <row r="363" spans="1:21">
      <c r="A363" s="21" t="s">
        <v>33</v>
      </c>
      <c r="B363" s="26">
        <v>2023</v>
      </c>
      <c r="C363" s="21" t="s">
        <v>35</v>
      </c>
      <c r="D363" s="79">
        <f t="shared" si="5"/>
        <v>44958</v>
      </c>
      <c r="E363" s="27">
        <v>174.7</v>
      </c>
      <c r="F363" s="27">
        <v>212.2</v>
      </c>
      <c r="G363" s="27">
        <v>177.2</v>
      </c>
      <c r="H363" s="27">
        <v>177.9</v>
      </c>
      <c r="I363" s="27">
        <v>172.2</v>
      </c>
      <c r="J363" s="27">
        <v>172.1</v>
      </c>
      <c r="K363" s="27">
        <v>175.8</v>
      </c>
      <c r="L363" s="27">
        <v>172.2</v>
      </c>
      <c r="M363" s="27">
        <v>121.9</v>
      </c>
      <c r="N363" s="27">
        <v>204.8</v>
      </c>
      <c r="O363" s="21">
        <v>180.3</v>
      </c>
      <c r="P363" s="21">
        <v>167</v>
      </c>
      <c r="Q363" s="22">
        <v>173.5</v>
      </c>
      <c r="R363" s="21">
        <v>169.2</v>
      </c>
      <c r="S363" s="21">
        <v>180.8</v>
      </c>
      <c r="T363" s="27">
        <v>159.80000000000001</v>
      </c>
      <c r="U363" s="27">
        <v>172.5</v>
      </c>
    </row>
    <row r="364" spans="1:21">
      <c r="A364" s="21" t="s">
        <v>34</v>
      </c>
      <c r="B364" s="26">
        <v>2023</v>
      </c>
      <c r="C364" s="21" t="s">
        <v>35</v>
      </c>
      <c r="D364" s="79">
        <f t="shared" si="5"/>
        <v>44958</v>
      </c>
      <c r="E364" s="27">
        <v>174.4</v>
      </c>
      <c r="F364" s="27">
        <v>207.7</v>
      </c>
      <c r="G364" s="27">
        <v>175.2</v>
      </c>
      <c r="H364" s="27">
        <v>177.3</v>
      </c>
      <c r="I364" s="27">
        <v>179.3</v>
      </c>
      <c r="J364" s="27">
        <v>169.5</v>
      </c>
      <c r="K364" s="27">
        <v>152.69999999999999</v>
      </c>
      <c r="L364" s="27">
        <v>171</v>
      </c>
      <c r="M364" s="27">
        <v>120</v>
      </c>
      <c r="N364" s="27">
        <v>209.7</v>
      </c>
      <c r="O364" s="21">
        <v>186.2</v>
      </c>
      <c r="P364" s="21">
        <v>178.7</v>
      </c>
      <c r="Q364" s="22">
        <v>173.5</v>
      </c>
      <c r="R364" s="21">
        <v>174.2</v>
      </c>
      <c r="S364" s="21">
        <v>184.4</v>
      </c>
      <c r="T364" s="27">
        <v>164.2</v>
      </c>
      <c r="U364" s="27">
        <v>175</v>
      </c>
    </row>
    <row r="365" spans="1:21">
      <c r="A365" s="21" t="s">
        <v>30</v>
      </c>
      <c r="B365" s="26">
        <v>2023</v>
      </c>
      <c r="C365" s="21" t="s">
        <v>36</v>
      </c>
      <c r="D365" s="79">
        <f t="shared" si="5"/>
        <v>44986</v>
      </c>
      <c r="E365" s="27">
        <v>174.3</v>
      </c>
      <c r="F365" s="27">
        <v>205.2</v>
      </c>
      <c r="G365" s="27">
        <v>173.9</v>
      </c>
      <c r="H365" s="27">
        <v>177</v>
      </c>
      <c r="I365" s="27">
        <v>183.3</v>
      </c>
      <c r="J365" s="27">
        <v>167.2</v>
      </c>
      <c r="K365" s="27">
        <v>140.9</v>
      </c>
      <c r="L365" s="27">
        <v>170.5</v>
      </c>
      <c r="M365" s="27">
        <v>119.1</v>
      </c>
      <c r="N365" s="27">
        <v>212.1</v>
      </c>
      <c r="O365" s="21">
        <v>190</v>
      </c>
      <c r="P365" s="21">
        <v>187</v>
      </c>
      <c r="Q365" s="22">
        <v>139.25</v>
      </c>
      <c r="R365" s="21">
        <v>178.6</v>
      </c>
      <c r="S365" s="21">
        <v>186.6</v>
      </c>
      <c r="T365" s="27">
        <v>169</v>
      </c>
      <c r="U365" s="27">
        <v>178.5</v>
      </c>
    </row>
    <row r="366" spans="1:21">
      <c r="A366" s="21" t="s">
        <v>33</v>
      </c>
      <c r="B366" s="26">
        <v>2023</v>
      </c>
      <c r="C366" s="21" t="s">
        <v>36</v>
      </c>
      <c r="D366" s="79">
        <f t="shared" si="5"/>
        <v>44986</v>
      </c>
      <c r="E366" s="27">
        <v>174.7</v>
      </c>
      <c r="F366" s="27">
        <v>212.2</v>
      </c>
      <c r="G366" s="27">
        <v>177.2</v>
      </c>
      <c r="H366" s="27">
        <v>177.9</v>
      </c>
      <c r="I366" s="27">
        <v>172.2</v>
      </c>
      <c r="J366" s="27">
        <v>172.1</v>
      </c>
      <c r="K366" s="27">
        <v>175.9</v>
      </c>
      <c r="L366" s="27">
        <v>172.2</v>
      </c>
      <c r="M366" s="27">
        <v>121.9</v>
      </c>
      <c r="N366" s="27">
        <v>204.8</v>
      </c>
      <c r="O366" s="21">
        <v>180.2</v>
      </c>
      <c r="P366" s="21">
        <v>167</v>
      </c>
      <c r="Q366" s="22">
        <v>173.5</v>
      </c>
      <c r="R366" s="21">
        <v>169.2</v>
      </c>
      <c r="S366" s="21">
        <v>180.8</v>
      </c>
      <c r="T366" s="27">
        <v>159.80000000000001</v>
      </c>
      <c r="U366" s="27">
        <v>172.5</v>
      </c>
    </row>
    <row r="367" spans="1:21">
      <c r="A367" s="21" t="s">
        <v>34</v>
      </c>
      <c r="B367" s="26">
        <v>2023</v>
      </c>
      <c r="C367" s="21" t="s">
        <v>36</v>
      </c>
      <c r="D367" s="79">
        <f t="shared" si="5"/>
        <v>44986</v>
      </c>
      <c r="E367" s="27">
        <v>174.4</v>
      </c>
      <c r="F367" s="27">
        <v>207.7</v>
      </c>
      <c r="G367" s="27">
        <v>175.2</v>
      </c>
      <c r="H367" s="27">
        <v>177.3</v>
      </c>
      <c r="I367" s="27">
        <v>179.2</v>
      </c>
      <c r="J367" s="27">
        <v>169.5</v>
      </c>
      <c r="K367" s="27">
        <v>152.80000000000001</v>
      </c>
      <c r="L367" s="27">
        <v>171.1</v>
      </c>
      <c r="M367" s="27">
        <v>120</v>
      </c>
      <c r="N367" s="27">
        <v>209.7</v>
      </c>
      <c r="O367" s="21">
        <v>186.1</v>
      </c>
      <c r="P367" s="21">
        <v>178.7</v>
      </c>
      <c r="Q367" s="22">
        <v>173.5</v>
      </c>
      <c r="R367" s="21">
        <v>174.2</v>
      </c>
      <c r="S367" s="21">
        <v>184.4</v>
      </c>
      <c r="T367" s="27">
        <v>164.2</v>
      </c>
      <c r="U367" s="27">
        <v>175</v>
      </c>
    </row>
    <row r="368" spans="1:21">
      <c r="A368" s="21" t="s">
        <v>30</v>
      </c>
      <c r="B368" s="26">
        <v>2023</v>
      </c>
      <c r="C368" s="21" t="s">
        <v>37</v>
      </c>
      <c r="D368" s="79">
        <f t="shared" si="5"/>
        <v>45017</v>
      </c>
      <c r="E368" s="27">
        <v>173.3</v>
      </c>
      <c r="F368" s="27">
        <v>206.9</v>
      </c>
      <c r="G368" s="27">
        <v>167.9</v>
      </c>
      <c r="H368" s="27">
        <v>178.2</v>
      </c>
      <c r="I368" s="27">
        <v>178.5</v>
      </c>
      <c r="J368" s="27">
        <v>173.7</v>
      </c>
      <c r="K368" s="27">
        <v>142.80000000000001</v>
      </c>
      <c r="L368" s="27">
        <v>172.8</v>
      </c>
      <c r="M368" s="27">
        <v>120.4</v>
      </c>
      <c r="N368" s="27">
        <v>215.5</v>
      </c>
      <c r="O368" s="21">
        <v>190.7</v>
      </c>
      <c r="P368" s="21">
        <v>187.3</v>
      </c>
      <c r="Q368" s="22">
        <v>139.25</v>
      </c>
      <c r="R368" s="21">
        <v>179.1</v>
      </c>
      <c r="S368" s="21">
        <v>187.2</v>
      </c>
      <c r="T368" s="27">
        <v>169.4</v>
      </c>
      <c r="U368" s="27">
        <v>179.4</v>
      </c>
    </row>
    <row r="369" spans="1:21">
      <c r="A369" s="21" t="s">
        <v>33</v>
      </c>
      <c r="B369" s="26">
        <v>2023</v>
      </c>
      <c r="C369" s="21" t="s">
        <v>37</v>
      </c>
      <c r="D369" s="79">
        <f t="shared" si="5"/>
        <v>45017</v>
      </c>
      <c r="E369" s="27">
        <v>174.8</v>
      </c>
      <c r="F369" s="27">
        <v>213.7</v>
      </c>
      <c r="G369" s="27">
        <v>172.4</v>
      </c>
      <c r="H369" s="27">
        <v>178.8</v>
      </c>
      <c r="I369" s="27">
        <v>168.7</v>
      </c>
      <c r="J369" s="27">
        <v>179.2</v>
      </c>
      <c r="K369" s="27">
        <v>179.9</v>
      </c>
      <c r="L369" s="27">
        <v>174.7</v>
      </c>
      <c r="M369" s="27">
        <v>123.1</v>
      </c>
      <c r="N369" s="27">
        <v>207.8</v>
      </c>
      <c r="O369" s="21">
        <v>181</v>
      </c>
      <c r="P369" s="21">
        <v>167.7</v>
      </c>
      <c r="Q369" s="22">
        <v>175.2</v>
      </c>
      <c r="R369" s="21">
        <v>169.6</v>
      </c>
      <c r="S369" s="21">
        <v>181.5</v>
      </c>
      <c r="T369" s="27">
        <v>160.1</v>
      </c>
      <c r="U369" s="27">
        <v>174.2</v>
      </c>
    </row>
    <row r="370" spans="1:21">
      <c r="A370" s="21" t="s">
        <v>34</v>
      </c>
      <c r="B370" s="26">
        <v>2023</v>
      </c>
      <c r="C370" s="21" t="s">
        <v>37</v>
      </c>
      <c r="D370" s="79">
        <f t="shared" si="5"/>
        <v>45017</v>
      </c>
      <c r="E370" s="27">
        <v>173.8</v>
      </c>
      <c r="F370" s="27">
        <v>209.3</v>
      </c>
      <c r="G370" s="27">
        <v>169.6</v>
      </c>
      <c r="H370" s="27">
        <v>178.4</v>
      </c>
      <c r="I370" s="27">
        <v>174.9</v>
      </c>
      <c r="J370" s="27">
        <v>176.3</v>
      </c>
      <c r="K370" s="27">
        <v>155.4</v>
      </c>
      <c r="L370" s="27">
        <v>173.4</v>
      </c>
      <c r="M370" s="27">
        <v>121.3</v>
      </c>
      <c r="N370" s="27">
        <v>212.9</v>
      </c>
      <c r="O370" s="21">
        <v>186.9</v>
      </c>
      <c r="P370" s="21">
        <v>179.2</v>
      </c>
      <c r="Q370" s="22">
        <v>175.2</v>
      </c>
      <c r="R370" s="21">
        <v>174.6</v>
      </c>
      <c r="S370" s="21">
        <v>185</v>
      </c>
      <c r="T370" s="27">
        <v>164.5</v>
      </c>
      <c r="U370" s="27">
        <v>176.4</v>
      </c>
    </row>
    <row r="371" spans="1:21">
      <c r="A371" s="21" t="s">
        <v>30</v>
      </c>
      <c r="B371" s="26">
        <v>2023</v>
      </c>
      <c r="C371" s="21" t="s">
        <v>38</v>
      </c>
      <c r="D371" s="79">
        <f t="shared" si="5"/>
        <v>45047</v>
      </c>
      <c r="E371" s="27">
        <v>173.2</v>
      </c>
      <c r="F371" s="27">
        <v>211.5</v>
      </c>
      <c r="G371" s="27">
        <v>171</v>
      </c>
      <c r="H371" s="27">
        <v>179.6</v>
      </c>
      <c r="I371" s="27">
        <v>173.3</v>
      </c>
      <c r="J371" s="27">
        <v>169</v>
      </c>
      <c r="K371" s="27">
        <v>148.69999999999999</v>
      </c>
      <c r="L371" s="27">
        <v>174.9</v>
      </c>
      <c r="M371" s="27">
        <v>121.9</v>
      </c>
      <c r="N371" s="27">
        <v>221</v>
      </c>
      <c r="O371" s="21">
        <v>191.2</v>
      </c>
      <c r="P371" s="21">
        <v>187.9</v>
      </c>
      <c r="Q371" s="22">
        <v>139.25</v>
      </c>
      <c r="R371" s="21">
        <v>179.8</v>
      </c>
      <c r="S371" s="21">
        <v>187.8</v>
      </c>
      <c r="T371" s="27">
        <v>169.7</v>
      </c>
      <c r="U371" s="27">
        <v>180.3</v>
      </c>
    </row>
    <row r="372" spans="1:21">
      <c r="A372" s="21" t="s">
        <v>33</v>
      </c>
      <c r="B372" s="26">
        <v>2023</v>
      </c>
      <c r="C372" s="21" t="s">
        <v>38</v>
      </c>
      <c r="D372" s="79">
        <f t="shared" si="5"/>
        <v>45047</v>
      </c>
      <c r="E372" s="27">
        <v>174.7</v>
      </c>
      <c r="F372" s="27">
        <v>219.4</v>
      </c>
      <c r="G372" s="27">
        <v>176.7</v>
      </c>
      <c r="H372" s="27">
        <v>179.4</v>
      </c>
      <c r="I372" s="27">
        <v>164.4</v>
      </c>
      <c r="J372" s="27">
        <v>175.8</v>
      </c>
      <c r="K372" s="27">
        <v>185</v>
      </c>
      <c r="L372" s="27">
        <v>176.9</v>
      </c>
      <c r="M372" s="27">
        <v>124.2</v>
      </c>
      <c r="N372" s="27">
        <v>211.9</v>
      </c>
      <c r="O372" s="21">
        <v>181.3</v>
      </c>
      <c r="P372" s="21">
        <v>168.1</v>
      </c>
      <c r="Q372" s="22">
        <v>175.6</v>
      </c>
      <c r="R372" s="21">
        <v>170.1</v>
      </c>
      <c r="S372" s="21">
        <v>182.2</v>
      </c>
      <c r="T372" s="27">
        <v>160.4</v>
      </c>
      <c r="U372" s="27">
        <v>174.8</v>
      </c>
    </row>
    <row r="373" spans="1:21">
      <c r="A373" s="21" t="s">
        <v>34</v>
      </c>
      <c r="B373" s="26">
        <v>2023</v>
      </c>
      <c r="C373" s="21" t="s">
        <v>38</v>
      </c>
      <c r="D373" s="79">
        <f t="shared" si="5"/>
        <v>45047</v>
      </c>
      <c r="E373" s="27">
        <v>173.7</v>
      </c>
      <c r="F373" s="27">
        <v>214.3</v>
      </c>
      <c r="G373" s="27">
        <v>173.2</v>
      </c>
      <c r="H373" s="27">
        <v>179.5</v>
      </c>
      <c r="I373" s="27">
        <v>170</v>
      </c>
      <c r="J373" s="27">
        <v>172.2</v>
      </c>
      <c r="K373" s="27">
        <v>161</v>
      </c>
      <c r="L373" s="27">
        <v>175.6</v>
      </c>
      <c r="M373" s="27">
        <v>122.7</v>
      </c>
      <c r="N373" s="27">
        <v>218</v>
      </c>
      <c r="O373" s="21">
        <v>187.3</v>
      </c>
      <c r="P373" s="21">
        <v>179.7</v>
      </c>
      <c r="Q373" s="22">
        <v>175.6</v>
      </c>
      <c r="R373" s="21">
        <v>175.2</v>
      </c>
      <c r="S373" s="21">
        <v>185.7</v>
      </c>
      <c r="T373" s="27">
        <v>164.8</v>
      </c>
      <c r="U373" s="27">
        <v>177.1</v>
      </c>
    </row>
  </sheetData>
  <autoFilter ref="A1:U373" xr:uid="{00000000-0009-0000-0000-000006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88"/>
  <sheetViews>
    <sheetView zoomScaleNormal="100" workbookViewId="0">
      <pane ySplit="1" topLeftCell="A162" activePane="bottomLeft" state="frozen"/>
      <selection activeCell="J1" sqref="J1"/>
      <selection pane="bottomLeft" activeCell="A169" sqref="A169"/>
    </sheetView>
  </sheetViews>
  <sheetFormatPr defaultRowHeight="14.4"/>
  <cols>
    <col min="1" max="1" width="33.33203125" bestFit="1" customWidth="1"/>
    <col min="2" max="2" width="16.33203125" bestFit="1" customWidth="1"/>
    <col min="3" max="3" width="11" bestFit="1" customWidth="1"/>
    <col min="4" max="4" width="20.6640625" bestFit="1" customWidth="1"/>
    <col min="5" max="5" width="13.33203125" bestFit="1" customWidth="1"/>
    <col min="6" max="6" width="11.44140625" bestFit="1" customWidth="1"/>
    <col min="7" max="7" width="17" bestFit="1" customWidth="1"/>
    <col min="8" max="8" width="21" bestFit="1" customWidth="1"/>
    <col min="9" max="9" width="13.44140625" bestFit="1" customWidth="1"/>
    <col min="10" max="10" width="11.44140625" bestFit="1" customWidth="1"/>
    <col min="11" max="11" width="19" bestFit="1" customWidth="1"/>
    <col min="12" max="12" width="23.109375" bestFit="1" customWidth="1"/>
    <col min="13" max="13" width="10.88671875" bestFit="1" customWidth="1"/>
    <col min="14" max="14" width="23.44140625" bestFit="1" customWidth="1"/>
    <col min="15" max="15" width="33.44140625" bestFit="1" customWidth="1"/>
    <col min="16" max="16" width="23.44140625" bestFit="1" customWidth="1"/>
    <col min="17" max="17" width="10.88671875" bestFit="1" customWidth="1"/>
    <col min="18" max="18" width="23.44140625" bestFit="1" customWidth="1"/>
    <col min="19" max="19" width="33.44140625" bestFit="1" customWidth="1"/>
    <col min="20" max="20" width="19.109375" bestFit="1" customWidth="1"/>
    <col min="21" max="21" width="28.33203125" bestFit="1" customWidth="1"/>
    <col min="22" max="22" width="10.88671875" bestFit="1" customWidth="1"/>
    <col min="23" max="23" width="23.6640625" bestFit="1" customWidth="1"/>
    <col min="24" max="24" width="26" bestFit="1" customWidth="1"/>
    <col min="25" max="25" width="28.33203125" bestFit="1" customWidth="1"/>
    <col min="26" max="26" width="26.6640625" bestFit="1" customWidth="1"/>
    <col min="27" max="27" width="23.6640625" bestFit="1" customWidth="1"/>
    <col min="28" max="28" width="25.88671875" bestFit="1" customWidth="1"/>
    <col min="29" max="29" width="9.6640625" bestFit="1" customWidth="1"/>
    <col min="30" max="30" width="26.5546875" bestFit="1" customWidth="1"/>
    <col min="31" max="31" width="13.88671875" bestFit="1" customWidth="1"/>
  </cols>
  <sheetData>
    <row r="1" spans="1:31" s="7" customFormat="1">
      <c r="A1" s="25" t="s">
        <v>0</v>
      </c>
      <c r="B1" s="25" t="s">
        <v>1</v>
      </c>
      <c r="C1" s="25" t="s">
        <v>2</v>
      </c>
      <c r="D1" s="25" t="s">
        <v>100</v>
      </c>
      <c r="E1" s="25" t="s">
        <v>128</v>
      </c>
      <c r="F1" s="25" t="s">
        <v>129</v>
      </c>
      <c r="G1" s="25" t="s">
        <v>130</v>
      </c>
      <c r="H1" s="25" t="s">
        <v>131</v>
      </c>
      <c r="I1" s="25" t="s">
        <v>4</v>
      </c>
      <c r="J1" s="25" t="s">
        <v>5</v>
      </c>
      <c r="K1" s="25" t="s">
        <v>6</v>
      </c>
      <c r="L1" s="25" t="s">
        <v>7</v>
      </c>
      <c r="M1" s="25" t="s">
        <v>8</v>
      </c>
      <c r="N1" s="25" t="s">
        <v>9</v>
      </c>
      <c r="O1" s="25" t="s">
        <v>10</v>
      </c>
      <c r="P1" s="25" t="s">
        <v>11</v>
      </c>
      <c r="Q1" s="25" t="s">
        <v>12</v>
      </c>
      <c r="R1" s="25" t="s">
        <v>13</v>
      </c>
      <c r="S1" s="25" t="s">
        <v>14</v>
      </c>
      <c r="T1" s="25" t="s">
        <v>15</v>
      </c>
      <c r="U1" s="25" t="s">
        <v>17</v>
      </c>
      <c r="V1" s="25" t="s">
        <v>18</v>
      </c>
      <c r="W1" s="25" t="s">
        <v>19</v>
      </c>
      <c r="X1" s="25" t="s">
        <v>20</v>
      </c>
      <c r="Y1" s="25" t="s">
        <v>22</v>
      </c>
      <c r="Z1" s="25" t="s">
        <v>23</v>
      </c>
      <c r="AA1" s="25" t="s">
        <v>27</v>
      </c>
      <c r="AB1" s="25" t="s">
        <v>25</v>
      </c>
      <c r="AC1" s="25" t="s">
        <v>26</v>
      </c>
      <c r="AD1" s="25" t="s">
        <v>16</v>
      </c>
      <c r="AE1" s="91" t="s">
        <v>28</v>
      </c>
    </row>
    <row r="2" spans="1:31">
      <c r="A2" s="12" t="s">
        <v>34</v>
      </c>
      <c r="B2" s="12">
        <v>2021</v>
      </c>
      <c r="C2" s="12" t="s">
        <v>31</v>
      </c>
      <c r="D2" s="61">
        <v>44197</v>
      </c>
      <c r="E2" s="67">
        <v>8.57</v>
      </c>
      <c r="F2" s="8">
        <f>IFERROR(('Q5 Actual'!W4-'Q5 Actual'!W3)/'Q5 Actual'!W3*100,"NA")</f>
        <v>2.2821576763485556</v>
      </c>
      <c r="G2" s="8">
        <f>IFERROR(('Q5 Actual'!Z4-'Q5 Actual'!Z3)/'Q5 Actual'!Z3*100,"NA")</f>
        <v>0.85287846481877549</v>
      </c>
      <c r="H2" s="8">
        <f>IFERROR(('Q5 Actual'!E4-'Q5 Actual'!E3)/'Q5 Actual'!E3*100,"NA")</f>
        <v>-0.7534246575342427</v>
      </c>
      <c r="I2" s="8">
        <f>IFERROR(('Q5 Actual'!F4-'Q5 Actual'!F3)/'Q5 Actual'!F3*100,"NA")</f>
        <v>-0.47120418848167833</v>
      </c>
      <c r="J2" s="8">
        <f>IFERROR(('Q5 Actual'!G4-'Q5 Actual'!G3)/'Q5 Actual'!G3*100,"NA")</f>
        <v>0</v>
      </c>
      <c r="K2" s="8">
        <f>IFERROR(('Q5 Actual'!H4-'Q5 Actual'!H3)/'Q5 Actual'!H3*100,"NA")</f>
        <v>0</v>
      </c>
      <c r="L2" s="8">
        <f>IFERROR(('Q5 Actual'!I4-'Q5 Actual'!I3)/'Q5 Actual'!I3*100,"NA")</f>
        <v>2.9331514324693124</v>
      </c>
      <c r="M2" s="8">
        <f>IFERROR(('Q5 Actual'!J4-'Q5 Actual'!J3)/'Q5 Actual'!J3*100,"NA")</f>
        <v>1.2863913337847026</v>
      </c>
      <c r="N2" s="8">
        <f>IFERROR(('Q5 Actual'!K4-'Q5 Actual'!K3)/'Q5 Actual'!K3*100,"NA")</f>
        <v>-15.748373101952282</v>
      </c>
      <c r="O2" s="8">
        <f>IFERROR(('Q5 Actual'!L4-'Q5 Actual'!L3)/'Q5 Actual'!L3*100,"NA")</f>
        <v>0.12484394506867481</v>
      </c>
      <c r="P2" s="8">
        <f>IFERROR(('Q5 Actual'!M4-'Q5 Actual'!M3)/'Q5 Actual'!M3*100,"NA")</f>
        <v>-0.60711188204683686</v>
      </c>
      <c r="Q2" s="8">
        <f>IFERROR(('Q5 Actual'!N4-'Q5 Actual'!N3)/'Q5 Actual'!N3*100,"NA")</f>
        <v>0.61349693251533743</v>
      </c>
      <c r="R2" s="8">
        <f>IFERROR(('Q5 Actual'!O4-'Q5 Actual'!O3)/'Q5 Actual'!O3*100,"NA")</f>
        <v>1.7426273458445194</v>
      </c>
      <c r="S2" s="8">
        <f>IFERROR(('Q5 Actual'!P4-'Q5 Actual'!P3)/'Q5 Actual'!P3*100,"NA")</f>
        <v>0.48543689320387312</v>
      </c>
      <c r="T2" s="8">
        <f>IFERROR(('Q5 Actual'!Q4-'Q5 Actual'!Q3)/'Q5 Actual'!Q3*100,"NA")</f>
        <v>-2.6602176541717082</v>
      </c>
      <c r="U2" s="8">
        <f>IFERROR(('Q5 Actual'!R4-'Q5 Actual'!R3)/'Q5 Actual'!R3*100,"NA")</f>
        <v>0.32258064516129031</v>
      </c>
      <c r="V2" s="8">
        <f>IFERROR(('Q5 Actual'!S4-'Q5 Actual'!S3)/'Q5 Actual'!S3*100,"NA")</f>
        <v>0.4814305364511613</v>
      </c>
      <c r="W2" s="8">
        <f>IFERROR(('Q5 Actual'!T4-'Q5 Actual'!T3)/'Q5 Actual'!T3*100,"NA")</f>
        <v>0.39062499999999634</v>
      </c>
      <c r="X2" s="8">
        <f>IFERROR(('Q5 Actual'!U4-'Q5 Actual'!U3)/'Q5 Actual'!U3*100,"NA")</f>
        <v>-0.44191919191920265</v>
      </c>
      <c r="Y2" s="8">
        <f>IFERROR(('Q5 Actual'!V4-'Q5 Actual'!V3)/'Q5 Actual'!V3*100,"NA")</f>
        <v>0.20040080160321402</v>
      </c>
      <c r="Z2" s="8">
        <f>IFERROR(('Q5 Actual'!X4-'Q5 Actual'!X3)/'Q5 Actual'!X3*100,"NA")</f>
        <v>0.63171193935565373</v>
      </c>
      <c r="AA2" s="8">
        <f>IFERROR(('Q5 Actual'!Y4-'Q5 Actual'!Y3)/'Q5 Actual'!Y3*100,"NA")</f>
        <v>-0.19096117122850603</v>
      </c>
      <c r="AB2" s="8">
        <f>IFERROR(('Q5 Actual'!AA4-'Q5 Actual'!AA3)/'Q5 Actual'!AA3*100,"NA")</f>
        <v>0.74074074074073692</v>
      </c>
      <c r="AC2" s="8">
        <f>IFERROR(('Q5 Actual'!AB4-'Q5 Actual'!AB3)/'Q5 Actual'!AB3*100,"NA")</f>
        <v>-0.12547051442911986</v>
      </c>
      <c r="AD2" s="8">
        <f>IFERROR(('Q5 Actual'!AC4-'Q5 Actual'!AC3)/'Q5 Actual'!AC3*100,"NA")</f>
        <v>0.59331175836029892</v>
      </c>
      <c r="AE2" s="8">
        <f>IFERROR(('Q5 Actual'!AD4-'Q5 Actual'!AD3)/'Q5 Actual'!AD3*100,"NA")</f>
        <v>0.46296296296297429</v>
      </c>
    </row>
    <row r="3" spans="1:31">
      <c r="A3" s="12" t="s">
        <v>34</v>
      </c>
      <c r="B3" s="12">
        <v>2021</v>
      </c>
      <c r="C3" s="12" t="s">
        <v>35</v>
      </c>
      <c r="D3" s="61">
        <v>44228</v>
      </c>
      <c r="E3" s="67">
        <v>13.05</v>
      </c>
      <c r="F3" s="8">
        <f>IFERROR(('Q5 Actual'!W5-'Q5 Actual'!W4)/'Q5 Actual'!W4*100,"NA")</f>
        <v>3.0425963488843815</v>
      </c>
      <c r="G3" s="8">
        <f>IFERROR(('Q5 Actual'!Z5-'Q5 Actual'!Z4)/'Q5 Actual'!Z4*100,"NA")</f>
        <v>2.2551092318534098</v>
      </c>
      <c r="H3" s="8">
        <f>IFERROR(('Q5 Actual'!E5-'Q5 Actual'!E4)/'Q5 Actual'!E4*100,"NA")</f>
        <v>-0.41407867494823619</v>
      </c>
      <c r="I3" s="8">
        <f>IFERROR(('Q5 Actual'!F5-'Q5 Actual'!F4)/'Q5 Actual'!F4*100,"NA")</f>
        <v>-1.8937401367701181</v>
      </c>
      <c r="J3" s="8">
        <f>IFERROR(('Q5 Actual'!G5-'Q5 Actual'!G4)/'Q5 Actual'!G4*100,"NA")</f>
        <v>-3.7649743297204918</v>
      </c>
      <c r="K3" s="8">
        <f>IFERROR(('Q5 Actual'!H5-'Q5 Actual'!H4)/'Q5 Actual'!H4*100,"NA")</f>
        <v>0.38935756002595351</v>
      </c>
      <c r="L3" s="8">
        <f>IFERROR(('Q5 Actual'!I5-'Q5 Actual'!I4)/'Q5 Actual'!I4*100,"NA")</f>
        <v>5.1689860834989947</v>
      </c>
      <c r="M3" s="8">
        <f>IFERROR(('Q5 Actual'!J5-'Q5 Actual'!J4)/'Q5 Actual'!J4*100,"NA")</f>
        <v>0.7352941176470551</v>
      </c>
      <c r="N3" s="8">
        <f>IFERROR(('Q5 Actual'!K5-'Q5 Actual'!K4)/'Q5 Actual'!K4*100,"NA")</f>
        <v>-17.610710607621005</v>
      </c>
      <c r="O3" s="8">
        <f>IFERROR(('Q5 Actual'!L5-'Q5 Actual'!L4)/'Q5 Actual'!L4*100,"NA")</f>
        <v>-0.99750623441396158</v>
      </c>
      <c r="P3" s="8">
        <f>IFERROR(('Q5 Actual'!M5-'Q5 Actual'!M4)/'Q5 Actual'!M4*100,"NA")</f>
        <v>-1.5706806282722487</v>
      </c>
      <c r="Q3" s="8">
        <f>IFERROR(('Q5 Actual'!N5-'Q5 Actual'!N4)/'Q5 Actual'!N4*100,"NA")</f>
        <v>0.12195121951218818</v>
      </c>
      <c r="R3" s="8">
        <f>IFERROR(('Q5 Actual'!O5-'Q5 Actual'!O4)/'Q5 Actual'!O4*100,"NA")</f>
        <v>2.4374176548089515</v>
      </c>
      <c r="S3" s="8">
        <f>IFERROR(('Q5 Actual'!P5-'Q5 Actual'!P4)/'Q5 Actual'!P4*100,"NA")</f>
        <v>1.1473429951690857</v>
      </c>
      <c r="T3" s="8">
        <f>IFERROR(('Q5 Actual'!Q5-'Q5 Actual'!Q4)/'Q5 Actual'!Q4*100,"NA")</f>
        <v>-2.5465838509316736</v>
      </c>
      <c r="U3" s="8">
        <f>IFERROR(('Q5 Actual'!R5-'Q5 Actual'!R4)/'Q5 Actual'!R4*100,"NA")</f>
        <v>1.0932475884244299</v>
      </c>
      <c r="V3" s="8">
        <f>IFERROR(('Q5 Actual'!S5-'Q5 Actual'!S4)/'Q5 Actual'!S4*100,"NA")</f>
        <v>0.88980150581794082</v>
      </c>
      <c r="W3" s="8">
        <f>IFERROR(('Q5 Actual'!T5-'Q5 Actual'!T4)/'Q5 Actual'!T4*100,"NA")</f>
        <v>1.0376134889753716</v>
      </c>
      <c r="X3" s="8">
        <f>IFERROR(('Q5 Actual'!U5-'Q5 Actual'!U4)/'Q5 Actual'!U4*100,"NA")</f>
        <v>1.331642358909336</v>
      </c>
      <c r="Y3" s="8">
        <f>IFERROR(('Q5 Actual'!V5-'Q5 Actual'!V4)/'Q5 Actual'!V4*100,"NA")</f>
        <v>0.60000000000000386</v>
      </c>
      <c r="Z3" s="8">
        <f>IFERROR(('Q5 Actual'!X5-'Q5 Actual'!X4)/'Q5 Actual'!X4*100,"NA")</f>
        <v>1.2554927809165097</v>
      </c>
      <c r="AA3" s="8">
        <f>IFERROR(('Q5 Actual'!Y5-'Q5 Actual'!Y4)/'Q5 Actual'!Y4*100,"NA")</f>
        <v>-0.6377551020408162</v>
      </c>
      <c r="AB3" s="8">
        <f>IFERROR(('Q5 Actual'!AA5-'Q5 Actual'!AA4)/'Q5 Actual'!AA4*100,"NA")</f>
        <v>1.2700534759358328</v>
      </c>
      <c r="AC3" s="8">
        <f>IFERROR(('Q5 Actual'!AB5-'Q5 Actual'!AB4)/'Q5 Actual'!AB4*100,"NA")</f>
        <v>0.18844221105528353</v>
      </c>
      <c r="AD3" s="8">
        <f>IFERROR(('Q5 Actual'!AC5-'Q5 Actual'!AC4)/'Q5 Actual'!AC4*100,"NA")</f>
        <v>0.965147453083116</v>
      </c>
      <c r="AE3" s="8">
        <f>IFERROR(('Q5 Actual'!AD5-'Q5 Actual'!AD4)/'Q5 Actual'!AD4*100,"NA")</f>
        <v>0.98749177090190909</v>
      </c>
    </row>
    <row r="4" spans="1:31">
      <c r="A4" s="12" t="s">
        <v>34</v>
      </c>
      <c r="B4" s="12">
        <v>2021</v>
      </c>
      <c r="C4" s="12" t="s">
        <v>36</v>
      </c>
      <c r="D4" s="61">
        <v>44256</v>
      </c>
      <c r="E4" s="67">
        <v>5.25</v>
      </c>
      <c r="F4" s="8">
        <f>IFERROR(('Q5 Actual'!W6-'Q5 Actual'!W5)/'Q5 Actual'!W5*100,"NA")</f>
        <v>2.0341207349081327</v>
      </c>
      <c r="G4" s="8">
        <f>IFERROR(('Q5 Actual'!Z6-'Q5 Actual'!Z5)/'Q5 Actual'!Z5*100,"NA")</f>
        <v>0.75809786354238073</v>
      </c>
      <c r="H4" s="8">
        <f>IFERROR(('Q5 Actual'!E6-'Q5 Actual'!E5)/'Q5 Actual'!E5*100,"NA")</f>
        <v>-0.13860013860015039</v>
      </c>
      <c r="I4" s="8">
        <f>IFERROR(('Q5 Actual'!F6-'Q5 Actual'!F5)/'Q5 Actual'!F5*100,"NA")</f>
        <v>3.0563002680965083</v>
      </c>
      <c r="J4" s="8">
        <f>IFERROR(('Q5 Actual'!G6-'Q5 Actual'!G5)/'Q5 Actual'!G5*100,"NA")</f>
        <v>-2.9045643153526837</v>
      </c>
      <c r="K4" s="8">
        <f>IFERROR(('Q5 Actual'!H6-'Q5 Actual'!H5)/'Q5 Actual'!H5*100,"NA")</f>
        <v>0.12928248222366973</v>
      </c>
      <c r="L4" s="8">
        <f>IFERROR(('Q5 Actual'!I6-'Q5 Actual'!I5)/'Q5 Actual'!I5*100,"NA")</f>
        <v>3.2766225582860855</v>
      </c>
      <c r="M4" s="8">
        <f>IFERROR(('Q5 Actual'!J6-'Q5 Actual'!J5)/'Q5 Actual'!J5*100,"NA")</f>
        <v>1.9907100199071004</v>
      </c>
      <c r="N4" s="8">
        <f>IFERROR(('Q5 Actual'!K6-'Q5 Actual'!K5)/'Q5 Actual'!K5*100,"NA")</f>
        <v>-6.5625</v>
      </c>
      <c r="O4" s="8">
        <f>IFERROR(('Q5 Actual'!L6-'Q5 Actual'!L5)/'Q5 Actual'!L5*100,"NA")</f>
        <v>0.62972292191435764</v>
      </c>
      <c r="P4" s="8">
        <f>IFERROR(('Q5 Actual'!M6-'Q5 Actual'!M5)/'Q5 Actual'!M5*100,"NA")</f>
        <v>-0.17730496453900962</v>
      </c>
      <c r="Q4" s="8">
        <f>IFERROR(('Q5 Actual'!N6-'Q5 Actual'!N5)/'Q5 Actual'!N5*100,"NA")</f>
        <v>-0.4263093788063268</v>
      </c>
      <c r="R4" s="8">
        <f>IFERROR(('Q5 Actual'!O6-'Q5 Actual'!O5)/'Q5 Actual'!O5*100,"NA")</f>
        <v>0.64308681672025725</v>
      </c>
      <c r="S4" s="8">
        <f>IFERROR(('Q5 Actual'!P6-'Q5 Actual'!P5)/'Q5 Actual'!P5*100,"NA")</f>
        <v>0.41791044776118724</v>
      </c>
      <c r="T4" s="8">
        <f>IFERROR(('Q5 Actual'!Q6-'Q5 Actual'!Q5)/'Q5 Actual'!Q5*100,"NA")</f>
        <v>-0.12746972594010009</v>
      </c>
      <c r="U4" s="8">
        <f>IFERROR(('Q5 Actual'!R6-'Q5 Actual'!R5)/'Q5 Actual'!R5*100,"NA")</f>
        <v>0.38167938931299156</v>
      </c>
      <c r="V4" s="8">
        <f>IFERROR(('Q5 Actual'!S6-'Q5 Actual'!S5)/'Q5 Actual'!S5*100,"NA")</f>
        <v>0.33921302578018991</v>
      </c>
      <c r="W4" s="8">
        <f>IFERROR(('Q5 Actual'!T6-'Q5 Actual'!T5)/'Q5 Actual'!T5*100,"NA")</f>
        <v>0.38510911424903355</v>
      </c>
      <c r="X4" s="8">
        <f>IFERROR(('Q5 Actual'!U6-'Q5 Actual'!U5)/'Q5 Actual'!U5*100,"NA")</f>
        <v>6.2578222778469528E-2</v>
      </c>
      <c r="Y4" s="8">
        <f>IFERROR(('Q5 Actual'!V6-'Q5 Actual'!V5)/'Q5 Actual'!V5*100,"NA")</f>
        <v>0.19880715705764279</v>
      </c>
      <c r="Z4" s="8">
        <f>IFERROR(('Q5 Actual'!X6-'Q5 Actual'!X5)/'Q5 Actual'!X5*100,"NA")</f>
        <v>0.24798512089273234</v>
      </c>
      <c r="AA4" s="8">
        <f>IFERROR(('Q5 Actual'!Y6-'Q5 Actual'!Y5)/'Q5 Actual'!Y5*100,"NA")</f>
        <v>-1.2836970474967906</v>
      </c>
      <c r="AB4" s="8">
        <f>IFERROR(('Q5 Actual'!AA6-'Q5 Actual'!AA5)/'Q5 Actual'!AA5*100,"NA")</f>
        <v>0.72607260726072231</v>
      </c>
      <c r="AC4" s="8">
        <f>IFERROR(('Q5 Actual'!AB6-'Q5 Actual'!AB5)/'Q5 Actual'!AB5*100,"NA")</f>
        <v>0.43887147335422488</v>
      </c>
      <c r="AD4" s="8">
        <f>IFERROR(('Q5 Actual'!AC6-'Q5 Actual'!AC5)/'Q5 Actual'!AC5*100,"NA")</f>
        <v>-0.10621348911312642</v>
      </c>
      <c r="AE4" s="8">
        <f>IFERROR(('Q5 Actual'!AD6-'Q5 Actual'!AD5)/'Q5 Actual'!AD5*100,"NA")</f>
        <v>0.26075619295958646</v>
      </c>
    </row>
    <row r="5" spans="1:31">
      <c r="A5" s="12" t="s">
        <v>34</v>
      </c>
      <c r="B5" s="12">
        <v>2021</v>
      </c>
      <c r="C5" s="12" t="s">
        <v>37</v>
      </c>
      <c r="D5" s="61">
        <v>44287</v>
      </c>
      <c r="E5" s="67">
        <v>1.5699999999999998</v>
      </c>
      <c r="F5" s="8">
        <f>IFERROR(('Q5 Actual'!W7-'Q5 Actual'!W6)/'Q5 Actual'!W6*100,"NA")</f>
        <v>6.4308681672022069E-2</v>
      </c>
      <c r="G5" s="8">
        <f>IFERROR(('Q5 Actual'!Z7-'Q5 Actual'!Z6)/'Q5 Actual'!Z6*100,"NA")</f>
        <v>0.27359781121751414</v>
      </c>
      <c r="H5" s="8">
        <f>IFERROR(('Q5 Actual'!E7-'Q5 Actual'!E6)/'Q5 Actual'!E6*100,"NA")</f>
        <v>0.13879250520473077</v>
      </c>
      <c r="I5" s="8">
        <f>IFERROR(('Q5 Actual'!F7-'Q5 Actual'!F6)/'Q5 Actual'!F6*100,"NA")</f>
        <v>3.0176899063475608</v>
      </c>
      <c r="J5" s="8">
        <f>IFERROR(('Q5 Actual'!G7-'Q5 Actual'!G6)/'Q5 Actual'!G6*100,"NA")</f>
        <v>0.48840048840047801</v>
      </c>
      <c r="K5" s="8">
        <f>IFERROR(('Q5 Actual'!H7-'Q5 Actual'!H6)/'Q5 Actual'!H6*100,"NA")</f>
        <v>0.32278889606197547</v>
      </c>
      <c r="L5" s="8">
        <f>IFERROR(('Q5 Actual'!I7-'Q5 Actual'!I6)/'Q5 Actual'!I6*100,"NA")</f>
        <v>3.7827943868212257</v>
      </c>
      <c r="M5" s="8">
        <f>IFERROR(('Q5 Actual'!J7-'Q5 Actual'!J6)/'Q5 Actual'!J6*100,"NA")</f>
        <v>6.9616135328562256</v>
      </c>
      <c r="N5" s="8">
        <f>IFERROR(('Q5 Actual'!K7-'Q5 Actual'!K6)/'Q5 Actual'!K6*100,"NA")</f>
        <v>-3.612040133779268</v>
      </c>
      <c r="O5" s="8">
        <f>IFERROR(('Q5 Actual'!L7-'Q5 Actual'!L6)/'Q5 Actual'!L6*100,"NA")</f>
        <v>1.1889862327909744</v>
      </c>
      <c r="P5" s="8">
        <f>IFERROR(('Q5 Actual'!M7-'Q5 Actual'!M6)/'Q5 Actual'!M6*100,"NA")</f>
        <v>0.44404973357015992</v>
      </c>
      <c r="Q5" s="8">
        <f>IFERROR(('Q5 Actual'!N7-'Q5 Actual'!N6)/'Q5 Actual'!N6*100,"NA")</f>
        <v>0.24464831804281695</v>
      </c>
      <c r="R5" s="8">
        <f>IFERROR(('Q5 Actual'!O7-'Q5 Actual'!O6)/'Q5 Actual'!O6*100,"NA")</f>
        <v>0.70287539936101873</v>
      </c>
      <c r="S5" s="8">
        <f>IFERROR(('Q5 Actual'!P7-'Q5 Actual'!P6)/'Q5 Actual'!P6*100,"NA")</f>
        <v>0.41617122473247153</v>
      </c>
      <c r="T5" s="8">
        <f>IFERROR(('Q5 Actual'!Q7-'Q5 Actual'!Q6)/'Q5 Actual'!Q6*100,"NA")</f>
        <v>0.82961072112317258</v>
      </c>
      <c r="U5" s="8">
        <f>IFERROR(('Q5 Actual'!R7-'Q5 Actual'!R6)/'Q5 Actual'!R6*100,"NA")</f>
        <v>0.6337135614702154</v>
      </c>
      <c r="V5" s="8">
        <f>IFERROR(('Q5 Actual'!S7-'Q5 Actual'!S6)/'Q5 Actual'!S6*100,"NA")</f>
        <v>0.40567951318458034</v>
      </c>
      <c r="W5" s="8">
        <f>IFERROR(('Q5 Actual'!T7-'Q5 Actual'!T6)/'Q5 Actual'!T6*100,"NA")</f>
        <v>0.57544757033248439</v>
      </c>
      <c r="X5" s="8">
        <f>IFERROR(('Q5 Actual'!U7-'Q5 Actual'!U6)/'Q5 Actual'!U6*100,"NA")</f>
        <v>0.9380863039399624</v>
      </c>
      <c r="Y5" s="8">
        <f>IFERROR(('Q5 Actual'!V7-'Q5 Actual'!V6)/'Q5 Actual'!V6*100,"NA")</f>
        <v>0.3968253968254119</v>
      </c>
      <c r="Z5" s="8">
        <f>IFERROR(('Q5 Actual'!X7-'Q5 Actual'!X6)/'Q5 Actual'!X6*100,"NA")</f>
        <v>0.3710575139146709</v>
      </c>
      <c r="AA5" s="8">
        <f>IFERROR(('Q5 Actual'!Y7-'Q5 Actual'!Y6)/'Q5 Actual'!Y6*100,"NA")</f>
        <v>1.0403120936280845</v>
      </c>
      <c r="AB5" s="8">
        <f>IFERROR(('Q5 Actual'!AA7-'Q5 Actual'!AA6)/'Q5 Actual'!AA6*100,"NA")</f>
        <v>0.39318479685451796</v>
      </c>
      <c r="AC5" s="8">
        <f>IFERROR(('Q5 Actual'!AB7-'Q5 Actual'!AB6)/'Q5 Actual'!AB6*100,"NA")</f>
        <v>6.2421972534346275E-2</v>
      </c>
      <c r="AD5" s="8">
        <f>IFERROR(('Q5 Actual'!AC7-'Q5 Actual'!AC6)/'Q5 Actual'!AC6*100,"NA")</f>
        <v>0.37214247740564438</v>
      </c>
      <c r="AE5" s="8">
        <f>IFERROR(('Q5 Actual'!AD7-'Q5 Actual'!AD6)/'Q5 Actual'!AD6*100,"NA")</f>
        <v>0.39011703511052942</v>
      </c>
    </row>
    <row r="6" spans="1:31">
      <c r="A6" s="12" t="s">
        <v>34</v>
      </c>
      <c r="B6" s="12">
        <v>2021</v>
      </c>
      <c r="C6" s="12" t="s">
        <v>38</v>
      </c>
      <c r="D6" s="61">
        <v>44317</v>
      </c>
      <c r="E6" s="67">
        <v>3.55</v>
      </c>
      <c r="F6" s="8">
        <f>IFERROR(('Q5 Actual'!W8-'Q5 Actual'!W7)/'Q5 Actual'!W7*100,"NA")</f>
        <v>2.4421593830334265</v>
      </c>
      <c r="G6" s="8">
        <f>IFERROR(('Q5 Actual'!Z8-'Q5 Actual'!Z7)/'Q5 Actual'!Z7*100,"NA")</f>
        <v>1.5688949522510309</v>
      </c>
      <c r="H6" s="8">
        <f>IFERROR(('Q5 Actual'!E8-'Q5 Actual'!E7)/'Q5 Actual'!E7*100,"NA")</f>
        <v>1.386001386001386</v>
      </c>
      <c r="I6" s="8">
        <f>IFERROR(('Q5 Actual'!F8-'Q5 Actual'!F7)/'Q5 Actual'!F7*100,"NA")</f>
        <v>1.2626262626262625</v>
      </c>
      <c r="J6" s="8">
        <f>IFERROR(('Q5 Actual'!G8-'Q5 Actual'!G7)/'Q5 Actual'!G7*100,"NA")</f>
        <v>3.4629404617254056</v>
      </c>
      <c r="K6" s="8">
        <f>IFERROR(('Q5 Actual'!H8-'Q5 Actual'!H7)/'Q5 Actual'!H7*100,"NA")</f>
        <v>0.45045045045044318</v>
      </c>
      <c r="L6" s="8">
        <f>IFERROR(('Q5 Actual'!I8-'Q5 Actual'!I7)/'Q5 Actual'!I7*100,"NA")</f>
        <v>5.0558495002939416</v>
      </c>
      <c r="M6" s="8">
        <f>IFERROR(('Q5 Actual'!J8-'Q5 Actual'!J7)/'Q5 Actual'!J7*100,"NA")</f>
        <v>1.6423357664233509</v>
      </c>
      <c r="N6" s="8">
        <f>IFERROR(('Q5 Actual'!K8-'Q5 Actual'!K7)/'Q5 Actual'!K7*100,"NA")</f>
        <v>2.6370575988896681</v>
      </c>
      <c r="O6" s="8">
        <f>IFERROR(('Q5 Actual'!L8-'Q5 Actual'!L7)/'Q5 Actual'!L7*100,"NA")</f>
        <v>2.2881880024737273</v>
      </c>
      <c r="P6" s="8">
        <f>IFERROR(('Q5 Actual'!M8-'Q5 Actual'!M7)/'Q5 Actual'!M7*100,"NA")</f>
        <v>1.503094606542885</v>
      </c>
      <c r="Q6" s="8">
        <f>IFERROR(('Q5 Actual'!N8-'Q5 Actual'!N7)/'Q5 Actual'!N7*100,"NA")</f>
        <v>2.6235509456985864</v>
      </c>
      <c r="R6" s="8">
        <f>IFERROR(('Q5 Actual'!O8-'Q5 Actual'!O7)/'Q5 Actual'!O7*100,"NA")</f>
        <v>1.0786802030456961</v>
      </c>
      <c r="S6" s="8">
        <f>IFERROR(('Q5 Actual'!P8-'Q5 Actual'!P7)/'Q5 Actual'!P7*100,"NA")</f>
        <v>0.88809946714031962</v>
      </c>
      <c r="T6" s="8">
        <f>IFERROR(('Q5 Actual'!Q8-'Q5 Actual'!Q7)/'Q5 Actual'!Q7*100,"NA")</f>
        <v>1.7088607594936638</v>
      </c>
      <c r="U6" s="8">
        <f>IFERROR(('Q5 Actual'!R8-'Q5 Actual'!R7)/'Q5 Actual'!R7*100,"NA")</f>
        <v>1.8891687657430729</v>
      </c>
      <c r="V6" s="8">
        <f>IFERROR(('Q5 Actual'!S8-'Q5 Actual'!S7)/'Q5 Actual'!S7*100,"NA")</f>
        <v>2.4242424242424203</v>
      </c>
      <c r="W6" s="8">
        <f>IFERROR(('Q5 Actual'!T8-'Q5 Actual'!T7)/'Q5 Actual'!T7*100,"NA")</f>
        <v>1.9707565162110579</v>
      </c>
      <c r="X6" s="8">
        <f>IFERROR(('Q5 Actual'!U8-'Q5 Actual'!U7)/'Q5 Actual'!U7*100,"NA")</f>
        <v>0.12391573729862988</v>
      </c>
      <c r="Y6" s="8">
        <f>IFERROR(('Q5 Actual'!V8-'Q5 Actual'!V7)/'Q5 Actual'!V7*100,"NA")</f>
        <v>1.9104084321475474</v>
      </c>
      <c r="Z6" s="8">
        <f>IFERROR(('Q5 Actual'!X8-'Q5 Actual'!X7)/'Q5 Actual'!X7*100,"NA")</f>
        <v>2.1565003080714726</v>
      </c>
      <c r="AA6" s="8">
        <f>IFERROR(('Q5 Actual'!Y8-'Q5 Actual'!Y7)/'Q5 Actual'!Y7*100,"NA")</f>
        <v>2.0592020592020517</v>
      </c>
      <c r="AB6" s="8">
        <f>IFERROR(('Q5 Actual'!AA8-'Q5 Actual'!AA7)/'Q5 Actual'!AA7*100,"NA")</f>
        <v>1.6971279373368298</v>
      </c>
      <c r="AC6" s="8">
        <f>IFERROR(('Q5 Actual'!AB8-'Q5 Actual'!AB7)/'Q5 Actual'!AB7*100,"NA")</f>
        <v>0.56144728633810181</v>
      </c>
      <c r="AD6" s="8">
        <f>IFERROR(('Q5 Actual'!AC8-'Q5 Actual'!AC7)/'Q5 Actual'!AC7*100,"NA")</f>
        <v>1.6419491525423699</v>
      </c>
      <c r="AE6" s="8">
        <f>IFERROR(('Q5 Actual'!AD8-'Q5 Actual'!AD7)/'Q5 Actual'!AD7*100,"NA")</f>
        <v>1.5544041450777237</v>
      </c>
    </row>
    <row r="7" spans="1:31">
      <c r="A7" s="12" t="s">
        <v>34</v>
      </c>
      <c r="B7" s="12">
        <v>2021</v>
      </c>
      <c r="C7" s="12" t="s">
        <v>39</v>
      </c>
      <c r="D7" s="61">
        <v>44348</v>
      </c>
      <c r="E7" s="67">
        <v>7.6899999999999995</v>
      </c>
      <c r="F7" s="8">
        <f>IFERROR(('Q5 Actual'!W9-'Q5 Actual'!W8)/'Q5 Actual'!W8*100,"NA")</f>
        <v>0.25094102885822184</v>
      </c>
      <c r="G7" s="8">
        <f>IFERROR(('Q5 Actual'!Z9-'Q5 Actual'!Z8)/'Q5 Actual'!Z8*100,"NA")</f>
        <v>1.2088650100738636</v>
      </c>
      <c r="H7" s="8">
        <f>IFERROR(('Q5 Actual'!E9-'Q5 Actual'!E8)/'Q5 Actual'!E8*100,"NA")</f>
        <v>0.27341079972657367</v>
      </c>
      <c r="I7" s="8">
        <f>IFERROR(('Q5 Actual'!F9-'Q5 Actual'!F8)/'Q5 Actual'!F8*100,"NA")</f>
        <v>0.74812967581047385</v>
      </c>
      <c r="J7" s="8">
        <f>IFERROR(('Q5 Actual'!G9-'Q5 Actual'!G8)/'Q5 Actual'!G8*100,"NA")</f>
        <v>6.1068702290076198</v>
      </c>
      <c r="K7" s="8">
        <f>IFERROR(('Q5 Actual'!H9-'Q5 Actual'!H8)/'Q5 Actual'!H8*100,"NA")</f>
        <v>6.4061499039073877E-2</v>
      </c>
      <c r="L7" s="8">
        <f>IFERROR(('Q5 Actual'!I9-'Q5 Actual'!I8)/'Q5 Actual'!I8*100,"NA")</f>
        <v>2.7979854504756578</v>
      </c>
      <c r="M7" s="8">
        <f>IFERROR(('Q5 Actual'!J9-'Q5 Actual'!J8)/'Q5 Actual'!J8*100,"NA")</f>
        <v>-1.4961101137043686</v>
      </c>
      <c r="N7" s="8">
        <f>IFERROR(('Q5 Actual'!K9-'Q5 Actual'!K8)/'Q5 Actual'!K8*100,"NA")</f>
        <v>5.0709939148073024</v>
      </c>
      <c r="O7" s="8">
        <f>IFERROR(('Q5 Actual'!L9-'Q5 Actual'!L8)/'Q5 Actual'!L8*100,"NA")</f>
        <v>0.36275695284159265</v>
      </c>
      <c r="P7" s="8">
        <f>IFERROR(('Q5 Actual'!M9-'Q5 Actual'!M8)/'Q5 Actual'!M8*100,"NA")</f>
        <v>0.26132404181184427</v>
      </c>
      <c r="Q7" s="8">
        <f>IFERROR(('Q5 Actual'!N9-'Q5 Actual'!N8)/'Q5 Actual'!N8*100,"NA")</f>
        <v>0.17835909631391877</v>
      </c>
      <c r="R7" s="8">
        <f>IFERROR(('Q5 Actual'!O9-'Q5 Actual'!O8)/'Q5 Actual'!O8*100,"NA")</f>
        <v>0.43942247332077122</v>
      </c>
      <c r="S7" s="8">
        <f>IFERROR(('Q5 Actual'!P9-'Q5 Actual'!P8)/'Q5 Actual'!P8*100,"NA")</f>
        <v>1.1737089201877933</v>
      </c>
      <c r="T7" s="8">
        <f>IFERROR(('Q5 Actual'!Q9-'Q5 Actual'!Q8)/'Q5 Actual'!Q8*100,"NA")</f>
        <v>1.1823273179838243</v>
      </c>
      <c r="U7" s="8">
        <f>IFERROR(('Q5 Actual'!R9-'Q5 Actual'!R8)/'Q5 Actual'!R8*100,"NA")</f>
        <v>0.24721878862792165</v>
      </c>
      <c r="V7" s="8">
        <f>IFERROR(('Q5 Actual'!S9-'Q5 Actual'!S8)/'Q5 Actual'!S8*100,"NA")</f>
        <v>-0.19723865877710908</v>
      </c>
      <c r="W7" s="8">
        <f>IFERROR(('Q5 Actual'!T9-'Q5 Actual'!T8)/'Q5 Actual'!T8*100,"NA")</f>
        <v>0.18703241895260783</v>
      </c>
      <c r="X7" s="8">
        <f>IFERROR(('Q5 Actual'!U9-'Q5 Actual'!U8)/'Q5 Actual'!U8*100,"NA")</f>
        <v>-0.68069306930692719</v>
      </c>
      <c r="Y7" s="8">
        <f>IFERROR(('Q5 Actual'!V9-'Q5 Actual'!V8)/'Q5 Actual'!V8*100,"NA")</f>
        <v>6.464124111184405E-2</v>
      </c>
      <c r="Z7" s="8">
        <f>IFERROR(('Q5 Actual'!X9-'Q5 Actual'!X8)/'Q5 Actual'!X8*100,"NA")</f>
        <v>0.30156815440289503</v>
      </c>
      <c r="AA7" s="8">
        <f>IFERROR(('Q5 Actual'!Y9-'Q5 Actual'!Y8)/'Q5 Actual'!Y8*100,"NA")</f>
        <v>0.12610340479194013</v>
      </c>
      <c r="AB7" s="8">
        <f>IFERROR(('Q5 Actual'!AA9-'Q5 Actual'!AA8)/'Q5 Actual'!AA8*100,"NA")</f>
        <v>-0.57766367137355945</v>
      </c>
      <c r="AC7" s="8">
        <f>IFERROR(('Q5 Actual'!AB9-'Q5 Actual'!AB8)/'Q5 Actual'!AB8*100,"NA")</f>
        <v>0.3101736972704715</v>
      </c>
      <c r="AD7" s="8">
        <f>IFERROR(('Q5 Actual'!AC9-'Q5 Actual'!AC8)/'Q5 Actual'!AC8*100,"NA")</f>
        <v>-0.57321521625846494</v>
      </c>
      <c r="AE7" s="8">
        <f>IFERROR(('Q5 Actual'!AD9-'Q5 Actual'!AD8)/'Q5 Actual'!AD8*100,"NA")</f>
        <v>0.51020408163264219</v>
      </c>
    </row>
    <row r="8" spans="1:31">
      <c r="A8" s="12" t="s">
        <v>34</v>
      </c>
      <c r="B8" s="12">
        <v>2021</v>
      </c>
      <c r="C8" s="12" t="s">
        <v>40</v>
      </c>
      <c r="D8" s="61">
        <v>44378</v>
      </c>
      <c r="E8" s="67">
        <v>3.1399999999999997</v>
      </c>
      <c r="F8" s="8">
        <f>IFERROR(('Q5 Actual'!W10-'Q5 Actual'!W9)/'Q5 Actual'!W9*100,"NA")</f>
        <v>0.56320400500624357</v>
      </c>
      <c r="G8" s="8">
        <f>IFERROR(('Q5 Actual'!Z10-'Q5 Actual'!Z9)/'Q5 Actual'!Z9*100,"NA")</f>
        <v>1.5925680159256841</v>
      </c>
      <c r="H8" s="8">
        <f>IFERROR(('Q5 Actual'!E10-'Q5 Actual'!E9)/'Q5 Actual'!E9*100,"NA")</f>
        <v>-0.20449897750510088</v>
      </c>
      <c r="I8" s="8">
        <f>IFERROR(('Q5 Actual'!F10-'Q5 Actual'!F9)/'Q5 Actual'!F9*100,"NA")</f>
        <v>2.3762376237623819</v>
      </c>
      <c r="J8" s="8">
        <f>IFERROR(('Q5 Actual'!G10-'Q5 Actual'!G9)/'Q5 Actual'!G9*100,"NA")</f>
        <v>0.83010514665190926</v>
      </c>
      <c r="K8" s="8">
        <f>IFERROR(('Q5 Actual'!H10-'Q5 Actual'!H9)/'Q5 Actual'!H9*100,"NA")</f>
        <v>0.83226632522407895</v>
      </c>
      <c r="L8" s="8">
        <f>IFERROR(('Q5 Actual'!I10-'Q5 Actual'!I9)/'Q5 Actual'!I9*100,"NA")</f>
        <v>-0.87098530212302361</v>
      </c>
      <c r="M8" s="8">
        <f>IFERROR(('Q5 Actual'!J10-'Q5 Actual'!J9)/'Q5 Actual'!J9*100,"NA")</f>
        <v>-0.42527339003644515</v>
      </c>
      <c r="N8" s="8">
        <f>IFERROR(('Q5 Actual'!K10-'Q5 Actual'!K9)/'Q5 Actual'!K9*100,"NA")</f>
        <v>5.6628056628056518</v>
      </c>
      <c r="O8" s="8">
        <f>IFERROR(('Q5 Actual'!L10-'Q5 Actual'!L9)/'Q5 Actual'!L9*100,"NA")</f>
        <v>-1.2048192771084338</v>
      </c>
      <c r="P8" s="8">
        <f>IFERROR(('Q5 Actual'!M10-'Q5 Actual'!M9)/'Q5 Actual'!M9*100,"NA")</f>
        <v>-0.5212858384013852</v>
      </c>
      <c r="Q8" s="8">
        <f>IFERROR(('Q5 Actual'!N10-'Q5 Actual'!N9)/'Q5 Actual'!N9*100,"NA")</f>
        <v>-0.1186943620177974</v>
      </c>
      <c r="R8" s="8">
        <f>IFERROR(('Q5 Actual'!O10-'Q5 Actual'!O9)/'Q5 Actual'!O9*100,"NA")</f>
        <v>0.56250000000000355</v>
      </c>
      <c r="S8" s="8">
        <f>IFERROR(('Q5 Actual'!P10-'Q5 Actual'!P9)/'Q5 Actual'!P9*100,"NA")</f>
        <v>-0.11600928074246927</v>
      </c>
      <c r="T8" s="8">
        <f>IFERROR(('Q5 Actual'!Q10-'Q5 Actual'!Q9)/'Q5 Actual'!Q9*100,"NA")</f>
        <v>0.86100861008610452</v>
      </c>
      <c r="U8" s="8">
        <f>IFERROR(('Q5 Actual'!R10-'Q5 Actual'!R9)/'Q5 Actual'!R9*100,"NA")</f>
        <v>0.36991368680642589</v>
      </c>
      <c r="V8" s="8">
        <f>IFERROR(('Q5 Actual'!S10-'Q5 Actual'!S9)/'Q5 Actual'!S9*100,"NA")</f>
        <v>0.85638998682475809</v>
      </c>
      <c r="W8" s="8">
        <f>IFERROR(('Q5 Actual'!T10-'Q5 Actual'!T9)/'Q5 Actual'!T9*100,"NA")</f>
        <v>0.43559427504668141</v>
      </c>
      <c r="X8" s="8">
        <f>IFERROR(('Q5 Actual'!U10-'Q5 Actual'!U9)/'Q5 Actual'!U9*100,"NA")</f>
        <v>0.62305295950155759</v>
      </c>
      <c r="Y8" s="8">
        <f>IFERROR(('Q5 Actual'!V10-'Q5 Actual'!V9)/'Q5 Actual'!V9*100,"NA")</f>
        <v>0.64599483204134367</v>
      </c>
      <c r="Z8" s="8">
        <f>IFERROR(('Q5 Actual'!X10-'Q5 Actual'!X9)/'Q5 Actual'!X9*100,"NA")</f>
        <v>0.42092603728201361</v>
      </c>
      <c r="AA8" s="8">
        <f>IFERROR(('Q5 Actual'!Y10-'Q5 Actual'!Y9)/'Q5 Actual'!Y9*100,"NA")</f>
        <v>0.8186397984886542</v>
      </c>
      <c r="AB8" s="8">
        <f>IFERROR(('Q5 Actual'!AA10-'Q5 Actual'!AA9)/'Q5 Actual'!AA9*100,"NA")</f>
        <v>0.25823111684958405</v>
      </c>
      <c r="AC8" s="8">
        <f>IFERROR(('Q5 Actual'!AB10-'Q5 Actual'!AB9)/'Q5 Actual'!AB9*100,"NA")</f>
        <v>0.927643784786642</v>
      </c>
      <c r="AD8" s="8">
        <f>IFERROR(('Q5 Actual'!AC10-'Q5 Actual'!AC9)/'Q5 Actual'!AC9*100,"NA")</f>
        <v>0.20964360587000905</v>
      </c>
      <c r="AE8" s="8">
        <f>IFERROR(('Q5 Actual'!AD10-'Q5 Actual'!AD9)/'Q5 Actual'!AD9*100,"NA")</f>
        <v>0.88832487309645036</v>
      </c>
    </row>
    <row r="9" spans="1:31">
      <c r="A9" s="12" t="s">
        <v>34</v>
      </c>
      <c r="B9" s="12">
        <v>2021</v>
      </c>
      <c r="C9" s="12" t="s">
        <v>41</v>
      </c>
      <c r="D9" s="61">
        <v>44409</v>
      </c>
      <c r="E9" s="67">
        <v>-6.3100000000000005</v>
      </c>
      <c r="F9" s="8">
        <f>IFERROR(('Q5 Actual'!W11-'Q5 Actual'!W10)/'Q5 Actual'!W10*100,"NA")</f>
        <v>0.68450528935906829</v>
      </c>
      <c r="G9" s="8">
        <f>IFERROR(('Q5 Actual'!Z11-'Q5 Actual'!Z10)/'Q5 Actual'!Z10*100,"NA")</f>
        <v>-6.5316786414104724E-2</v>
      </c>
      <c r="H9" s="8">
        <f>IFERROR(('Q5 Actual'!E11-'Q5 Actual'!E10)/'Q5 Actual'!E10*100,"NA")</f>
        <v>0.13661202185791574</v>
      </c>
      <c r="I9" s="8">
        <f>IFERROR(('Q5 Actual'!F11-'Q5 Actual'!F10)/'Q5 Actual'!F10*100,"NA")</f>
        <v>-1.3539651837524231</v>
      </c>
      <c r="J9" s="8">
        <f>IFERROR(('Q5 Actual'!G11-'Q5 Actual'!G10)/'Q5 Actual'!G10*100,"NA")</f>
        <v>-5.1591657519209537</v>
      </c>
      <c r="K9" s="8">
        <f>IFERROR(('Q5 Actual'!H11-'Q5 Actual'!H10)/'Q5 Actual'!H10*100,"NA")</f>
        <v>0.57142857142857506</v>
      </c>
      <c r="L9" s="8">
        <f>IFERROR(('Q5 Actual'!I11-'Q5 Actual'!I10)/'Q5 Actual'!I10*100,"NA")</f>
        <v>3.2399780340472297</v>
      </c>
      <c r="M9" s="8">
        <f>IFERROR(('Q5 Actual'!J11-'Q5 Actual'!J10)/'Q5 Actual'!J10*100,"NA")</f>
        <v>-4.3319097010372145</v>
      </c>
      <c r="N9" s="8">
        <f>IFERROR(('Q5 Actual'!K11-'Q5 Actual'!K10)/'Q5 Actual'!K10*100,"NA")</f>
        <v>-1.2180267965895251</v>
      </c>
      <c r="O9" s="8">
        <f>IFERROR(('Q5 Actual'!L11-'Q5 Actual'!L10)/'Q5 Actual'!L10*100,"NA")</f>
        <v>6.097560975609409E-2</v>
      </c>
      <c r="P9" s="8">
        <f>IFERROR(('Q5 Actual'!M11-'Q5 Actual'!M10)/'Q5 Actual'!M10*100,"NA")</f>
        <v>4.5414847161572078</v>
      </c>
      <c r="Q9" s="8">
        <f>IFERROR(('Q5 Actual'!N11-'Q5 Actual'!N10)/'Q5 Actual'!N10*100,"NA")</f>
        <v>0.29708853238265004</v>
      </c>
      <c r="R9" s="8">
        <f>IFERROR(('Q5 Actual'!O11-'Q5 Actual'!O10)/'Q5 Actual'!O10*100,"NA")</f>
        <v>1.1187072715972548</v>
      </c>
      <c r="S9" s="8">
        <f>IFERROR(('Q5 Actual'!P11-'Q5 Actual'!P10)/'Q5 Actual'!P10*100,"NA")</f>
        <v>0.98722415795587515</v>
      </c>
      <c r="T9" s="8">
        <f>IFERROR(('Q5 Actual'!Q11-'Q5 Actual'!Q10)/'Q5 Actual'!Q10*100,"NA")</f>
        <v>0</v>
      </c>
      <c r="U9" s="8">
        <f>IFERROR(('Q5 Actual'!R11-'Q5 Actual'!R10)/'Q5 Actual'!R10*100,"NA")</f>
        <v>1.0442260442260372</v>
      </c>
      <c r="V9" s="8">
        <f>IFERROR(('Q5 Actual'!S11-'Q5 Actual'!S10)/'Q5 Actual'!S10*100,"NA")</f>
        <v>1.4369693011103966</v>
      </c>
      <c r="W9" s="8">
        <f>IFERROR(('Q5 Actual'!T11-'Q5 Actual'!T10)/'Q5 Actual'!T10*100,"NA")</f>
        <v>1.1152416356877217</v>
      </c>
      <c r="X9" s="8">
        <f>IFERROR(('Q5 Actual'!U11-'Q5 Actual'!U10)/'Q5 Actual'!U10*100,"NA")</f>
        <v>0.37151702786377355</v>
      </c>
      <c r="Y9" s="8">
        <f>IFERROR(('Q5 Actual'!V11-'Q5 Actual'!V10)/'Q5 Actual'!V10*100,"NA")</f>
        <v>1.0911424903722649</v>
      </c>
      <c r="Z9" s="8">
        <f>IFERROR(('Q5 Actual'!X11-'Q5 Actual'!X10)/'Q5 Actual'!X10*100,"NA")</f>
        <v>0.83832335329341656</v>
      </c>
      <c r="AA9" s="8">
        <f>IFERROR(('Q5 Actual'!Y11-'Q5 Actual'!Y10)/'Q5 Actual'!Y10*100,"NA")</f>
        <v>-6.2460961898809696E-2</v>
      </c>
      <c r="AB9" s="8">
        <f>IFERROR(('Q5 Actual'!AA11-'Q5 Actual'!AA10)/'Q5 Actual'!AA10*100,"NA")</f>
        <v>1.4810045074050113</v>
      </c>
      <c r="AC9" s="8">
        <f>IFERROR(('Q5 Actual'!AB11-'Q5 Actual'!AB10)/'Q5 Actual'!AB10*100,"NA")</f>
        <v>0.36764705882354337</v>
      </c>
      <c r="AD9" s="8">
        <f>IFERROR(('Q5 Actual'!AC11-'Q5 Actual'!AC10)/'Q5 Actual'!AC10*100,"NA")</f>
        <v>0.47071129707113268</v>
      </c>
      <c r="AE9" s="8">
        <f>IFERROR(('Q5 Actual'!AD11-'Q5 Actual'!AD10)/'Q5 Actual'!AD10*100,"NA")</f>
        <v>0.62893081761006298</v>
      </c>
    </row>
    <row r="10" spans="1:31">
      <c r="A10" s="12" t="s">
        <v>34</v>
      </c>
      <c r="B10" s="12">
        <v>2021</v>
      </c>
      <c r="C10" s="12" t="s">
        <v>42</v>
      </c>
      <c r="D10" s="61">
        <v>44440</v>
      </c>
      <c r="E10" s="67">
        <v>5.7299999999999995</v>
      </c>
      <c r="F10" s="8">
        <f>IFERROR(('Q5 Actual'!W12-'Q5 Actual'!W11)/'Q5 Actual'!W11*100,"NA")</f>
        <v>0.49443757725586091</v>
      </c>
      <c r="G10" s="8">
        <f>IFERROR(('Q5 Actual'!Z12-'Q5 Actual'!Z11)/'Q5 Actual'!Z11*100,"NA")</f>
        <v>0.65359477124183007</v>
      </c>
      <c r="H10" s="8">
        <f>IFERROR(('Q5 Actual'!E12-'Q5 Actual'!E11)/'Q5 Actual'!E11*100,"NA")</f>
        <v>0</v>
      </c>
      <c r="I10" s="8">
        <f>IFERROR(('Q5 Actual'!F12-'Q5 Actual'!F11)/'Q5 Actual'!F11*100,"NA")</f>
        <v>0</v>
      </c>
      <c r="J10" s="8">
        <f>IFERROR(('Q5 Actual'!G12-'Q5 Actual'!G11)/'Q5 Actual'!G11*100,"NA")</f>
        <v>0</v>
      </c>
      <c r="K10" s="8">
        <f>IFERROR(('Q5 Actual'!H12-'Q5 Actual'!H11)/'Q5 Actual'!H11*100,"NA")</f>
        <v>0</v>
      </c>
      <c r="L10" s="8">
        <f>IFERROR(('Q5 Actual'!I12-'Q5 Actual'!I11)/'Q5 Actual'!I11*100,"NA")</f>
        <v>0</v>
      </c>
      <c r="M10" s="8">
        <f>IFERROR(('Q5 Actual'!J12-'Q5 Actual'!J11)/'Q5 Actual'!J11*100,"NA")</f>
        <v>-6.3775510204096136E-2</v>
      </c>
      <c r="N10" s="8">
        <f>IFERROR(('Q5 Actual'!K12-'Q5 Actual'!K11)/'Q5 Actual'!K11*100,"NA")</f>
        <v>6.1652281134415995E-2</v>
      </c>
      <c r="O10" s="8">
        <f>IFERROR(('Q5 Actual'!L12-'Q5 Actual'!L11)/'Q5 Actual'!L11*100,"NA")</f>
        <v>0</v>
      </c>
      <c r="P10" s="8">
        <f>IFERROR(('Q5 Actual'!M12-'Q5 Actual'!M11)/'Q5 Actual'!M11*100,"NA")</f>
        <v>0</v>
      </c>
      <c r="Q10" s="8">
        <f>IFERROR(('Q5 Actual'!N12-'Q5 Actual'!N11)/'Q5 Actual'!N11*100,"NA")</f>
        <v>0</v>
      </c>
      <c r="R10" s="8">
        <f>IFERROR(('Q5 Actual'!O12-'Q5 Actual'!O11)/'Q5 Actual'!O11*100,"NA")</f>
        <v>0</v>
      </c>
      <c r="S10" s="8">
        <f>IFERROR(('Q5 Actual'!P12-'Q5 Actual'!P11)/'Q5 Actual'!P11*100,"NA")</f>
        <v>0</v>
      </c>
      <c r="T10" s="8">
        <f>IFERROR(('Q5 Actual'!Q12-'Q5 Actual'!Q11)/'Q5 Actual'!Q11*100,"NA")</f>
        <v>0</v>
      </c>
      <c r="U10" s="8">
        <f>IFERROR(('Q5 Actual'!R12-'Q5 Actual'!R11)/'Q5 Actual'!R11*100,"NA")</f>
        <v>6.0790273556227549E-2</v>
      </c>
      <c r="V10" s="8">
        <f>IFERROR(('Q5 Actual'!S12-'Q5 Actual'!S11)/'Q5 Actual'!S11*100,"NA")</f>
        <v>0</v>
      </c>
      <c r="W10" s="8">
        <f>IFERROR(('Q5 Actual'!T12-'Q5 Actual'!T11)/'Q5 Actual'!T11*100,"NA")</f>
        <v>6.1274509803935499E-2</v>
      </c>
      <c r="X10" s="8">
        <f>IFERROR(('Q5 Actual'!U12-'Q5 Actual'!U11)/'Q5 Actual'!U11*100,"NA")</f>
        <v>0</v>
      </c>
      <c r="Y10" s="8">
        <f>IFERROR(('Q5 Actual'!V12-'Q5 Actual'!V11)/'Q5 Actual'!V11*100,"NA")</f>
        <v>0</v>
      </c>
      <c r="Z10" s="8">
        <f>IFERROR(('Q5 Actual'!X12-'Q5 Actual'!X11)/'Q5 Actual'!X11*100,"NA")</f>
        <v>0</v>
      </c>
      <c r="AA10" s="8">
        <f>IFERROR(('Q5 Actual'!Y12-'Q5 Actual'!Y11)/'Q5 Actual'!Y11*100,"NA")</f>
        <v>0</v>
      </c>
      <c r="AB10" s="8">
        <f>IFERROR(('Q5 Actual'!AA12-'Q5 Actual'!AA11)/'Q5 Actual'!AA11*100,"NA")</f>
        <v>6.3451776649742594E-2</v>
      </c>
      <c r="AC10" s="8">
        <f>IFERROR(('Q5 Actual'!AB12-'Q5 Actual'!AB11)/'Q5 Actual'!AB11*100,"NA")</f>
        <v>-6.1050061050074926E-2</v>
      </c>
      <c r="AD10" s="8">
        <f>IFERROR(('Q5 Actual'!AC12-'Q5 Actual'!AC11)/'Q5 Actual'!AC11*100,"NA")</f>
        <v>0</v>
      </c>
      <c r="AE10" s="8">
        <f>IFERROR(('Q5 Actual'!AD12-'Q5 Actual'!AD11)/'Q5 Actual'!AD11*100,"NA")</f>
        <v>0</v>
      </c>
    </row>
    <row r="11" spans="1:31">
      <c r="A11" s="12" t="s">
        <v>34</v>
      </c>
      <c r="B11" s="12">
        <v>2021</v>
      </c>
      <c r="C11" s="12" t="s">
        <v>43</v>
      </c>
      <c r="D11" s="61">
        <v>44470</v>
      </c>
      <c r="E11" s="67">
        <v>14.09</v>
      </c>
      <c r="F11" s="8">
        <f>IFERROR(('Q5 Actual'!W13-'Q5 Actual'!W12)/'Q5 Actual'!W12*100,"NA")</f>
        <v>0.98400984009839754</v>
      </c>
      <c r="G11" s="8">
        <f>IFERROR(('Q5 Actual'!Z13-'Q5 Actual'!Z12)/'Q5 Actual'!Z12*100,"NA")</f>
        <v>1.1038961038960964</v>
      </c>
      <c r="H11" s="8">
        <f>IFERROR(('Q5 Actual'!E13-'Q5 Actual'!E12)/'Q5 Actual'!E12*100,"NA")</f>
        <v>0.54570259208732019</v>
      </c>
      <c r="I11" s="8">
        <f>IFERROR(('Q5 Actual'!F13-'Q5 Actual'!F12)/'Q5 Actual'!F12*100,"NA")</f>
        <v>0.29411764705882076</v>
      </c>
      <c r="J11" s="8">
        <f>IFERROR(('Q5 Actual'!G13-'Q5 Actual'!G12)/'Q5 Actual'!G12*100,"NA")</f>
        <v>-0.92592592592593903</v>
      </c>
      <c r="K11" s="8">
        <f>IFERROR(('Q5 Actual'!H13-'Q5 Actual'!H12)/'Q5 Actual'!H12*100,"NA")</f>
        <v>0.18939393939392862</v>
      </c>
      <c r="L11" s="8">
        <f>IFERROR(('Q5 Actual'!I13-'Q5 Actual'!I12)/'Q5 Actual'!I12*100,"NA")</f>
        <v>1.3829787234042523</v>
      </c>
      <c r="M11" s="8">
        <f>IFERROR(('Q5 Actual'!J13-'Q5 Actual'!J12)/'Q5 Actual'!J12*100,"NA")</f>
        <v>-0.63816209317166561</v>
      </c>
      <c r="N11" s="8">
        <f>IFERROR(('Q5 Actual'!K13-'Q5 Actual'!K12)/'Q5 Actual'!K12*100,"NA")</f>
        <v>14.171287738755389</v>
      </c>
      <c r="O11" s="8">
        <f>IFERROR(('Q5 Actual'!L13-'Q5 Actual'!L12)/'Q5 Actual'!L12*100,"NA")</f>
        <v>0.67032297379646211</v>
      </c>
      <c r="P11" s="8">
        <f>IFERROR(('Q5 Actual'!M13-'Q5 Actual'!M12)/'Q5 Actual'!M12*100,"NA")</f>
        <v>1.8379281537176297</v>
      </c>
      <c r="Q11" s="8">
        <f>IFERROR(('Q5 Actual'!N13-'Q5 Actual'!N12)/'Q5 Actual'!N12*100,"NA")</f>
        <v>0.29620853080568721</v>
      </c>
      <c r="R11" s="8">
        <f>IFERROR(('Q5 Actual'!O13-'Q5 Actual'!O12)/'Q5 Actual'!O12*100,"NA")</f>
        <v>0.30731407498463431</v>
      </c>
      <c r="S11" s="8">
        <f>IFERROR(('Q5 Actual'!P13-'Q5 Actual'!P12)/'Q5 Actual'!P12*100,"NA")</f>
        <v>0.4600345025876843</v>
      </c>
      <c r="T11" s="8">
        <f>IFERROR(('Q5 Actual'!Q13-'Q5 Actual'!Q12)/'Q5 Actual'!Q12*100,"NA")</f>
        <v>2.2560975609756029</v>
      </c>
      <c r="U11" s="8">
        <f>IFERROR(('Q5 Actual'!R13-'Q5 Actual'!R12)/'Q5 Actual'!R12*100,"NA")</f>
        <v>0.66828675577156404</v>
      </c>
      <c r="V11" s="8">
        <f>IFERROR(('Q5 Actual'!S13-'Q5 Actual'!S12)/'Q5 Actual'!S12*100,"NA")</f>
        <v>0.64391500321957496</v>
      </c>
      <c r="W11" s="8">
        <f>IFERROR(('Q5 Actual'!T13-'Q5 Actual'!T12)/'Q5 Actual'!T12*100,"NA")</f>
        <v>0.61236987140232702</v>
      </c>
      <c r="X11" s="8">
        <f>IFERROR(('Q5 Actual'!U13-'Q5 Actual'!U12)/'Q5 Actual'!U12*100,"NA")</f>
        <v>0.92535471930906854</v>
      </c>
      <c r="Y11" s="8">
        <f>IFERROR(('Q5 Actual'!V13-'Q5 Actual'!V12)/'Q5 Actual'!V12*100,"NA")</f>
        <v>0.57142857142857506</v>
      </c>
      <c r="Z11" s="8">
        <f>IFERROR(('Q5 Actual'!X13-'Q5 Actual'!X12)/'Q5 Actual'!X12*100,"NA")</f>
        <v>0.41567695961994572</v>
      </c>
      <c r="AA11" s="8">
        <f>IFERROR(('Q5 Actual'!Y13-'Q5 Actual'!Y12)/'Q5 Actual'!Y12*100,"NA")</f>
        <v>0.50000000000000711</v>
      </c>
      <c r="AB11" s="8">
        <f>IFERROR(('Q5 Actual'!AA13-'Q5 Actual'!AA12)/'Q5 Actual'!AA12*100,"NA")</f>
        <v>0.57070386810399865</v>
      </c>
      <c r="AC11" s="8">
        <f>IFERROR(('Q5 Actual'!AB13-'Q5 Actual'!AB12)/'Q5 Actual'!AB12*100,"NA")</f>
        <v>0.12217470983507457</v>
      </c>
      <c r="AD11" s="8">
        <f>IFERROR(('Q5 Actual'!AC13-'Q5 Actual'!AC12)/'Q5 Actual'!AC12*100,"NA")</f>
        <v>0.31233732431025213</v>
      </c>
      <c r="AE11" s="8">
        <f>IFERROR(('Q5 Actual'!AD13-'Q5 Actual'!AD12)/'Q5 Actual'!AD12*100,"NA")</f>
        <v>0.625</v>
      </c>
    </row>
    <row r="12" spans="1:31">
      <c r="A12" s="12" t="s">
        <v>34</v>
      </c>
      <c r="B12" s="12">
        <v>2021</v>
      </c>
      <c r="C12" s="12" t="s">
        <v>45</v>
      </c>
      <c r="D12" s="61">
        <v>44501</v>
      </c>
      <c r="E12" s="67">
        <v>-3.9800000000000004</v>
      </c>
      <c r="F12" s="8">
        <f>IFERROR(('Q5 Actual'!W14-'Q5 Actual'!W13)/'Q5 Actual'!W13*100,"NA")</f>
        <v>-0.18270401948841836</v>
      </c>
      <c r="G12" s="8">
        <f>IFERROR(('Q5 Actual'!Z14-'Q5 Actual'!Z13)/'Q5 Actual'!Z13*100,"NA")</f>
        <v>-0.57803468208091024</v>
      </c>
      <c r="H12" s="8">
        <f>IFERROR(('Q5 Actual'!E14-'Q5 Actual'!E13)/'Q5 Actual'!E13*100,"NA")</f>
        <v>0.54274084124829236</v>
      </c>
      <c r="I12" s="8">
        <f>IFERROR(('Q5 Actual'!F14-'Q5 Actual'!F13)/'Q5 Actual'!F13*100,"NA")</f>
        <v>-1.466275659824047</v>
      </c>
      <c r="J12" s="8">
        <f>IFERROR(('Q5 Actual'!G14-'Q5 Actual'!G13)/'Q5 Actual'!G13*100,"NA")</f>
        <v>1.0514018691588851</v>
      </c>
      <c r="K12" s="8">
        <f>IFERROR(('Q5 Actual'!H14-'Q5 Actual'!H13)/'Q5 Actual'!H13*100,"NA")</f>
        <v>0.37807183364840757</v>
      </c>
      <c r="L12" s="8">
        <f>IFERROR(('Q5 Actual'!I14-'Q5 Actual'!I13)/'Q5 Actual'!I13*100,"NA")</f>
        <v>-0.26232948583420779</v>
      </c>
      <c r="M12" s="8">
        <f>IFERROR(('Q5 Actual'!J14-'Q5 Actual'!J13)/'Q5 Actual'!J13*100,"NA")</f>
        <v>0.51380860629416281</v>
      </c>
      <c r="N12" s="8">
        <f>IFERROR(('Q5 Actual'!K14-'Q5 Actual'!K13)/'Q5 Actual'!K13*100,"NA")</f>
        <v>7.501349163518606</v>
      </c>
      <c r="O12" s="8">
        <f>IFERROR(('Q5 Actual'!L14-'Q5 Actual'!L13)/'Q5 Actual'!L13*100,"NA")</f>
        <v>6.0532687651345493E-2</v>
      </c>
      <c r="P12" s="8">
        <f>IFERROR(('Q5 Actual'!M14-'Q5 Actual'!M13)/'Q5 Actual'!M13*100,"NA")</f>
        <v>0.41017227235438886</v>
      </c>
      <c r="Q12" s="8">
        <f>IFERROR(('Q5 Actual'!N14-'Q5 Actual'!N13)/'Q5 Actual'!N13*100,"NA")</f>
        <v>0.17720023626697159</v>
      </c>
      <c r="R12" s="8">
        <f>IFERROR(('Q5 Actual'!O14-'Q5 Actual'!O13)/'Q5 Actual'!O13*100,"NA")</f>
        <v>0.30637254901960786</v>
      </c>
      <c r="S12" s="8">
        <f>IFERROR(('Q5 Actual'!P14-'Q5 Actual'!P13)/'Q5 Actual'!P13*100,"NA")</f>
        <v>0.45792787635947996</v>
      </c>
      <c r="T12" s="8">
        <f>IFERROR(('Q5 Actual'!Q14-'Q5 Actual'!Q13)/'Q5 Actual'!Q13*100,"NA")</f>
        <v>1.1926058437686344</v>
      </c>
      <c r="U12" s="8">
        <f>IFERROR(('Q5 Actual'!R14-'Q5 Actual'!R13)/'Q5 Actual'!R13*100,"NA")</f>
        <v>0.9052504526252263</v>
      </c>
      <c r="V12" s="8">
        <f>IFERROR(('Q5 Actual'!S14-'Q5 Actual'!S13)/'Q5 Actual'!S13*100,"NA")</f>
        <v>0.70377479206653504</v>
      </c>
      <c r="W12" s="8">
        <f>IFERROR(('Q5 Actual'!T14-'Q5 Actual'!T13)/'Q5 Actual'!T13*100,"NA")</f>
        <v>0.91296409007912349</v>
      </c>
      <c r="X12" s="8">
        <f>IFERROR(('Q5 Actual'!U14-'Q5 Actual'!U13)/'Q5 Actual'!U13*100,"NA")</f>
        <v>0.36674816625916523</v>
      </c>
      <c r="Y12" s="8">
        <f>IFERROR(('Q5 Actual'!V14-'Q5 Actual'!V13)/'Q5 Actual'!V13*100,"NA")</f>
        <v>0.56818181818182178</v>
      </c>
      <c r="Z12" s="8">
        <f>IFERROR(('Q5 Actual'!X14-'Q5 Actual'!X13)/'Q5 Actual'!X13*100,"NA")</f>
        <v>0.47309284447073408</v>
      </c>
      <c r="AA12" s="8">
        <f>IFERROR(('Q5 Actual'!Y14-'Q5 Actual'!Y13)/'Q5 Actual'!Y13*100,"NA")</f>
        <v>0.87064676616914005</v>
      </c>
      <c r="AB12" s="8">
        <f>IFERROR(('Q5 Actual'!AA14-'Q5 Actual'!AA13)/'Q5 Actual'!AA13*100,"NA")</f>
        <v>0.75662042875158708</v>
      </c>
      <c r="AC12" s="8">
        <f>IFERROR(('Q5 Actual'!AB14-'Q5 Actual'!AB13)/'Q5 Actual'!AB13*100,"NA")</f>
        <v>0.24405125076266362</v>
      </c>
      <c r="AD12" s="8">
        <f>IFERROR(('Q5 Actual'!AC14-'Q5 Actual'!AC13)/'Q5 Actual'!AC13*100,"NA")</f>
        <v>0.10378827192528131</v>
      </c>
      <c r="AE12" s="8">
        <f>IFERROR(('Q5 Actual'!AD14-'Q5 Actual'!AD13)/'Q5 Actual'!AD13*100,"NA")</f>
        <v>0.24844720496894762</v>
      </c>
    </row>
    <row r="13" spans="1:31">
      <c r="A13" s="12" t="s">
        <v>34</v>
      </c>
      <c r="B13" s="12">
        <v>2021</v>
      </c>
      <c r="C13" s="12" t="s">
        <v>46</v>
      </c>
      <c r="D13" s="61">
        <v>44531</v>
      </c>
      <c r="E13" s="67">
        <v>-6.69</v>
      </c>
      <c r="F13" s="8">
        <f>IFERROR(('Q5 Actual'!W15-'Q5 Actual'!W14)/'Q5 Actual'!W14*100,"NA")</f>
        <v>0.12202562538132314</v>
      </c>
      <c r="G13" s="8">
        <f>IFERROR(('Q5 Actual'!Z15-'Q5 Actual'!Z14)/'Q5 Actual'!Z14*100,"NA")</f>
        <v>0.58139534883719457</v>
      </c>
      <c r="H13" s="8">
        <f>IFERROR(('Q5 Actual'!E15-'Q5 Actual'!E14)/'Q5 Actual'!E14*100,"NA")</f>
        <v>0.33738191632928477</v>
      </c>
      <c r="I13" s="8">
        <f>IFERROR(('Q5 Actual'!F15-'Q5 Actual'!F14)/'Q5 Actual'!F14*100,"NA")</f>
        <v>-1.3888888888888804</v>
      </c>
      <c r="J13" s="8">
        <f>IFERROR(('Q5 Actual'!G15-'Q5 Actual'!G14)/'Q5 Actual'!G14*100,"NA")</f>
        <v>2.8323699421965354</v>
      </c>
      <c r="K13" s="8">
        <f>IFERROR(('Q5 Actual'!H15-'Q5 Actual'!H14)/'Q5 Actual'!H14*100,"NA")</f>
        <v>0.3766478342749493</v>
      </c>
      <c r="L13" s="8">
        <f>IFERROR(('Q5 Actual'!I15-'Q5 Actual'!I14)/'Q5 Actual'!I14*100,"NA")</f>
        <v>-1.3150973172014728</v>
      </c>
      <c r="M13" s="8">
        <f>IFERROR(('Q5 Actual'!J15-'Q5 Actual'!J14)/'Q5 Actual'!J14*100,"NA")</f>
        <v>-1.0223642172523926</v>
      </c>
      <c r="N13" s="8">
        <f>IFERROR(('Q5 Actual'!K15-'Q5 Actual'!K14)/'Q5 Actual'!K14*100,"NA")</f>
        <v>-5.4718875502007922</v>
      </c>
      <c r="O13" s="8">
        <f>IFERROR(('Q5 Actual'!L15-'Q5 Actual'!L14)/'Q5 Actual'!L14*100,"NA")</f>
        <v>-0.54446460980036637</v>
      </c>
      <c r="P13" s="8">
        <f>IFERROR(('Q5 Actual'!M15-'Q5 Actual'!M14)/'Q5 Actual'!M14*100,"NA")</f>
        <v>-1.1437908496732072</v>
      </c>
      <c r="Q13" s="8">
        <f>IFERROR(('Q5 Actual'!N15-'Q5 Actual'!N14)/'Q5 Actual'!N14*100,"NA")</f>
        <v>0.53066037735849392</v>
      </c>
      <c r="R13" s="8">
        <f>IFERROR(('Q5 Actual'!O15-'Q5 Actual'!O14)/'Q5 Actual'!O14*100,"NA")</f>
        <v>0.30543677458766039</v>
      </c>
      <c r="S13" s="8">
        <f>IFERROR(('Q5 Actual'!P15-'Q5 Actual'!P14)/'Q5 Actual'!P14*100,"NA")</f>
        <v>0.56980056980056981</v>
      </c>
      <c r="T13" s="8">
        <f>IFERROR(('Q5 Actual'!Q15-'Q5 Actual'!Q14)/'Q5 Actual'!Q14*100,"NA")</f>
        <v>-0.8839127872716559</v>
      </c>
      <c r="U13" s="8">
        <f>IFERROR(('Q5 Actual'!R15-'Q5 Actual'!R14)/'Q5 Actual'!R14*100,"NA")</f>
        <v>0.77751196172249482</v>
      </c>
      <c r="V13" s="8">
        <f>IFERROR(('Q5 Actual'!S15-'Q5 Actual'!S14)/'Q5 Actual'!S14*100,"NA")</f>
        <v>0.82592121982209854</v>
      </c>
      <c r="W13" s="8">
        <f>IFERROR(('Q5 Actual'!T15-'Q5 Actual'!T14)/'Q5 Actual'!T14*100,"NA")</f>
        <v>0.72376357056694118</v>
      </c>
      <c r="X13" s="8">
        <f>IFERROR(('Q5 Actual'!U15-'Q5 Actual'!U14)/'Q5 Actual'!U14*100,"NA")</f>
        <v>-0.48721071863579962</v>
      </c>
      <c r="Y13" s="8">
        <f>IFERROR(('Q5 Actual'!V15-'Q5 Actual'!V14)/'Q5 Actual'!V14*100,"NA")</f>
        <v>0.56497175141241507</v>
      </c>
      <c r="Z13" s="8">
        <f>IFERROR(('Q5 Actual'!X15-'Q5 Actual'!X14)/'Q5 Actual'!X14*100,"NA")</f>
        <v>0.41200706297821577</v>
      </c>
      <c r="AA13" s="8">
        <f>IFERROR(('Q5 Actual'!Y15-'Q5 Actual'!Y14)/'Q5 Actual'!Y14*100,"NA")</f>
        <v>0.24660912453761141</v>
      </c>
      <c r="AB13" s="8">
        <f>IFERROR(('Q5 Actual'!AA15-'Q5 Actual'!AA14)/'Q5 Actual'!AA14*100,"NA")</f>
        <v>0.50062578222777399</v>
      </c>
      <c r="AC13" s="8">
        <f>IFERROR(('Q5 Actual'!AB15-'Q5 Actual'!AB14)/'Q5 Actual'!AB14*100,"NA")</f>
        <v>6.0864272671938099E-2</v>
      </c>
      <c r="AD13" s="8">
        <f>IFERROR(('Q5 Actual'!AC15-'Q5 Actual'!AC14)/'Q5 Actual'!AC14*100,"NA")</f>
        <v>-0.25920165889061691</v>
      </c>
      <c r="AE13" s="8">
        <f>IFERROR(('Q5 Actual'!AD15-'Q5 Actual'!AD14)/'Q5 Actual'!AD14*100,"NA")</f>
        <v>0.37174721189590726</v>
      </c>
    </row>
    <row r="14" spans="1:31">
      <c r="A14" s="12" t="s">
        <v>34</v>
      </c>
      <c r="B14" s="12">
        <v>2022</v>
      </c>
      <c r="C14" s="12" t="s">
        <v>31</v>
      </c>
      <c r="D14" s="61">
        <v>44562</v>
      </c>
      <c r="E14" s="67">
        <v>13.44</v>
      </c>
      <c r="F14" s="8">
        <f>IFERROR(('Q5 Actual'!W16-'Q5 Actual'!W15)/'Q5 Actual'!W15*100,"NA")</f>
        <v>6.0938452163311584E-2</v>
      </c>
      <c r="G14" s="8">
        <f>IFERROR(('Q5 Actual'!Z16-'Q5 Actual'!Z15)/'Q5 Actual'!Z15*100,"NA")</f>
        <v>0.51380860629416281</v>
      </c>
      <c r="H14" s="8">
        <f>IFERROR(('Q5 Actual'!E16-'Q5 Actual'!E15)/'Q5 Actual'!E15*100,"NA")</f>
        <v>0.53799596503027003</v>
      </c>
      <c r="I14" s="8">
        <f>IFERROR(('Q5 Actual'!F16-'Q5 Actual'!F15)/'Q5 Actual'!F15*100,"NA")</f>
        <v>-5.0301810865202579E-2</v>
      </c>
      <c r="J14" s="8">
        <f>IFERROR(('Q5 Actual'!G16-'Q5 Actual'!G15)/'Q5 Actual'!G15*100,"NA")</f>
        <v>0.50590219224283628</v>
      </c>
      <c r="K14" s="8">
        <f>IFERROR(('Q5 Actual'!H16-'Q5 Actual'!H15)/'Q5 Actual'!H15*100,"NA")</f>
        <v>0.37523452157598142</v>
      </c>
      <c r="L14" s="8">
        <f>IFERROR(('Q5 Actual'!I16-'Q5 Actual'!I15)/'Q5 Actual'!I15*100,"NA")</f>
        <v>-1.5458422174840116</v>
      </c>
      <c r="M14" s="8">
        <f>IFERROR(('Q5 Actual'!J16-'Q5 Actual'!J15)/'Q5 Actual'!J15*100,"NA")</f>
        <v>-0.7746933505487521</v>
      </c>
      <c r="N14" s="8">
        <f>IFERROR(('Q5 Actual'!K16-'Q5 Actual'!K15)/'Q5 Actual'!K15*100,"NA")</f>
        <v>-7.4349442379182147</v>
      </c>
      <c r="O14" s="8">
        <f>IFERROR(('Q5 Actual'!L16-'Q5 Actual'!L15)/'Q5 Actual'!L15*100,"NA")</f>
        <v>-0.30413625304136249</v>
      </c>
      <c r="P14" s="8">
        <f>IFERROR(('Q5 Actual'!M16-'Q5 Actual'!M15)/'Q5 Actual'!M15*100,"NA")</f>
        <v>-0.82644628099173556</v>
      </c>
      <c r="Q14" s="8">
        <f>IFERROR(('Q5 Actual'!N16-'Q5 Actual'!N15)/'Q5 Actual'!N15*100,"NA")</f>
        <v>0.93841642228738675</v>
      </c>
      <c r="R14" s="8">
        <f>IFERROR(('Q5 Actual'!O16-'Q5 Actual'!O15)/'Q5 Actual'!O15*100,"NA")</f>
        <v>6.09013398294901E-2</v>
      </c>
      <c r="S14" s="8">
        <f>IFERROR(('Q5 Actual'!P16-'Q5 Actual'!P15)/'Q5 Actual'!P15*100,"NA")</f>
        <v>0.4532577903682784</v>
      </c>
      <c r="T14" s="8">
        <f>IFERROR(('Q5 Actual'!Q16-'Q5 Actual'!Q15)/'Q5 Actual'!Q15*100,"NA")</f>
        <v>-1.070154577883462</v>
      </c>
      <c r="U14" s="8">
        <f>IFERROR(('Q5 Actual'!R16-'Q5 Actual'!R15)/'Q5 Actual'!R15*100,"NA")</f>
        <v>0.83086053412463245</v>
      </c>
      <c r="V14" s="8">
        <f>IFERROR(('Q5 Actual'!S16-'Q5 Actual'!S15)/'Q5 Actual'!S15*100,"NA")</f>
        <v>1.2602394454946442</v>
      </c>
      <c r="W14" s="8">
        <f>IFERROR(('Q5 Actual'!T16-'Q5 Actual'!T15)/'Q5 Actual'!T15*100,"NA")</f>
        <v>0.89820359281437123</v>
      </c>
      <c r="X14" s="8">
        <f>IFERROR(('Q5 Actual'!U16-'Q5 Actual'!U15)/'Q5 Actual'!U15*100,"NA")</f>
        <v>0.67319461444308093</v>
      </c>
      <c r="Y14" s="8">
        <f>IFERROR(('Q5 Actual'!V16-'Q5 Actual'!V15)/'Q5 Actual'!V15*100,"NA")</f>
        <v>0.56179775280899236</v>
      </c>
      <c r="Z14" s="8">
        <f>IFERROR(('Q5 Actual'!X16-'Q5 Actual'!X15)/'Q5 Actual'!X15*100,"NA")</f>
        <v>0.46893317702228099</v>
      </c>
      <c r="AA14" s="8">
        <f>IFERROR(('Q5 Actual'!Y16-'Q5 Actual'!Y15)/'Q5 Actual'!Y15*100,"NA")</f>
        <v>0.24600246002460377</v>
      </c>
      <c r="AB14" s="8">
        <f>IFERROR(('Q5 Actual'!AA16-'Q5 Actual'!AA15)/'Q5 Actual'!AA15*100,"NA")</f>
        <v>0.37359900373598648</v>
      </c>
      <c r="AC14" s="8">
        <f>IFERROR(('Q5 Actual'!AB16-'Q5 Actual'!AB15)/'Q5 Actual'!AB15*100,"NA")</f>
        <v>0.18248175182480714</v>
      </c>
      <c r="AD14" s="8">
        <f>IFERROR(('Q5 Actual'!AC16-'Q5 Actual'!AC15)/'Q5 Actual'!AC15*100,"NA")</f>
        <v>-0.10395010395011281</v>
      </c>
      <c r="AE14" s="8">
        <f>IFERROR(('Q5 Actual'!AD16-'Q5 Actual'!AD15)/'Q5 Actual'!AD15*100,"NA")</f>
        <v>0.4320987654320918</v>
      </c>
    </row>
    <row r="15" spans="1:31">
      <c r="A15" s="12" t="s">
        <v>34</v>
      </c>
      <c r="B15" s="12">
        <v>2022</v>
      </c>
      <c r="C15" s="12" t="s">
        <v>35</v>
      </c>
      <c r="D15" s="61">
        <v>44593</v>
      </c>
      <c r="E15" s="67">
        <v>12.839999999999998</v>
      </c>
      <c r="F15" s="8">
        <f>IFERROR(('Q5 Actual'!W17-'Q5 Actual'!W16)/'Q5 Actual'!W16*100,"NA")</f>
        <v>0.91352009744214369</v>
      </c>
      <c r="G15" s="8">
        <f>IFERROR(('Q5 Actual'!Z17-'Q5 Actual'!Z16)/'Q5 Actual'!Z16*100,"NA")</f>
        <v>0.25559105431310269</v>
      </c>
      <c r="H15" s="8">
        <f>IFERROR(('Q5 Actual'!E17-'Q5 Actual'!E16)/'Q5 Actual'!E16*100,"NA")</f>
        <v>0.33444816053511706</v>
      </c>
      <c r="I15" s="8">
        <f>IFERROR(('Q5 Actual'!F17-'Q5 Actual'!F16)/'Q5 Actual'!F16*100,"NA")</f>
        <v>0.95621540010065709</v>
      </c>
      <c r="J15" s="8">
        <f>IFERROR(('Q5 Actual'!G17-'Q5 Actual'!G16)/'Q5 Actual'!G16*100,"NA")</f>
        <v>-1.6778523489932886</v>
      </c>
      <c r="K15" s="8">
        <f>IFERROR(('Q5 Actual'!H17-'Q5 Actual'!H16)/'Q5 Actual'!H16*100,"NA")</f>
        <v>0.12461059190030443</v>
      </c>
      <c r="L15" s="8">
        <f>IFERROR(('Q5 Actual'!I17-'Q5 Actual'!I16)/'Q5 Actual'!I16*100,"NA")</f>
        <v>0.1082837033026622</v>
      </c>
      <c r="M15" s="8">
        <f>IFERROR(('Q5 Actual'!J17-'Q5 Actual'!J16)/'Q5 Actual'!J16*100,"NA")</f>
        <v>0</v>
      </c>
      <c r="N15" s="8">
        <f>IFERROR(('Q5 Actual'!K17-'Q5 Actual'!K16)/'Q5 Actual'!K16*100,"NA")</f>
        <v>-2.6391279403327728</v>
      </c>
      <c r="O15" s="8">
        <f>IFERROR(('Q5 Actual'!L17-'Q5 Actual'!L16)/'Q5 Actual'!L16*100,"NA")</f>
        <v>-0.12202562538134049</v>
      </c>
      <c r="P15" s="8">
        <f>IFERROR(('Q5 Actual'!M17-'Q5 Actual'!M16)/'Q5 Actual'!M16*100,"NA")</f>
        <v>-0.91666666666666197</v>
      </c>
      <c r="Q15" s="8">
        <f>IFERROR(('Q5 Actual'!N17-'Q5 Actual'!N16)/'Q5 Actual'!N16*100,"NA")</f>
        <v>1.2783265543288884</v>
      </c>
      <c r="R15" s="8">
        <f>IFERROR(('Q5 Actual'!O17-'Q5 Actual'!O16)/'Q5 Actual'!O16*100,"NA")</f>
        <v>0.2434570906877524</v>
      </c>
      <c r="S15" s="8">
        <f>IFERROR(('Q5 Actual'!P17-'Q5 Actual'!P16)/'Q5 Actual'!P16*100,"NA")</f>
        <v>0.39481105470952538</v>
      </c>
      <c r="T15" s="8">
        <f>IFERROR(('Q5 Actual'!Q17-'Q5 Actual'!Q16)/'Q5 Actual'!Q16*100,"NA")</f>
        <v>-0.12019230769231794</v>
      </c>
      <c r="U15" s="8">
        <f>IFERROR(('Q5 Actual'!R17-'Q5 Actual'!R16)/'Q5 Actual'!R16*100,"NA")</f>
        <v>0.52972336668628939</v>
      </c>
      <c r="V15" s="8">
        <f>IFERROR(('Q5 Actual'!S17-'Q5 Actual'!S16)/'Q5 Actual'!S16*100,"NA")</f>
        <v>1.0578718108276397</v>
      </c>
      <c r="W15" s="8">
        <f>IFERROR(('Q5 Actual'!T17-'Q5 Actual'!T16)/'Q5 Actual'!T16*100,"NA")</f>
        <v>0.65281899109791952</v>
      </c>
      <c r="X15" s="8">
        <f>IFERROR(('Q5 Actual'!U17-'Q5 Actual'!U16)/'Q5 Actual'!U16*100,"NA")</f>
        <v>0.60790273556231</v>
      </c>
      <c r="Y15" s="8">
        <f>IFERROR(('Q5 Actual'!V17-'Q5 Actual'!V16)/'Q5 Actual'!V16*100,"NA")</f>
        <v>0.43451272501552896</v>
      </c>
      <c r="Z15" s="8">
        <f>IFERROR(('Q5 Actual'!X17-'Q5 Actual'!X16)/'Q5 Actual'!X16*100,"NA")</f>
        <v>0.46674445740955833</v>
      </c>
      <c r="AA15" s="8">
        <f>IFERROR(('Q5 Actual'!Y17-'Q5 Actual'!Y16)/'Q5 Actual'!Y16*100,"NA")</f>
        <v>0.85889570552147598</v>
      </c>
      <c r="AB15" s="8">
        <f>IFERROR(('Q5 Actual'!AA17-'Q5 Actual'!AA16)/'Q5 Actual'!AA16*100,"NA")</f>
        <v>0.55831265508685213</v>
      </c>
      <c r="AC15" s="8">
        <f>IFERROR(('Q5 Actual'!AB17-'Q5 Actual'!AB16)/'Q5 Actual'!AB16*100,"NA")</f>
        <v>0.42501517911355013</v>
      </c>
      <c r="AD15" s="8">
        <f>IFERROR(('Q5 Actual'!AC17-'Q5 Actual'!AC16)/'Q5 Actual'!AC16*100,"NA")</f>
        <v>0.31217481789803475</v>
      </c>
      <c r="AE15" s="8">
        <f>IFERROR(('Q5 Actual'!AD17-'Q5 Actual'!AD16)/'Q5 Actual'!AD16*100,"NA")</f>
        <v>0.49170251997542186</v>
      </c>
    </row>
    <row r="16" spans="1:31">
      <c r="A16" s="12" t="s">
        <v>34</v>
      </c>
      <c r="B16" s="12">
        <v>2022</v>
      </c>
      <c r="C16" s="12" t="s">
        <v>36</v>
      </c>
      <c r="D16" s="61">
        <v>44621</v>
      </c>
      <c r="E16" s="67">
        <v>22.66</v>
      </c>
      <c r="F16" s="8">
        <f>IFERROR(('Q5 Actual'!W18-'Q5 Actual'!W17)/'Q5 Actual'!W17*100,"NA")</f>
        <v>0.9052504526252263</v>
      </c>
      <c r="G16" s="8">
        <f>IFERROR(('Q5 Actual'!Z18-'Q5 Actual'!Z17)/'Q5 Actual'!Z17*100,"NA")</f>
        <v>0.63734862970044615</v>
      </c>
      <c r="H16" s="8">
        <f>IFERROR(('Q5 Actual'!E18-'Q5 Actual'!E17)/'Q5 Actual'!E17*100,"NA")</f>
        <v>0.86666666666667425</v>
      </c>
      <c r="I16" s="8">
        <f>IFERROR(('Q5 Actual'!F18-'Q5 Actual'!F17)/'Q5 Actual'!F17*100,"NA")</f>
        <v>5.0348953140578239</v>
      </c>
      <c r="J16" s="8">
        <f>IFERROR(('Q5 Actual'!G18-'Q5 Actual'!G17)/'Q5 Actual'!G17*100,"NA")</f>
        <v>-4.5506257110352673</v>
      </c>
      <c r="K16" s="8">
        <f>IFERROR(('Q5 Actual'!H18-'Q5 Actual'!H17)/'Q5 Actual'!H17*100,"NA")</f>
        <v>0.93341630367143757</v>
      </c>
      <c r="L16" s="8">
        <f>IFERROR(('Q5 Actual'!I18-'Q5 Actual'!I17)/'Q5 Actual'!I17*100,"NA")</f>
        <v>5.2460789616008592</v>
      </c>
      <c r="M16" s="8">
        <f>IFERROR(('Q5 Actual'!J18-'Q5 Actual'!J17)/'Q5 Actual'!J17*100,"NA")</f>
        <v>2.5374105400130165</v>
      </c>
      <c r="N16" s="8">
        <f>IFERROR(('Q5 Actual'!K18-'Q5 Actual'!K17)/'Q5 Actual'!K17*100,"NA")</f>
        <v>-1.6499705362404145</v>
      </c>
      <c r="O16" s="8">
        <f>IFERROR(('Q5 Actual'!L18-'Q5 Actual'!L17)/'Q5 Actual'!L17*100,"NA")</f>
        <v>0.12217470983507457</v>
      </c>
      <c r="P16" s="8">
        <f>IFERROR(('Q5 Actual'!M18-'Q5 Actual'!M17)/'Q5 Actual'!M17*100,"NA")</f>
        <v>-8.4104289318762418E-2</v>
      </c>
      <c r="Q16" s="8">
        <f>IFERROR(('Q5 Actual'!N18-'Q5 Actual'!N17)/'Q5 Actual'!N17*100,"NA")</f>
        <v>1.7785427423981606</v>
      </c>
      <c r="R16" s="8">
        <f>IFERROR(('Q5 Actual'!O18-'Q5 Actual'!O17)/'Q5 Actual'!O17*100,"NA")</f>
        <v>0.36429872495447652</v>
      </c>
      <c r="S16" s="8">
        <f>IFERROR(('Q5 Actual'!P18-'Q5 Actual'!P17)/'Q5 Actual'!P17*100,"NA")</f>
        <v>0.73033707865169173</v>
      </c>
      <c r="T16" s="8">
        <f>IFERROR(('Q5 Actual'!Q18-'Q5 Actual'!Q17)/'Q5 Actual'!Q17*100,"NA")</f>
        <v>1.3237063778580127</v>
      </c>
      <c r="U16" s="8">
        <f>IFERROR(('Q5 Actual'!R18-'Q5 Actual'!R17)/'Q5 Actual'!R17*100,"NA")</f>
        <v>0.76112412177984945</v>
      </c>
      <c r="V16" s="8">
        <f>IFERROR(('Q5 Actual'!S18-'Q5 Actual'!S17)/'Q5 Actual'!S17*100,"NA")</f>
        <v>1.3546798029556579</v>
      </c>
      <c r="W16" s="8">
        <f>IFERROR(('Q5 Actual'!T18-'Q5 Actual'!T17)/'Q5 Actual'!T17*100,"NA")</f>
        <v>0.88443396226415094</v>
      </c>
      <c r="X16" s="8">
        <f>IFERROR(('Q5 Actual'!U18-'Q5 Actual'!U17)/'Q5 Actual'!U17*100,"NA")</f>
        <v>-0.12084592145014418</v>
      </c>
      <c r="Y16" s="8">
        <f>IFERROR(('Q5 Actual'!V18-'Q5 Actual'!V17)/'Q5 Actual'!V17*100,"NA")</f>
        <v>0.61804697156983934</v>
      </c>
      <c r="Z16" s="8">
        <f>IFERROR(('Q5 Actual'!X18-'Q5 Actual'!X17)/'Q5 Actual'!X17*100,"NA")</f>
        <v>0.46457607433217851</v>
      </c>
      <c r="AA16" s="8">
        <f>IFERROR(('Q5 Actual'!Y18-'Q5 Actual'!Y17)/'Q5 Actual'!Y17*100,"NA")</f>
        <v>1.7031630170316197</v>
      </c>
      <c r="AB16" s="8">
        <f>IFERROR(('Q5 Actual'!AA18-'Q5 Actual'!AA17)/'Q5 Actual'!AA17*100,"NA")</f>
        <v>0.74028377544726531</v>
      </c>
      <c r="AC16" s="8">
        <f>IFERROR(('Q5 Actual'!AB18-'Q5 Actual'!AB17)/'Q5 Actual'!AB17*100,"NA")</f>
        <v>0.36275695284159265</v>
      </c>
      <c r="AD16" s="8">
        <f>IFERROR(('Q5 Actual'!AC18-'Q5 Actual'!AC17)/'Q5 Actual'!AC17*100,"NA")</f>
        <v>0.46680497925310022</v>
      </c>
      <c r="AE16" s="8">
        <f>IFERROR(('Q5 Actual'!AD18-'Q5 Actual'!AD17)/'Q5 Actual'!AD17*100,"NA")</f>
        <v>0.67278287461773356</v>
      </c>
    </row>
    <row r="17" spans="1:31">
      <c r="A17" s="12" t="s">
        <v>34</v>
      </c>
      <c r="B17" s="12">
        <v>2022</v>
      </c>
      <c r="C17" s="12" t="s">
        <v>37</v>
      </c>
      <c r="D17" s="61">
        <v>44652</v>
      </c>
      <c r="E17" s="67">
        <v>-8.5599999999999987</v>
      </c>
      <c r="F17" s="8">
        <f>IFERROR(('Q5 Actual'!W19-'Q5 Actual'!W18)/'Q5 Actual'!W18*100,"NA")</f>
        <v>2.9904306220095696</v>
      </c>
      <c r="G17" s="8">
        <f>IFERROR(('Q5 Actual'!Z19-'Q5 Actual'!Z18)/'Q5 Actual'!Z18*100,"NA")</f>
        <v>2.9765674477517345</v>
      </c>
      <c r="H17" s="8">
        <f>IFERROR(('Q5 Actual'!E19-'Q5 Actual'!E18)/'Q5 Actual'!E18*100,"NA")</f>
        <v>1.0575016523463279</v>
      </c>
      <c r="I17" s="8">
        <f>IFERROR(('Q5 Actual'!F19-'Q5 Actual'!F18)/'Q5 Actual'!F18*100,"NA")</f>
        <v>0.52206929283342318</v>
      </c>
      <c r="J17" s="8">
        <f>IFERROR(('Q5 Actual'!G19-'Q5 Actual'!G18)/'Q5 Actual'!G18*100,"NA")</f>
        <v>-1.9666269368295657</v>
      </c>
      <c r="K17" s="8">
        <f>IFERROR(('Q5 Actual'!H19-'Q5 Actual'!H18)/'Q5 Actual'!H18*100,"NA")</f>
        <v>1.0480887792848441</v>
      </c>
      <c r="L17" s="8">
        <f>IFERROR(('Q5 Actual'!I19-'Q5 Actual'!I18)/'Q5 Actual'!I18*100,"NA")</f>
        <v>2.5179856115107944</v>
      </c>
      <c r="M17" s="8">
        <f>IFERROR(('Q5 Actual'!J19-'Q5 Actual'!J18)/'Q5 Actual'!J18*100,"NA")</f>
        <v>9.5177664974619294</v>
      </c>
      <c r="N17" s="8">
        <f>IFERROR(('Q5 Actual'!K19-'Q5 Actual'!K18)/'Q5 Actual'!K18*100,"NA")</f>
        <v>-0.41941282204914143</v>
      </c>
      <c r="O17" s="8">
        <f>IFERROR(('Q5 Actual'!L19-'Q5 Actual'!L18)/'Q5 Actual'!L18*100,"NA")</f>
        <v>0.48810250152530987</v>
      </c>
      <c r="P17" s="8">
        <f>IFERROR(('Q5 Actual'!M19-'Q5 Actual'!M18)/'Q5 Actual'!M18*100,"NA")</f>
        <v>0.16835016835017075</v>
      </c>
      <c r="Q17" s="8">
        <f>IFERROR(('Q5 Actual'!N19-'Q5 Actual'!N18)/'Q5 Actual'!N18*100,"NA")</f>
        <v>2.1984216459977484</v>
      </c>
      <c r="R17" s="8">
        <f>IFERROR(('Q5 Actual'!O19-'Q5 Actual'!O18)/'Q5 Actual'!O18*100,"NA")</f>
        <v>0.54446460980034916</v>
      </c>
      <c r="S17" s="8">
        <f>IFERROR(('Q5 Actual'!P19-'Q5 Actual'!P18)/'Q5 Actual'!P18*100,"NA")</f>
        <v>0.89235917456776026</v>
      </c>
      <c r="T17" s="8">
        <f>IFERROR(('Q5 Actual'!Q19-'Q5 Actual'!Q18)/'Q5 Actual'!Q18*100,"NA")</f>
        <v>1.425178147268412</v>
      </c>
      <c r="U17" s="8">
        <f>IFERROR(('Q5 Actual'!R19-'Q5 Actual'!R18)/'Q5 Actual'!R18*100,"NA")</f>
        <v>1.0459035444509073</v>
      </c>
      <c r="V17" s="8">
        <f>IFERROR(('Q5 Actual'!S19-'Q5 Actual'!S18)/'Q5 Actual'!S18*100,"NA")</f>
        <v>1.1543134872418017</v>
      </c>
      <c r="W17" s="8">
        <f>IFERROR(('Q5 Actual'!T19-'Q5 Actual'!T18)/'Q5 Actual'!T18*100,"NA")</f>
        <v>0.9935710111046272</v>
      </c>
      <c r="X17" s="8">
        <f>IFERROR(('Q5 Actual'!U19-'Q5 Actual'!U18)/'Q5 Actual'!U18*100,"NA")</f>
        <v>1.0284331518451231</v>
      </c>
      <c r="Y17" s="8">
        <f>IFERROR(('Q5 Actual'!V19-'Q5 Actual'!V18)/'Q5 Actual'!V18*100,"NA")</f>
        <v>0.7371007371007301</v>
      </c>
      <c r="Z17" s="8">
        <f>IFERROR(('Q5 Actual'!X19-'Q5 Actual'!X18)/'Q5 Actual'!X18*100,"NA")</f>
        <v>0.57803468208092479</v>
      </c>
      <c r="AA17" s="8">
        <f>IFERROR(('Q5 Actual'!Y19-'Q5 Actual'!Y18)/'Q5 Actual'!Y18*100,"NA")</f>
        <v>0.95693779904307585</v>
      </c>
      <c r="AB17" s="8">
        <f>IFERROR(('Q5 Actual'!AA19-'Q5 Actual'!AA18)/'Q5 Actual'!AA18*100,"NA")</f>
        <v>0.6736068585425562</v>
      </c>
      <c r="AC17" s="8">
        <f>IFERROR(('Q5 Actual'!AB19-'Q5 Actual'!AB18)/'Q5 Actual'!AB18*100,"NA")</f>
        <v>0.54216867469879859</v>
      </c>
      <c r="AD17" s="8">
        <f>IFERROR(('Q5 Actual'!AC19-'Q5 Actual'!AC18)/'Q5 Actual'!AC18*100,"NA")</f>
        <v>0.10325245224574965</v>
      </c>
      <c r="AE17" s="8">
        <f>IFERROR(('Q5 Actual'!AD19-'Q5 Actual'!AD18)/'Q5 Actual'!AD18*100,"NA")</f>
        <v>1.3365735115431452</v>
      </c>
    </row>
    <row r="18" spans="1:31">
      <c r="A18" s="12" t="s">
        <v>34</v>
      </c>
      <c r="B18" s="12">
        <v>2022</v>
      </c>
      <c r="C18" s="12" t="s">
        <v>38</v>
      </c>
      <c r="D18" s="61">
        <v>44682</v>
      </c>
      <c r="E18" s="67">
        <v>7.8</v>
      </c>
      <c r="F18" s="8">
        <f>IFERROR(('Q5 Actual'!W20-'Q5 Actual'!W19)/'Q5 Actual'!W19*100,"NA")</f>
        <v>1.3937282229965191</v>
      </c>
      <c r="G18" s="8">
        <f>IFERROR(('Q5 Actual'!Z20-'Q5 Actual'!Z19)/'Q5 Actual'!Z19*100,"NA")</f>
        <v>0.24600246002460377</v>
      </c>
      <c r="H18" s="8">
        <f>IFERROR(('Q5 Actual'!E20-'Q5 Actual'!E19)/'Q5 Actual'!E19*100,"NA")</f>
        <v>0.7848266841072522</v>
      </c>
      <c r="I18" s="8">
        <f>IFERROR(('Q5 Actual'!F20-'Q5 Actual'!F19)/'Q5 Actual'!F19*100,"NA")</f>
        <v>2.4551463644948011</v>
      </c>
      <c r="J18" s="8">
        <f>IFERROR(('Q5 Actual'!G20-'Q5 Actual'!G19)/'Q5 Actual'!G19*100,"NA")</f>
        <v>-1.2765957446808476</v>
      </c>
      <c r="K18" s="8">
        <f>IFERROR(('Q5 Actual'!H20-'Q5 Actual'!H19)/'Q5 Actual'!H19*100,"NA")</f>
        <v>0.6101281269066503</v>
      </c>
      <c r="L18" s="8">
        <f>IFERROR(('Q5 Actual'!I20-'Q5 Actual'!I19)/'Q5 Actual'!I19*100,"NA")</f>
        <v>1.4536340852130354</v>
      </c>
      <c r="M18" s="8">
        <f>IFERROR(('Q5 Actual'!J20-'Q5 Actual'!J19)/'Q5 Actual'!J19*100,"NA")</f>
        <v>-0.92699884125144516</v>
      </c>
      <c r="N18" s="8">
        <f>IFERROR(('Q5 Actual'!K20-'Q5 Actual'!K19)/'Q5 Actual'!K19*100,"NA")</f>
        <v>5.2346570397112018</v>
      </c>
      <c r="O18" s="8">
        <f>IFERROR(('Q5 Actual'!L20-'Q5 Actual'!L19)/'Q5 Actual'!L19*100,"NA")</f>
        <v>0</v>
      </c>
      <c r="P18" s="8">
        <f>IFERROR(('Q5 Actual'!M20-'Q5 Actual'!M19)/'Q5 Actual'!M19*100,"NA")</f>
        <v>0.58823529411764952</v>
      </c>
      <c r="Q18" s="8">
        <f>IFERROR(('Q5 Actual'!N20-'Q5 Actual'!N19)/'Q5 Actual'!N19*100,"NA")</f>
        <v>1.9856591285162681</v>
      </c>
      <c r="R18" s="8">
        <f>IFERROR(('Q5 Actual'!O20-'Q5 Actual'!O19)/'Q5 Actual'!O19*100,"NA")</f>
        <v>0.5415162454873681</v>
      </c>
      <c r="S18" s="8">
        <f>IFERROR(('Q5 Actual'!P20-'Q5 Actual'!P19)/'Q5 Actual'!P19*100,"NA")</f>
        <v>0.88446655610834402</v>
      </c>
      <c r="T18" s="8">
        <f>IFERROR(('Q5 Actual'!Q20-'Q5 Actual'!Q19)/'Q5 Actual'!Q19*100,"NA")</f>
        <v>1.4637002341920373</v>
      </c>
      <c r="U18" s="8">
        <f>IFERROR(('Q5 Actual'!R20-'Q5 Actual'!R19)/'Q5 Actual'!R19*100,"NA")</f>
        <v>0.97757331799884339</v>
      </c>
      <c r="V18" s="8">
        <f>IFERROR(('Q5 Actual'!S20-'Q5 Actual'!S19)/'Q5 Actual'!S19*100,"NA")</f>
        <v>1.1411411411411447</v>
      </c>
      <c r="W18" s="8">
        <f>IFERROR(('Q5 Actual'!T20-'Q5 Actual'!T19)/'Q5 Actual'!T19*100,"NA")</f>
        <v>1.0416666666666567</v>
      </c>
      <c r="X18" s="8">
        <f>IFERROR(('Q5 Actual'!U20-'Q5 Actual'!U19)/'Q5 Actual'!U19*100,"NA")</f>
        <v>0.29940119760479045</v>
      </c>
      <c r="Y18" s="8">
        <f>IFERROR(('Q5 Actual'!V20-'Q5 Actual'!V19)/'Q5 Actual'!V19*100,"NA")</f>
        <v>0.73170731707316383</v>
      </c>
      <c r="Z18" s="8">
        <f>IFERROR(('Q5 Actual'!X20-'Q5 Actual'!X19)/'Q5 Actual'!X19*100,"NA")</f>
        <v>0.45977011494253522</v>
      </c>
      <c r="AA18" s="8">
        <f>IFERROR(('Q5 Actual'!Y20-'Q5 Actual'!Y19)/'Q5 Actual'!Y19*100,"NA")</f>
        <v>-0.23696682464455313</v>
      </c>
      <c r="AB18" s="8">
        <f>IFERROR(('Q5 Actual'!AA20-'Q5 Actual'!AA19)/'Q5 Actual'!AA19*100,"NA")</f>
        <v>0.42579075425790058</v>
      </c>
      <c r="AC18" s="8">
        <f>IFERROR(('Q5 Actual'!AB20-'Q5 Actual'!AB19)/'Q5 Actual'!AB19*100,"NA")</f>
        <v>0.59916117435590177</v>
      </c>
      <c r="AD18" s="8">
        <f>IFERROR(('Q5 Actual'!AC20-'Q5 Actual'!AC19)/'Q5 Actual'!AC19*100,"NA")</f>
        <v>0.10314595152139691</v>
      </c>
      <c r="AE18" s="8">
        <f>IFERROR(('Q5 Actual'!AD20-'Q5 Actual'!AD19)/'Q5 Actual'!AD19*100,"NA")</f>
        <v>0.41966426858512501</v>
      </c>
    </row>
    <row r="19" spans="1:31">
      <c r="A19" s="12" t="s">
        <v>34</v>
      </c>
      <c r="B19" s="12">
        <v>2022</v>
      </c>
      <c r="C19" s="12" t="s">
        <v>39</v>
      </c>
      <c r="D19" s="61">
        <v>44713</v>
      </c>
      <c r="E19" s="67">
        <v>7.9200000000000008</v>
      </c>
      <c r="F19" s="8">
        <f>IFERROR(('Q5 Actual'!W21-'Q5 Actual'!W20)/'Q5 Actual'!W20*100,"NA")</f>
        <v>0.80183276059565045</v>
      </c>
      <c r="G19" s="8">
        <f>IFERROR(('Q5 Actual'!Z21-'Q5 Actual'!Z20)/'Q5 Actual'!Z20*100,"NA")</f>
        <v>-1.1656441717791446</v>
      </c>
      <c r="H19" s="8">
        <f>IFERROR(('Q5 Actual'!E21-'Q5 Actual'!E20)/'Q5 Actual'!E20*100,"NA")</f>
        <v>0.58403634003893945</v>
      </c>
      <c r="I19" s="8">
        <f>IFERROR(('Q5 Actual'!F21-'Q5 Actual'!F20)/'Q5 Actual'!F20*100,"NA")</f>
        <v>1.1059907834101408</v>
      </c>
      <c r="J19" s="8">
        <f>IFERROR(('Q5 Actual'!G21-'Q5 Actual'!G20)/'Q5 Actual'!G20*100,"NA")</f>
        <v>5.172413793103452</v>
      </c>
      <c r="K19" s="8">
        <f>IFERROR(('Q5 Actual'!H21-'Q5 Actual'!H20)/'Q5 Actual'!H20*100,"NA")</f>
        <v>0.54578532443905736</v>
      </c>
      <c r="L19" s="8">
        <f>IFERROR(('Q5 Actual'!I21-'Q5 Actual'!I20)/'Q5 Actual'!I20*100,"NA")</f>
        <v>-0.74110671936758887</v>
      </c>
      <c r="M19" s="8">
        <f>IFERROR(('Q5 Actual'!J21-'Q5 Actual'!J20)/'Q5 Actual'!J20*100,"NA")</f>
        <v>-0.76023391812866159</v>
      </c>
      <c r="N19" s="8">
        <f>IFERROR(('Q5 Actual'!K21-'Q5 Actual'!K20)/'Q5 Actual'!K20*100,"NA")</f>
        <v>4.2309891366495167</v>
      </c>
      <c r="O19" s="8">
        <f>IFERROR(('Q5 Actual'!L21-'Q5 Actual'!L20)/'Q5 Actual'!L20*100,"NA")</f>
        <v>-0.24286581663629467</v>
      </c>
      <c r="P19" s="8">
        <f>IFERROR(('Q5 Actual'!M21-'Q5 Actual'!M20)/'Q5 Actual'!M20*100,"NA")</f>
        <v>0.16708437761069578</v>
      </c>
      <c r="Q19" s="8">
        <f>IFERROR(('Q5 Actual'!N21-'Q5 Actual'!N20)/'Q5 Actual'!N20*100,"NA")</f>
        <v>1.1898323418063756</v>
      </c>
      <c r="R19" s="8">
        <f>IFERROR(('Q5 Actual'!O21-'Q5 Actual'!O20)/'Q5 Actual'!O20*100,"NA")</f>
        <v>0.47875523638540479</v>
      </c>
      <c r="S19" s="8">
        <f>IFERROR(('Q5 Actual'!P21-'Q5 Actual'!P20)/'Q5 Actual'!P20*100,"NA")</f>
        <v>0.76712328767123594</v>
      </c>
      <c r="T19" s="8">
        <f>IFERROR(('Q5 Actual'!Q21-'Q5 Actual'!Q20)/'Q5 Actual'!Q20*100,"NA")</f>
        <v>0.92325447201384547</v>
      </c>
      <c r="U19" s="8">
        <f>IFERROR(('Q5 Actual'!R21-'Q5 Actual'!R20)/'Q5 Actual'!R20*100,"NA")</f>
        <v>0.85421412300683375</v>
      </c>
      <c r="V19" s="8">
        <f>IFERROR(('Q5 Actual'!S21-'Q5 Actual'!S20)/'Q5 Actual'!S20*100,"NA")</f>
        <v>0.89073634204275531</v>
      </c>
      <c r="W19" s="8">
        <f>IFERROR(('Q5 Actual'!T21-'Q5 Actual'!T20)/'Q5 Actual'!T20*100,"NA")</f>
        <v>0.80183276059565045</v>
      </c>
      <c r="X19" s="8">
        <f>IFERROR(('Q5 Actual'!U21-'Q5 Actual'!U20)/'Q5 Actual'!U20*100,"NA")</f>
        <v>-0.41791044776118724</v>
      </c>
      <c r="Y19" s="8">
        <f>IFERROR(('Q5 Actual'!V21-'Q5 Actual'!V20)/'Q5 Actual'!V20*100,"NA")</f>
        <v>0.72639225181599099</v>
      </c>
      <c r="Z19" s="8">
        <f>IFERROR(('Q5 Actual'!X21-'Q5 Actual'!X20)/'Q5 Actual'!X20*100,"NA")</f>
        <v>0.34324942791761687</v>
      </c>
      <c r="AA19" s="8">
        <f>IFERROR(('Q5 Actual'!Y21-'Q5 Actual'!Y20)/'Q5 Actual'!Y20*100,"NA")</f>
        <v>0.59382422802850354</v>
      </c>
      <c r="AB19" s="8">
        <f>IFERROR(('Q5 Actual'!AA21-'Q5 Actual'!AA20)/'Q5 Actual'!AA20*100,"NA")</f>
        <v>0.42398546335555243</v>
      </c>
      <c r="AC19" s="8">
        <f>IFERROR(('Q5 Actual'!AB21-'Q5 Actual'!AB20)/'Q5 Actual'!AB20*100,"NA")</f>
        <v>0.65515187611673276</v>
      </c>
      <c r="AD19" s="8">
        <f>IFERROR(('Q5 Actual'!AC21-'Q5 Actual'!AC20)/'Q5 Actual'!AC20*100,"NA")</f>
        <v>0.10303967027306392</v>
      </c>
      <c r="AE19" s="8">
        <f>IFERROR(('Q5 Actual'!AD21-'Q5 Actual'!AD20)/'Q5 Actual'!AD20*100,"NA")</f>
        <v>0</v>
      </c>
    </row>
    <row r="20" spans="1:31">
      <c r="A20" s="12" t="s">
        <v>34</v>
      </c>
      <c r="B20" s="12">
        <v>2022</v>
      </c>
      <c r="C20" s="12" t="s">
        <v>40</v>
      </c>
      <c r="D20" s="61">
        <v>44743</v>
      </c>
      <c r="E20" s="67">
        <v>-7.5</v>
      </c>
      <c r="F20" s="8">
        <f>IFERROR(('Q5 Actual'!W22-'Q5 Actual'!W21)/'Q5 Actual'!W21*100,"NA")</f>
        <v>2.0454545454545423</v>
      </c>
      <c r="G20" s="8">
        <f>IFERROR(('Q5 Actual'!Z22-'Q5 Actual'!Z21)/'Q5 Actual'!Z21*100,"NA")</f>
        <v>0.31036623215394166</v>
      </c>
      <c r="H20" s="8">
        <f>IFERROR(('Q5 Actual'!E22-'Q5 Actual'!E21)/'Q5 Actual'!E21*100,"NA")</f>
        <v>0.967741935483871</v>
      </c>
      <c r="I20" s="8">
        <f>IFERROR(('Q5 Actual'!F22-'Q5 Actual'!F21)/'Q5 Actual'!F21*100,"NA")</f>
        <v>-2.9170464904284437</v>
      </c>
      <c r="J20" s="8">
        <f>IFERROR(('Q5 Actual'!G22-'Q5 Actual'!G21)/'Q5 Actual'!G21*100,"NA")</f>
        <v>2.5761124121779724</v>
      </c>
      <c r="K20" s="8">
        <f>IFERROR(('Q5 Actual'!H22-'Q5 Actual'!H21)/'Q5 Actual'!H21*100,"NA")</f>
        <v>0.48250904704462172</v>
      </c>
      <c r="L20" s="8">
        <f>IFERROR(('Q5 Actual'!I22-'Q5 Actual'!I21)/'Q5 Actual'!I21*100,"NA")</f>
        <v>-2.538576406172222</v>
      </c>
      <c r="M20" s="8">
        <f>IFERROR(('Q5 Actual'!J22-'Q5 Actual'!J21)/'Q5 Actual'!J21*100,"NA")</f>
        <v>2.6517383618149681</v>
      </c>
      <c r="N20" s="8">
        <f>IFERROR(('Q5 Actual'!K22-'Q5 Actual'!K21)/'Q5 Actual'!K21*100,"NA")</f>
        <v>-0.10970927043336097</v>
      </c>
      <c r="O20" s="8">
        <f>IFERROR(('Q5 Actual'!L22-'Q5 Actual'!L21)/'Q5 Actual'!L21*100,"NA")</f>
        <v>0</v>
      </c>
      <c r="P20" s="8">
        <f>IFERROR(('Q5 Actual'!M22-'Q5 Actual'!M21)/'Q5 Actual'!M21*100,"NA")</f>
        <v>8.3402835696408939E-2</v>
      </c>
      <c r="Q20" s="8">
        <f>IFERROR(('Q5 Actual'!N22-'Q5 Actual'!N21)/'Q5 Actual'!N21*100,"NA")</f>
        <v>1.5499732763228251</v>
      </c>
      <c r="R20" s="8">
        <f>IFERROR(('Q5 Actual'!O22-'Q5 Actual'!O21)/'Q5 Actual'!O21*100,"NA")</f>
        <v>0.29779630732578916</v>
      </c>
      <c r="S20" s="8">
        <f>IFERROR(('Q5 Actual'!P22-'Q5 Actual'!P21)/'Q5 Actual'!P21*100,"NA")</f>
        <v>0.70690592713430289</v>
      </c>
      <c r="T20" s="8">
        <f>IFERROR(('Q5 Actual'!Q22-'Q5 Actual'!Q21)/'Q5 Actual'!Q21*100,"NA")</f>
        <v>5.7175528873638831E-2</v>
      </c>
      <c r="U20" s="8">
        <f>IFERROR(('Q5 Actual'!R22-'Q5 Actual'!R21)/'Q5 Actual'!R21*100,"NA")</f>
        <v>0.67758328627894815</v>
      </c>
      <c r="V20" s="8">
        <f>IFERROR(('Q5 Actual'!S22-'Q5 Actual'!S21)/'Q5 Actual'!S21*100,"NA")</f>
        <v>0.82401412595644818</v>
      </c>
      <c r="W20" s="8">
        <f>IFERROR(('Q5 Actual'!T22-'Q5 Actual'!T21)/'Q5 Actual'!T21*100,"NA")</f>
        <v>0.73863636363637009</v>
      </c>
      <c r="X20" s="8">
        <f>IFERROR(('Q5 Actual'!U22-'Q5 Actual'!U21)/'Q5 Actual'!U21*100,"NA")</f>
        <v>0.59952038369304561</v>
      </c>
      <c r="Y20" s="8">
        <f>IFERROR(('Q5 Actual'!V22-'Q5 Actual'!V21)/'Q5 Actual'!V21*100,"NA")</f>
        <v>0.60096153846153844</v>
      </c>
      <c r="Z20" s="8">
        <f>IFERROR(('Q5 Actual'!X22-'Q5 Actual'!X21)/'Q5 Actual'!X21*100,"NA")</f>
        <v>0.39908779931584298</v>
      </c>
      <c r="AA20" s="8">
        <f>IFERROR(('Q5 Actual'!Y22-'Q5 Actual'!Y21)/'Q5 Actual'!Y21*100,"NA")</f>
        <v>0.17709563164107611</v>
      </c>
      <c r="AB20" s="8">
        <f>IFERROR(('Q5 Actual'!AA22-'Q5 Actual'!AA21)/'Q5 Actual'!AA21*100,"NA")</f>
        <v>0.30156815440289503</v>
      </c>
      <c r="AC20" s="8">
        <f>IFERROR(('Q5 Actual'!AB22-'Q5 Actual'!AB21)/'Q5 Actual'!AB21*100,"NA")</f>
        <v>1.4201183431952698</v>
      </c>
      <c r="AD20" s="8">
        <f>IFERROR(('Q5 Actual'!AC22-'Q5 Actual'!AC21)/'Q5 Actual'!AC21*100,"NA")</f>
        <v>0.15440041173442251</v>
      </c>
      <c r="AE20" s="8">
        <f>IFERROR(('Q5 Actual'!AD22-'Q5 Actual'!AD21)/'Q5 Actual'!AD21*100,"NA")</f>
        <v>0.53731343283582433</v>
      </c>
    </row>
    <row r="21" spans="1:31">
      <c r="A21" s="12" t="s">
        <v>34</v>
      </c>
      <c r="B21" s="12">
        <v>2022</v>
      </c>
      <c r="C21" s="12" t="s">
        <v>41</v>
      </c>
      <c r="D21" s="61">
        <v>44774</v>
      </c>
      <c r="E21" s="67">
        <v>-9.5500000000000007</v>
      </c>
      <c r="F21" s="8">
        <f>IFERROR(('Q5 Actual'!W23-'Q5 Actual'!W22)/'Q5 Actual'!W22*100,"NA")</f>
        <v>-0.44543429844097049</v>
      </c>
      <c r="G21" s="8">
        <f>IFERROR(('Q5 Actual'!Z23-'Q5 Actual'!Z22)/'Q5 Actual'!Z22*100,"NA")</f>
        <v>0.18564356435644269</v>
      </c>
      <c r="H21" s="8">
        <f>IFERROR(('Q5 Actual'!E23-'Q5 Actual'!E22)/'Q5 Actual'!E22*100,"NA")</f>
        <v>2.4281150159744485</v>
      </c>
      <c r="I21" s="8">
        <f>IFERROR(('Q5 Actual'!F23-'Q5 Actual'!F22)/'Q5 Actual'!F22*100,"NA")</f>
        <v>-3.051643192488263</v>
      </c>
      <c r="J21" s="8">
        <f>IFERROR(('Q5 Actual'!G23-'Q5 Actual'!G22)/'Q5 Actual'!G22*100,"NA")</f>
        <v>-3.4246575342465757</v>
      </c>
      <c r="K21" s="8">
        <f>IFERROR(('Q5 Actual'!H23-'Q5 Actual'!H22)/'Q5 Actual'!H22*100,"NA")</f>
        <v>0.90036014405762299</v>
      </c>
      <c r="L21" s="8">
        <f>IFERROR(('Q5 Actual'!I23-'Q5 Actual'!I22)/'Q5 Actual'!I22*100,"NA")</f>
        <v>-1.7364657814096043</v>
      </c>
      <c r="M21" s="8">
        <f>IFERROR(('Q5 Actual'!J23-'Q5 Actual'!J22)/'Q5 Actual'!J22*100,"NA")</f>
        <v>-0.74626865671640819</v>
      </c>
      <c r="N21" s="8">
        <f>IFERROR(('Q5 Actual'!K23-'Q5 Actual'!K22)/'Q5 Actual'!K22*100,"NA")</f>
        <v>2.5260845689181735</v>
      </c>
      <c r="O21" s="8">
        <f>IFERROR(('Q5 Actual'!L23-'Q5 Actual'!L22)/'Q5 Actual'!L22*100,"NA")</f>
        <v>1.7650639074862917</v>
      </c>
      <c r="P21" s="8">
        <f>IFERROR(('Q5 Actual'!M23-'Q5 Actual'!M22)/'Q5 Actual'!M22*100,"NA")</f>
        <v>0.75000000000000477</v>
      </c>
      <c r="Q21" s="8">
        <f>IFERROR(('Q5 Actual'!N23-'Q5 Actual'!N22)/'Q5 Actual'!N22*100,"NA")</f>
        <v>1.8947368421052602</v>
      </c>
      <c r="R21" s="8">
        <f>IFERROR(('Q5 Actual'!O23-'Q5 Actual'!O22)/'Q5 Actual'!O22*100,"NA")</f>
        <v>0.23752969121140477</v>
      </c>
      <c r="S21" s="8">
        <f>IFERROR(('Q5 Actual'!P23-'Q5 Actual'!P22)/'Q5 Actual'!P22*100,"NA")</f>
        <v>0.59395248380130827</v>
      </c>
      <c r="T21" s="8">
        <f>IFERROR(('Q5 Actual'!Q23-'Q5 Actual'!Q22)/'Q5 Actual'!Q22*100,"NA")</f>
        <v>0.74285714285714932</v>
      </c>
      <c r="U21" s="8">
        <f>IFERROR(('Q5 Actual'!R23-'Q5 Actual'!R22)/'Q5 Actual'!R22*100,"NA")</f>
        <v>0.6730229949523211</v>
      </c>
      <c r="V21" s="8">
        <f>IFERROR(('Q5 Actual'!S23-'Q5 Actual'!S22)/'Q5 Actual'!S22*100,"NA")</f>
        <v>0.81727962638644314</v>
      </c>
      <c r="W21" s="8">
        <f>IFERROR(('Q5 Actual'!T23-'Q5 Actual'!T22)/'Q5 Actual'!T22*100,"NA")</f>
        <v>0.67681895093061961</v>
      </c>
      <c r="X21" s="8">
        <f>IFERROR(('Q5 Actual'!U23-'Q5 Actual'!U22)/'Q5 Actual'!U22*100,"NA")</f>
        <v>0.71513706793801468</v>
      </c>
      <c r="Y21" s="8">
        <f>IFERROR(('Q5 Actual'!V23-'Q5 Actual'!V22)/'Q5 Actual'!V22*100,"NA")</f>
        <v>0.65710872162484724</v>
      </c>
      <c r="Z21" s="8">
        <f>IFERROR(('Q5 Actual'!X23-'Q5 Actual'!X22)/'Q5 Actual'!X22*100,"NA")</f>
        <v>0.397501419647937</v>
      </c>
      <c r="AA21" s="8">
        <f>IFERROR(('Q5 Actual'!Y23-'Q5 Actual'!Y22)/'Q5 Actual'!Y22*100,"NA")</f>
        <v>0.8839127872716559</v>
      </c>
      <c r="AB21" s="8">
        <f>IFERROR(('Q5 Actual'!AA23-'Q5 Actual'!AA22)/'Q5 Actual'!AA22*100,"NA")</f>
        <v>0.36079374624172833</v>
      </c>
      <c r="AC21" s="8">
        <f>IFERROR(('Q5 Actual'!AB23-'Q5 Actual'!AB22)/'Q5 Actual'!AB22*100,"NA")</f>
        <v>0.52508751458576763</v>
      </c>
      <c r="AD21" s="8">
        <f>IFERROR(('Q5 Actual'!AC23-'Q5 Actual'!AC22)/'Q5 Actual'!AC22*100,"NA")</f>
        <v>0.20554984583761854</v>
      </c>
      <c r="AE21" s="8">
        <f>IFERROR(('Q5 Actual'!AD23-'Q5 Actual'!AD22)/'Q5 Actual'!AD22*100,"NA")</f>
        <v>0.41567695961994572</v>
      </c>
    </row>
    <row r="22" spans="1:31">
      <c r="A22" s="12" t="s">
        <v>34</v>
      </c>
      <c r="B22" s="12">
        <v>2022</v>
      </c>
      <c r="C22" s="12" t="s">
        <v>42</v>
      </c>
      <c r="D22" s="61">
        <v>44805</v>
      </c>
      <c r="E22" s="67">
        <v>-7.76</v>
      </c>
      <c r="F22" s="8">
        <f>IFERROR(('Q5 Actual'!W24-'Q5 Actual'!W23)/'Q5 Actual'!W23*100,"NA")</f>
        <v>0.39149888143176093</v>
      </c>
      <c r="G22" s="8">
        <f>IFERROR(('Q5 Actual'!Z24-'Q5 Actual'!Z23)/'Q5 Actual'!Z23*100,"NA")</f>
        <v>0.2470660901791264</v>
      </c>
      <c r="H22" s="8">
        <f>IFERROR(('Q5 Actual'!E24-'Q5 Actual'!E23)/'Q5 Actual'!E23*100,"NA")</f>
        <v>1.9962570180910719</v>
      </c>
      <c r="I22" s="8">
        <f>IFERROR(('Q5 Actual'!F24-'Q5 Actual'!F23)/'Q5 Actual'!F23*100,"NA")</f>
        <v>1.3075060532687597</v>
      </c>
      <c r="J22" s="8">
        <f>IFERROR(('Q5 Actual'!G24-'Q5 Actual'!G23)/'Q5 Actual'!G23*100,"NA")</f>
        <v>0.29550827423167852</v>
      </c>
      <c r="K22" s="8">
        <f>IFERROR(('Q5 Actual'!H24-'Q5 Actual'!H23)/'Q5 Actual'!H23*100,"NA")</f>
        <v>0.951814396192739</v>
      </c>
      <c r="L22" s="8">
        <f>IFERROR(('Q5 Actual'!I24-'Q5 Actual'!I23)/'Q5 Actual'!I23*100,"NA")</f>
        <v>-1.9230769230769318</v>
      </c>
      <c r="M22" s="8">
        <f>IFERROR(('Q5 Actual'!J24-'Q5 Actual'!J23)/'Q5 Actual'!J23*100,"NA")</f>
        <v>-4.1642567958357528</v>
      </c>
      <c r="N22" s="8">
        <f>IFERROR(('Q5 Actual'!K24-'Q5 Actual'!K23)/'Q5 Actual'!K23*100,"NA")</f>
        <v>2.7316550615961557</v>
      </c>
      <c r="O22" s="8">
        <f>IFERROR(('Q5 Actual'!L24-'Q5 Actual'!L23)/'Q5 Actual'!L23*100,"NA")</f>
        <v>1.1363636363636398</v>
      </c>
      <c r="P22" s="8">
        <f>IFERROR(('Q5 Actual'!M24-'Q5 Actual'!M23)/'Q5 Actual'!M23*100,"NA")</f>
        <v>0.57899090157153732</v>
      </c>
      <c r="Q22" s="8">
        <f>IFERROR(('Q5 Actual'!N24-'Q5 Actual'!N23)/'Q5 Actual'!N23*100,"NA")</f>
        <v>1.9111570247933973</v>
      </c>
      <c r="R22" s="8">
        <f>IFERROR(('Q5 Actual'!O24-'Q5 Actual'!O23)/'Q5 Actual'!O23*100,"NA")</f>
        <v>0.35545023696682126</v>
      </c>
      <c r="S22" s="8">
        <f>IFERROR(('Q5 Actual'!P24-'Q5 Actual'!P23)/'Q5 Actual'!P23*100,"NA")</f>
        <v>0.59044551798174671</v>
      </c>
      <c r="T22" s="8">
        <f>IFERROR(('Q5 Actual'!Q24-'Q5 Actual'!Q23)/'Q5 Actual'!Q23*100,"NA")</f>
        <v>0.85082246171298925</v>
      </c>
      <c r="U22" s="8">
        <f>IFERROR(('Q5 Actual'!R24-'Q5 Actual'!R23)/'Q5 Actual'!R23*100,"NA")</f>
        <v>0.77994428969359653</v>
      </c>
      <c r="V22" s="8">
        <f>IFERROR(('Q5 Actual'!S24-'Q5 Actual'!S23)/'Q5 Actual'!S23*100,"NA")</f>
        <v>0.92646207295890148</v>
      </c>
      <c r="W22" s="8">
        <f>IFERROR(('Q5 Actual'!T24-'Q5 Actual'!T23)/'Q5 Actual'!T23*100,"NA")</f>
        <v>0.78431372549019918</v>
      </c>
      <c r="X22" s="8">
        <f>IFERROR(('Q5 Actual'!U24-'Q5 Actual'!U23)/'Q5 Actual'!U23*100,"NA")</f>
        <v>0.29585798816568049</v>
      </c>
      <c r="Y22" s="8">
        <f>IFERROR(('Q5 Actual'!V24-'Q5 Actual'!V23)/'Q5 Actual'!V23*100,"NA")</f>
        <v>0.59347181008902083</v>
      </c>
      <c r="Z22" s="8">
        <f>IFERROR(('Q5 Actual'!X24-'Q5 Actual'!X23)/'Q5 Actual'!X23*100,"NA")</f>
        <v>0.56561085972850678</v>
      </c>
      <c r="AA22" s="8">
        <f>IFERROR(('Q5 Actual'!Y24-'Q5 Actual'!Y23)/'Q5 Actual'!Y23*100,"NA")</f>
        <v>-0.17523364485980314</v>
      </c>
      <c r="AB22" s="8">
        <f>IFERROR(('Q5 Actual'!AA24-'Q5 Actual'!AA23)/'Q5 Actual'!AA23*100,"NA")</f>
        <v>0.41941282204912445</v>
      </c>
      <c r="AC22" s="8">
        <f>IFERROR(('Q5 Actual'!AB24-'Q5 Actual'!AB23)/'Q5 Actual'!AB23*100,"NA")</f>
        <v>0.46430644225187634</v>
      </c>
      <c r="AD22" s="8">
        <f>IFERROR(('Q5 Actual'!AC24-'Q5 Actual'!AC23)/'Q5 Actual'!AC23*100,"NA")</f>
        <v>0.46153846153846445</v>
      </c>
      <c r="AE22" s="8">
        <f>IFERROR(('Q5 Actual'!AD24-'Q5 Actual'!AD23)/'Q5 Actual'!AD23*100,"NA")</f>
        <v>0.35481963335304223</v>
      </c>
    </row>
    <row r="23" spans="1:31">
      <c r="A23" s="12" t="s">
        <v>34</v>
      </c>
      <c r="B23" s="12">
        <v>2022</v>
      </c>
      <c r="C23" s="12" t="s">
        <v>43</v>
      </c>
      <c r="D23" s="61">
        <v>44835</v>
      </c>
      <c r="E23" s="67">
        <v>5.9799999999999995</v>
      </c>
      <c r="F23" s="8">
        <f>IFERROR(('Q5 Actual'!W25-'Q5 Actual'!W24)/'Q5 Actual'!W24*100,"NA")</f>
        <v>0.55710306406685239</v>
      </c>
      <c r="G23" s="8">
        <f>IFERROR(('Q5 Actual'!Z25-'Q5 Actual'!Z24)/'Q5 Actual'!Z24*100,"NA")</f>
        <v>0.36968576709796319</v>
      </c>
      <c r="H23" s="8">
        <f>IFERROR(('Q5 Actual'!E25-'Q5 Actual'!E24)/'Q5 Actual'!E24*100,"NA")</f>
        <v>1.0397553516819502</v>
      </c>
      <c r="I23" s="8">
        <f>IFERROR(('Q5 Actual'!F25-'Q5 Actual'!F24)/'Q5 Actual'!F24*100,"NA")</f>
        <v>0.81261950286807705</v>
      </c>
      <c r="J23" s="8">
        <f>IFERROR(('Q5 Actual'!G25-'Q5 Actual'!G24)/'Q5 Actual'!G24*100,"NA")</f>
        <v>0.70713022981733475</v>
      </c>
      <c r="K23" s="8">
        <f>IFERROR(('Q5 Actual'!H25-'Q5 Actual'!H24)/'Q5 Actual'!H24*100,"NA")</f>
        <v>0.70713022981733475</v>
      </c>
      <c r="L23" s="8">
        <f>IFERROR(('Q5 Actual'!I25-'Q5 Actual'!I24)/'Q5 Actual'!I24*100,"NA")</f>
        <v>-1.1658717541070422</v>
      </c>
      <c r="M23" s="8">
        <f>IFERROR(('Q5 Actual'!J25-'Q5 Actual'!J24)/'Q5 Actual'!J24*100,"NA")</f>
        <v>-1.146650573325273</v>
      </c>
      <c r="N23" s="8">
        <f>IFERROR(('Q5 Actual'!K25-'Q5 Actual'!K24)/'Q5 Actual'!K24*100,"NA")</f>
        <v>4.1188738269030116</v>
      </c>
      <c r="O23" s="8">
        <f>IFERROR(('Q5 Actual'!L25-'Q5 Actual'!L24)/'Q5 Actual'!L24*100,"NA")</f>
        <v>0.41395623891189659</v>
      </c>
      <c r="P23" s="8">
        <f>IFERROR(('Q5 Actual'!M25-'Q5 Actual'!M24)/'Q5 Actual'!M24*100,"NA")</f>
        <v>0.24671052631579882</v>
      </c>
      <c r="Q23" s="8">
        <f>IFERROR(('Q5 Actual'!N25-'Q5 Actual'!N24)/'Q5 Actual'!N24*100,"NA")</f>
        <v>1.3177901672579797</v>
      </c>
      <c r="R23" s="8">
        <f>IFERROR(('Q5 Actual'!O25-'Q5 Actual'!O24)/'Q5 Actual'!O24*100,"NA")</f>
        <v>0.29515938606847697</v>
      </c>
      <c r="S23" s="8">
        <f>IFERROR(('Q5 Actual'!P25-'Q5 Actual'!P24)/'Q5 Actual'!P24*100,"NA")</f>
        <v>0.48025613660619304</v>
      </c>
      <c r="T23" s="8">
        <f>IFERROR(('Q5 Actual'!Q25-'Q5 Actual'!Q24)/'Q5 Actual'!Q24*100,"NA")</f>
        <v>1.0123734533183255</v>
      </c>
      <c r="U23" s="8">
        <f>IFERROR(('Q5 Actual'!R25-'Q5 Actual'!R24)/'Q5 Actual'!R24*100,"NA")</f>
        <v>0.55279159756771701</v>
      </c>
      <c r="V23" s="8">
        <f>IFERROR(('Q5 Actual'!S25-'Q5 Actual'!S24)/'Q5 Actual'!S24*100,"NA")</f>
        <v>0.57372346528973028</v>
      </c>
      <c r="W23" s="8">
        <f>IFERROR(('Q5 Actual'!T25-'Q5 Actual'!T24)/'Q5 Actual'!T24*100,"NA")</f>
        <v>0.61145080600333201</v>
      </c>
      <c r="X23" s="8">
        <f>IFERROR(('Q5 Actual'!U25-'Q5 Actual'!U24)/'Q5 Actual'!U24*100,"NA")</f>
        <v>1.0029498525073679</v>
      </c>
      <c r="Y23" s="8">
        <f>IFERROR(('Q5 Actual'!V25-'Q5 Actual'!V24)/'Q5 Actual'!V24*100,"NA")</f>
        <v>0.53097345132743701</v>
      </c>
      <c r="Z23" s="8">
        <f>IFERROR(('Q5 Actual'!X25-'Q5 Actual'!X24)/'Q5 Actual'!X24*100,"NA")</f>
        <v>0.50618672665915476</v>
      </c>
      <c r="AA23" s="8">
        <f>IFERROR(('Q5 Actual'!Y25-'Q5 Actual'!Y24)/'Q5 Actual'!Y24*100,"NA")</f>
        <v>0.7021650087770559</v>
      </c>
      <c r="AB23" s="8">
        <f>IFERROR(('Q5 Actual'!AA25-'Q5 Actual'!AA24)/'Q5 Actual'!AA24*100,"NA")</f>
        <v>0.35799522673030687</v>
      </c>
      <c r="AC23" s="8">
        <f>IFERROR(('Q5 Actual'!AB25-'Q5 Actual'!AB24)/'Q5 Actual'!AB24*100,"NA")</f>
        <v>0.17331022530329948</v>
      </c>
      <c r="AD23" s="8">
        <f>IFERROR(('Q5 Actual'!AC25-'Q5 Actual'!AC24)/'Q5 Actual'!AC24*100,"NA")</f>
        <v>0.20418580908627143</v>
      </c>
      <c r="AE23" s="8">
        <f>IFERROR(('Q5 Actual'!AD25-'Q5 Actual'!AD24)/'Q5 Actual'!AD24*100,"NA")</f>
        <v>0.47142015321155656</v>
      </c>
    </row>
    <row r="24" spans="1:31">
      <c r="A24" s="12" t="s">
        <v>34</v>
      </c>
      <c r="B24" s="12">
        <v>2022</v>
      </c>
      <c r="C24" s="12" t="s">
        <v>45</v>
      </c>
      <c r="D24" s="61">
        <v>44866</v>
      </c>
      <c r="E24" s="67">
        <v>-2.81</v>
      </c>
      <c r="F24" s="8">
        <f>IFERROR(('Q5 Actual'!W26-'Q5 Actual'!W25)/'Q5 Actual'!W25*100,"NA")</f>
        <v>0.44321329639889823</v>
      </c>
      <c r="G24" s="8">
        <f>IFERROR(('Q5 Actual'!Z26-'Q5 Actual'!Z25)/'Q5 Actual'!Z25*100,"NA")</f>
        <v>6.1387354205030269E-2</v>
      </c>
      <c r="H24" s="8">
        <f>IFERROR(('Q5 Actual'!E26-'Q5 Actual'!E25)/'Q5 Actual'!E25*100,"NA")</f>
        <v>1.3317191283293082</v>
      </c>
      <c r="I24" s="8">
        <f>IFERROR(('Q5 Actual'!F26-'Q5 Actual'!F25)/'Q5 Actual'!F25*100,"NA")</f>
        <v>-0.71123755334281646</v>
      </c>
      <c r="J24" s="8">
        <f>IFERROR(('Q5 Actual'!G26-'Q5 Actual'!G25)/'Q5 Actual'!G25*100,"NA")</f>
        <v>6.1439438267992976</v>
      </c>
      <c r="K24" s="8">
        <f>IFERROR(('Q5 Actual'!H26-'Q5 Actual'!H25)/'Q5 Actual'!H25*100,"NA")</f>
        <v>0.81919251023990969</v>
      </c>
      <c r="L24" s="8">
        <f>IFERROR(('Q5 Actual'!I26-'Q5 Actual'!I25)/'Q5 Actual'!I25*100,"NA")</f>
        <v>1.286863270777483</v>
      </c>
      <c r="M24" s="8">
        <f>IFERROR(('Q5 Actual'!J26-'Q5 Actual'!J25)/'Q5 Actual'!J25*100,"NA")</f>
        <v>-1.8925518925519063</v>
      </c>
      <c r="N24" s="8">
        <f>IFERROR(('Q5 Actual'!K26-'Q5 Actual'!K25)/'Q5 Actual'!K25*100,"NA")</f>
        <v>-8.312468703054579</v>
      </c>
      <c r="O24" s="8">
        <f>IFERROR(('Q5 Actual'!L26-'Q5 Actual'!L25)/'Q5 Actual'!L25*100,"NA")</f>
        <v>0.41224970553591794</v>
      </c>
      <c r="P24" s="8">
        <f>IFERROR(('Q5 Actual'!M26-'Q5 Actual'!M25)/'Q5 Actual'!M25*100,"NA")</f>
        <v>0.16406890894174619</v>
      </c>
      <c r="Q24" s="8">
        <f>IFERROR(('Q5 Actual'!N26-'Q5 Actual'!N25)/'Q5 Actual'!N25*100,"NA")</f>
        <v>1.4507253626813434</v>
      </c>
      <c r="R24" s="8">
        <f>IFERROR(('Q5 Actual'!O26-'Q5 Actual'!O25)/'Q5 Actual'!O25*100,"NA")</f>
        <v>0.29429075927015891</v>
      </c>
      <c r="S24" s="8">
        <f>IFERROR(('Q5 Actual'!P26-'Q5 Actual'!P25)/'Q5 Actual'!P25*100,"NA")</f>
        <v>0.63728093467869806</v>
      </c>
      <c r="T24" s="8">
        <f>IFERROR(('Q5 Actual'!Q26-'Q5 Actual'!Q25)/'Q5 Actual'!Q25*100,"NA")</f>
        <v>-0.7238307349665829</v>
      </c>
      <c r="U24" s="8">
        <f>IFERROR(('Q5 Actual'!R26-'Q5 Actual'!R25)/'Q5 Actual'!R25*100,"NA")</f>
        <v>0.6597031335898782</v>
      </c>
      <c r="V24" s="8">
        <f>IFERROR(('Q5 Actual'!S26-'Q5 Actual'!S25)/'Q5 Actual'!S25*100,"NA")</f>
        <v>0.51340559041641598</v>
      </c>
      <c r="W24" s="8">
        <f>IFERROR(('Q5 Actual'!T26-'Q5 Actual'!T25)/'Q5 Actual'!T25*100,"NA")</f>
        <v>0.60773480662983115</v>
      </c>
      <c r="X24" s="8">
        <f>IFERROR(('Q5 Actual'!U26-'Q5 Actual'!U25)/'Q5 Actual'!U25*100,"NA")</f>
        <v>0.35046728971963947</v>
      </c>
      <c r="Y24" s="8">
        <f>IFERROR(('Q5 Actual'!V26-'Q5 Actual'!V25)/'Q5 Actual'!V25*100,"NA")</f>
        <v>0.58685446009389663</v>
      </c>
      <c r="Z24" s="8">
        <f>IFERROR(('Q5 Actual'!X26-'Q5 Actual'!X25)/'Q5 Actual'!X25*100,"NA")</f>
        <v>0.61555679910465744</v>
      </c>
      <c r="AA24" s="8">
        <f>IFERROR(('Q5 Actual'!Y26-'Q5 Actual'!Y25)/'Q5 Actual'!Y25*100,"NA")</f>
        <v>0.87158628704241714</v>
      </c>
      <c r="AB24" s="8">
        <f>IFERROR(('Q5 Actual'!AA26-'Q5 Actual'!AA25)/'Q5 Actual'!AA25*100,"NA")</f>
        <v>0.17835909631391877</v>
      </c>
      <c r="AC24" s="8">
        <f>IFERROR(('Q5 Actual'!AB26-'Q5 Actual'!AB25)/'Q5 Actual'!AB25*100,"NA")</f>
        <v>0.17301038062282753</v>
      </c>
      <c r="AD24" s="8">
        <f>IFERROR(('Q5 Actual'!AC26-'Q5 Actual'!AC25)/'Q5 Actual'!AC25*100,"NA")</f>
        <v>0.305654610290369</v>
      </c>
      <c r="AE24" s="8">
        <f>IFERROR(('Q5 Actual'!AD26-'Q5 Actual'!AD25)/'Q5 Actual'!AD25*100,"NA")</f>
        <v>0.3519061583577679</v>
      </c>
    </row>
    <row r="25" spans="1:31">
      <c r="A25" s="12" t="s">
        <v>34</v>
      </c>
      <c r="B25" s="12">
        <v>2022</v>
      </c>
      <c r="C25" s="12" t="s">
        <v>46</v>
      </c>
      <c r="D25" s="61">
        <v>44896</v>
      </c>
      <c r="E25" s="67">
        <v>-10.59</v>
      </c>
      <c r="F25" s="8">
        <f>IFERROR(('Q5 Actual'!W27-'Q5 Actual'!W26)/'Q5 Actual'!W26*100,"NA")</f>
        <v>0.38610038610037983</v>
      </c>
      <c r="G25" s="8">
        <f>IFERROR(('Q5 Actual'!Z27-'Q5 Actual'!Z26)/'Q5 Actual'!Z26*100,"NA")</f>
        <v>0.24539877300613847</v>
      </c>
      <c r="H25" s="8">
        <f>IFERROR(('Q5 Actual'!E27-'Q5 Actual'!E26)/'Q5 Actual'!E26*100,"NA")</f>
        <v>1.075268817204291</v>
      </c>
      <c r="I25" s="8">
        <f>IFERROR(('Q5 Actual'!F27-'Q5 Actual'!F26)/'Q5 Actual'!F26*100,"NA")</f>
        <v>-0.19102196752626824</v>
      </c>
      <c r="J25" s="8">
        <f>IFERROR(('Q5 Actual'!G27-'Q5 Actual'!G26)/'Q5 Actual'!G26*100,"NA")</f>
        <v>4.8511576626240256</v>
      </c>
      <c r="K25" s="8">
        <f>IFERROR(('Q5 Actual'!H27-'Q5 Actual'!H26)/'Q5 Actual'!H26*100,"NA")</f>
        <v>0.75449796865930518</v>
      </c>
      <c r="L25" s="8">
        <f>IFERROR(('Q5 Actual'!I27-'Q5 Actual'!I26)/'Q5 Actual'!I26*100,"NA")</f>
        <v>-0.21175224986765784</v>
      </c>
      <c r="M25" s="8">
        <f>IFERROR(('Q5 Actual'!J27-'Q5 Actual'!J26)/'Q5 Actual'!J26*100,"NA")</f>
        <v>-1.6801493466085806</v>
      </c>
      <c r="N25" s="8">
        <f>IFERROR(('Q5 Actual'!K27-'Q5 Actual'!K26)/'Q5 Actual'!K26*100,"NA")</f>
        <v>-12.670671764063348</v>
      </c>
      <c r="O25" s="8">
        <f>IFERROR(('Q5 Actual'!L27-'Q5 Actual'!L26)/'Q5 Actual'!L26*100,"NA")</f>
        <v>0.1759530791788923</v>
      </c>
      <c r="P25" s="8">
        <f>IFERROR(('Q5 Actual'!M27-'Q5 Actual'!M26)/'Q5 Actual'!M26*100,"NA")</f>
        <v>-0.2457002457002434</v>
      </c>
      <c r="Q25" s="8">
        <f>IFERROR(('Q5 Actual'!N27-'Q5 Actual'!N26)/'Q5 Actual'!N26*100,"NA")</f>
        <v>1.1834319526627106</v>
      </c>
      <c r="R25" s="8">
        <f>IFERROR(('Q5 Actual'!O27-'Q5 Actual'!O26)/'Q5 Actual'!O26*100,"NA")</f>
        <v>0.35211267605633467</v>
      </c>
      <c r="S25" s="8">
        <f>IFERROR(('Q5 Actual'!P27-'Q5 Actual'!P26)/'Q5 Actual'!P26*100,"NA")</f>
        <v>0.42216358839050727</v>
      </c>
      <c r="T25" s="8">
        <f>IFERROR(('Q5 Actual'!Q27-'Q5 Actual'!Q26)/'Q5 Actual'!Q26*100,"NA")</f>
        <v>-1.3460459899046582</v>
      </c>
      <c r="U25" s="8">
        <f>IFERROR(('Q5 Actual'!R27-'Q5 Actual'!R26)/'Q5 Actual'!R26*100,"NA")</f>
        <v>0.4915346805024608</v>
      </c>
      <c r="V25" s="8">
        <f>IFERROR(('Q5 Actual'!S27-'Q5 Actual'!S26)/'Q5 Actual'!S26*100,"NA")</f>
        <v>0.45402951191828117</v>
      </c>
      <c r="W25" s="8">
        <f>IFERROR(('Q5 Actual'!T27-'Q5 Actual'!T26)/'Q5 Actual'!T26*100,"NA")</f>
        <v>0.49423393739703775</v>
      </c>
      <c r="X25" s="8">
        <f>IFERROR(('Q5 Actual'!U27-'Q5 Actual'!U26)/'Q5 Actual'!U26*100,"NA")</f>
        <v>-0.64027939464494921</v>
      </c>
      <c r="Y25" s="8">
        <f>IFERROR(('Q5 Actual'!V27-'Q5 Actual'!V26)/'Q5 Actual'!V26*100,"NA")</f>
        <v>0.40840140023336563</v>
      </c>
      <c r="Z25" s="8">
        <f>IFERROR(('Q5 Actual'!X27-'Q5 Actual'!X26)/'Q5 Actual'!X26*100,"NA")</f>
        <v>0.72302558398219297</v>
      </c>
      <c r="AA25" s="8">
        <f>IFERROR(('Q5 Actual'!Y27-'Q5 Actual'!Y26)/'Q5 Actual'!Y26*100,"NA")</f>
        <v>1.2672811059907931</v>
      </c>
      <c r="AB25" s="8">
        <f>IFERROR(('Q5 Actual'!AA27-'Q5 Actual'!AA26)/'Q5 Actual'!AA26*100,"NA")</f>
        <v>0.23738872403561168</v>
      </c>
      <c r="AC25" s="8">
        <f>IFERROR(('Q5 Actual'!AB27-'Q5 Actual'!AB26)/'Q5 Actual'!AB26*100,"NA")</f>
        <v>0.23028209556707294</v>
      </c>
      <c r="AD25" s="8">
        <f>IFERROR(('Q5 Actual'!AC27-'Q5 Actual'!AC26)/'Q5 Actual'!AC26*100,"NA")</f>
        <v>0.20314880650076469</v>
      </c>
      <c r="AE25" s="8">
        <f>IFERROR(('Q5 Actual'!AD27-'Q5 Actual'!AD26)/'Q5 Actual'!AD26*100,"NA")</f>
        <v>0.52600818234950653</v>
      </c>
    </row>
    <row r="26" spans="1:31">
      <c r="A26" s="12" t="s">
        <v>34</v>
      </c>
      <c r="B26" s="12">
        <v>2023</v>
      </c>
      <c r="C26" s="12" t="s">
        <v>31</v>
      </c>
      <c r="D26" s="61">
        <v>44927</v>
      </c>
      <c r="E26" s="67">
        <v>2.12</v>
      </c>
      <c r="F26" s="8">
        <f>IFERROR(('Q5 Actual'!W28-'Q5 Actual'!W27)/'Q5 Actual'!W27*100,"NA")</f>
        <v>0</v>
      </c>
      <c r="G26" s="8">
        <f>IFERROR(('Q5 Actual'!Z28-'Q5 Actual'!Z27)/'Q5 Actual'!Z27*100,"NA")</f>
        <v>0.12239902080782657</v>
      </c>
      <c r="H26" s="8">
        <f>IFERROR(('Q5 Actual'!E28-'Q5 Actual'!E27)/'Q5 Actual'!E27*100,"NA")</f>
        <v>2.7186761229314556</v>
      </c>
      <c r="I26" s="8">
        <f>IFERROR(('Q5 Actual'!F28-'Q5 Actual'!F27)/'Q5 Actual'!F27*100,"NA")</f>
        <v>0.81339712918659746</v>
      </c>
      <c r="J26" s="8">
        <f>IFERROR(('Q5 Actual'!G28-'Q5 Actual'!G27)/'Q5 Actual'!G27*100,"NA")</f>
        <v>2.2607781282860206</v>
      </c>
      <c r="K26" s="8">
        <f>IFERROR(('Q5 Actual'!H28-'Q5 Actual'!H27)/'Q5 Actual'!H27*100,"NA")</f>
        <v>0.57603686635944706</v>
      </c>
      <c r="L26" s="8">
        <f>IFERROR(('Q5 Actual'!I28-'Q5 Actual'!I27)/'Q5 Actual'!I27*100,"NA")</f>
        <v>-0.68965517241379914</v>
      </c>
      <c r="M26" s="8">
        <f>IFERROR(('Q5 Actual'!J28-'Q5 Actual'!J27)/'Q5 Actual'!J27*100,"NA")</f>
        <v>0.18987341772152619</v>
      </c>
      <c r="N26" s="8">
        <f>IFERROR(('Q5 Actual'!K28-'Q5 Actual'!K27)/'Q5 Actual'!K27*100,"NA")</f>
        <v>-3.7523452157598496</v>
      </c>
      <c r="O26" s="8">
        <f>IFERROR(('Q5 Actual'!L28-'Q5 Actual'!L27)/'Q5 Actual'!L27*100,"NA")</f>
        <v>5.8548009367678171E-2</v>
      </c>
      <c r="P26" s="8">
        <f>IFERROR(('Q5 Actual'!M28-'Q5 Actual'!M27)/'Q5 Actual'!M27*100,"NA")</f>
        <v>-0.57471264367816322</v>
      </c>
      <c r="Q26" s="8">
        <f>IFERROR(('Q5 Actual'!N28-'Q5 Actual'!N27)/'Q5 Actual'!N27*100,"NA")</f>
        <v>1.5594541910331468</v>
      </c>
      <c r="R26" s="8">
        <f>IFERROR(('Q5 Actual'!O28-'Q5 Actual'!O27)/'Q5 Actual'!O27*100,"NA")</f>
        <v>0.23391812865497411</v>
      </c>
      <c r="S26" s="8">
        <f>IFERROR(('Q5 Actual'!P28-'Q5 Actual'!P27)/'Q5 Actual'!P27*100,"NA")</f>
        <v>0.47293746715710833</v>
      </c>
      <c r="T26" s="8">
        <f>IFERROR(('Q5 Actual'!Q28-'Q5 Actual'!Q27)/'Q5 Actual'!Q27*100,"NA")</f>
        <v>0.45480386583284982</v>
      </c>
      <c r="U26" s="8">
        <f>IFERROR(('Q5 Actual'!R28-'Q5 Actual'!R27)/'Q5 Actual'!R27*100,"NA")</f>
        <v>0.48913043478261176</v>
      </c>
      <c r="V26" s="8">
        <f>IFERROR(('Q5 Actual'!S28-'Q5 Actual'!S27)/'Q5 Actual'!S27*100,"NA")</f>
        <v>0.33898305084745439</v>
      </c>
      <c r="W26" s="8">
        <f>IFERROR(('Q5 Actual'!T28-'Q5 Actual'!T27)/'Q5 Actual'!T27*100,"NA")</f>
        <v>0.43715846994536145</v>
      </c>
      <c r="X26" s="8">
        <f>IFERROR(('Q5 Actual'!U28-'Q5 Actual'!U27)/'Q5 Actual'!U27*100,"NA")</f>
        <v>0.82015231400117505</v>
      </c>
      <c r="Y26" s="8">
        <f>IFERROR(('Q5 Actual'!V28-'Q5 Actual'!V27)/'Q5 Actual'!V27*100,"NA")</f>
        <v>0.46484601975596251</v>
      </c>
      <c r="Z26" s="8">
        <f>IFERROR(('Q5 Actual'!X28-'Q5 Actual'!X27)/'Q5 Actual'!X27*100,"NA")</f>
        <v>0.66261733848703319</v>
      </c>
      <c r="AA26" s="8">
        <f>IFERROR(('Q5 Actual'!Y28-'Q5 Actual'!Y27)/'Q5 Actual'!Y27*100,"NA")</f>
        <v>1.5927189988623338</v>
      </c>
      <c r="AB26" s="8">
        <f>IFERROR(('Q5 Actual'!AA28-'Q5 Actual'!AA27)/'Q5 Actual'!AA27*100,"NA")</f>
        <v>0.35523978685612451</v>
      </c>
      <c r="AC26" s="8">
        <f>IFERROR(('Q5 Actual'!AB28-'Q5 Actual'!AB27)/'Q5 Actual'!AB27*100,"NA")</f>
        <v>0.11487650775417407</v>
      </c>
      <c r="AD26" s="8">
        <f>IFERROR(('Q5 Actual'!AC28-'Q5 Actual'!AC27)/'Q5 Actual'!AC27*100,"NA")</f>
        <v>0.45615813482005935</v>
      </c>
      <c r="AE26" s="8">
        <f>IFERROR(('Q5 Actual'!AD28-'Q5 Actual'!AD27)/'Q5 Actual'!AD27*100,"NA")</f>
        <v>0.46511627906977404</v>
      </c>
    </row>
    <row r="27" spans="1:31">
      <c r="A27" s="12" t="s">
        <v>34</v>
      </c>
      <c r="B27" s="12">
        <v>2023</v>
      </c>
      <c r="C27" s="12" t="s">
        <v>35</v>
      </c>
      <c r="D27" s="61">
        <v>44958</v>
      </c>
      <c r="E27" s="67">
        <v>0.41000000000000003</v>
      </c>
      <c r="F27" s="8">
        <f>IFERROR(('Q5 Actual'!W29-'Q5 Actual'!W28)/'Q5 Actual'!W28*100,"NA")</f>
        <v>5.4945054945051822E-2</v>
      </c>
      <c r="G27" s="8">
        <f>IFERROR(('Q5 Actual'!Z29-'Q5 Actual'!Z28)/'Q5 Actual'!Z28*100,"NA")</f>
        <v>0.36674816625916523</v>
      </c>
      <c r="H27" s="8">
        <f>IFERROR(('Q5 Actual'!E29-'Q5 Actual'!E28)/'Q5 Actual'!E28*100,"NA")</f>
        <v>0.34522439585730397</v>
      </c>
      <c r="I27" s="8">
        <f>IFERROR(('Q5 Actual'!F29-'Q5 Actual'!F28)/'Q5 Actual'!F28*100,"NA")</f>
        <v>-1.423825344091125</v>
      </c>
      <c r="J27" s="8">
        <f>IFERROR(('Q5 Actual'!G29-'Q5 Actual'!G28)/'Q5 Actual'!G28*100,"NA")</f>
        <v>-9.922879177377899</v>
      </c>
      <c r="K27" s="8">
        <f>IFERROR(('Q5 Actual'!H29-'Q5 Actual'!H28)/'Q5 Actual'!H28*100,"NA")</f>
        <v>1.5463917525773294</v>
      </c>
      <c r="L27" s="8">
        <f>IFERROR(('Q5 Actual'!I29-'Q5 Actual'!I28)/'Q5 Actual'!I28*100,"NA")</f>
        <v>-4.2200854700854578</v>
      </c>
      <c r="M27" s="8">
        <f>IFERROR(('Q5 Actual'!J29-'Q5 Actual'!J28)/'Q5 Actual'!J28*100,"NA")</f>
        <v>7.0751737207833152</v>
      </c>
      <c r="N27" s="8">
        <f>IFERROR(('Q5 Actual'!K29-'Q5 Actual'!K28)/'Q5 Actual'!K28*100,"NA")</f>
        <v>-0.77972709551658026</v>
      </c>
      <c r="O27" s="8">
        <f>IFERROR(('Q5 Actual'!L29-'Q5 Actual'!L28)/'Q5 Actual'!L28*100,"NA")</f>
        <v>5.8513750731418554E-2</v>
      </c>
      <c r="P27" s="8">
        <f>IFERROR(('Q5 Actual'!M29-'Q5 Actual'!M28)/'Q5 Actual'!M28*100,"NA")</f>
        <v>-0.90834021469859161</v>
      </c>
      <c r="Q27" s="8">
        <f>IFERROR(('Q5 Actual'!N29-'Q5 Actual'!N28)/'Q5 Actual'!N28*100,"NA")</f>
        <v>0.62380038387715109</v>
      </c>
      <c r="R27" s="8">
        <f>IFERROR(('Q5 Actual'!O29-'Q5 Actual'!O28)/'Q5 Actual'!O28*100,"NA")</f>
        <v>0.52508751458576763</v>
      </c>
      <c r="S27" s="8">
        <f>IFERROR(('Q5 Actual'!P29-'Q5 Actual'!P28)/'Q5 Actual'!P28*100,"NA")</f>
        <v>0.94142259414226537</v>
      </c>
      <c r="T27" s="8">
        <f>IFERROR(('Q5 Actual'!Q29-'Q5 Actual'!Q28)/'Q5 Actual'!Q28*100,"NA")</f>
        <v>0.16977928692700134</v>
      </c>
      <c r="U27" s="8">
        <f>IFERROR(('Q5 Actual'!R29-'Q5 Actual'!R28)/'Q5 Actual'!R28*100,"NA")</f>
        <v>0.70308274743103449</v>
      </c>
      <c r="V27" s="8">
        <f>IFERROR(('Q5 Actual'!S29-'Q5 Actual'!S28)/'Q5 Actual'!S28*100,"NA")</f>
        <v>0.61936936936936615</v>
      </c>
      <c r="W27" s="8">
        <f>IFERROR(('Q5 Actual'!T29-'Q5 Actual'!T28)/'Q5 Actual'!T28*100,"NA")</f>
        <v>0.70729053318823876</v>
      </c>
      <c r="X27" s="8">
        <f>IFERROR(('Q5 Actual'!U29-'Q5 Actual'!U28)/'Q5 Actual'!U28*100,"NA")</f>
        <v>0.81348053457292613</v>
      </c>
      <c r="Y27" s="8">
        <f>IFERROR(('Q5 Actual'!V29-'Q5 Actual'!V28)/'Q5 Actual'!V28*100,"NA")</f>
        <v>0.75187969924811038</v>
      </c>
      <c r="Z27" s="8">
        <f>IFERROR(('Q5 Actual'!X29-'Q5 Actual'!X28)/'Q5 Actual'!X28*100,"NA")</f>
        <v>1.1519473395501889</v>
      </c>
      <c r="AA27" s="8">
        <f>IFERROR(('Q5 Actual'!Y29-'Q5 Actual'!Y28)/'Q5 Actual'!Y28*100,"NA")</f>
        <v>1.343784994400899</v>
      </c>
      <c r="AB27" s="8">
        <f>IFERROR(('Q5 Actual'!AA29-'Q5 Actual'!AA28)/'Q5 Actual'!AA28*100,"NA")</f>
        <v>0.47197640117994766</v>
      </c>
      <c r="AC27" s="8">
        <f>IFERROR(('Q5 Actual'!AB29-'Q5 Actual'!AB28)/'Q5 Actual'!AB28*100,"NA")</f>
        <v>0.40160642570280469</v>
      </c>
      <c r="AD27" s="8">
        <f>IFERROR(('Q5 Actual'!AC29-'Q5 Actual'!AC28)/'Q5 Actual'!AC28*100,"NA")</f>
        <v>0.65590312815338625</v>
      </c>
      <c r="AE27" s="8">
        <f>IFERROR(('Q5 Actual'!AD29-'Q5 Actual'!AD28)/'Q5 Actual'!AD28*100,"NA")</f>
        <v>0.75231481481480489</v>
      </c>
    </row>
    <row r="28" spans="1:31">
      <c r="A28" s="12" t="s">
        <v>34</v>
      </c>
      <c r="B28" s="12">
        <v>2023</v>
      </c>
      <c r="C28" s="12" t="s">
        <v>36</v>
      </c>
      <c r="D28" s="61">
        <v>44986</v>
      </c>
      <c r="E28" s="67">
        <v>-5.41</v>
      </c>
      <c r="F28" s="8">
        <f>IFERROR(('Q5 Actual'!W30-'Q5 Actual'!W29)/'Q5 Actual'!W29*100,"NA")</f>
        <v>-0.10982976386600145</v>
      </c>
      <c r="G28" s="8">
        <f>IFERROR(('Q5 Actual'!Z30-'Q5 Actual'!Z29)/'Q5 Actual'!Z29*100,"NA")</f>
        <v>0</v>
      </c>
      <c r="H28" s="8">
        <f>IFERROR(('Q5 Actual'!E30-'Q5 Actual'!E29)/'Q5 Actual'!E29*100,"NA")</f>
        <v>0</v>
      </c>
      <c r="I28" s="8">
        <f>IFERROR(('Q5 Actual'!F30-'Q5 Actual'!F29)/'Q5 Actual'!F29*100,"NA")</f>
        <v>0</v>
      </c>
      <c r="J28" s="8">
        <f>IFERROR(('Q5 Actual'!G30-'Q5 Actual'!G29)/'Q5 Actual'!G29*100,"NA")</f>
        <v>0</v>
      </c>
      <c r="K28" s="8">
        <f>IFERROR(('Q5 Actual'!H30-'Q5 Actual'!H29)/'Q5 Actual'!H29*100,"NA")</f>
        <v>0</v>
      </c>
      <c r="L28" s="8">
        <f>IFERROR(('Q5 Actual'!I30-'Q5 Actual'!I29)/'Q5 Actual'!I29*100,"NA")</f>
        <v>-5.5772448410497895E-2</v>
      </c>
      <c r="M28" s="8">
        <f>IFERROR(('Q5 Actual'!J30-'Q5 Actual'!J29)/'Q5 Actual'!J29*100,"NA")</f>
        <v>0</v>
      </c>
      <c r="N28" s="8">
        <f>IFERROR(('Q5 Actual'!K30-'Q5 Actual'!K29)/'Q5 Actual'!K29*100,"NA")</f>
        <v>6.5487884741337751E-2</v>
      </c>
      <c r="O28" s="8">
        <f>IFERROR(('Q5 Actual'!L30-'Q5 Actual'!L29)/'Q5 Actual'!L29*100,"NA")</f>
        <v>5.8479532163739363E-2</v>
      </c>
      <c r="P28" s="8">
        <f>IFERROR(('Q5 Actual'!M30-'Q5 Actual'!M29)/'Q5 Actual'!M29*100,"NA")</f>
        <v>0</v>
      </c>
      <c r="Q28" s="8">
        <f>IFERROR(('Q5 Actual'!N30-'Q5 Actual'!N29)/'Q5 Actual'!N29*100,"NA")</f>
        <v>0</v>
      </c>
      <c r="R28" s="8">
        <f>IFERROR(('Q5 Actual'!O30-'Q5 Actual'!O29)/'Q5 Actual'!O29*100,"NA")</f>
        <v>0</v>
      </c>
      <c r="S28" s="8">
        <f>IFERROR(('Q5 Actual'!P30-'Q5 Actual'!P29)/'Q5 Actual'!P29*100,"NA")</f>
        <v>0</v>
      </c>
      <c r="T28" s="8">
        <f>IFERROR(('Q5 Actual'!Q30-'Q5 Actual'!Q29)/'Q5 Actual'!Q29*100,"NA")</f>
        <v>0</v>
      </c>
      <c r="U28" s="8">
        <f>IFERROR(('Q5 Actual'!R30-'Q5 Actual'!R29)/'Q5 Actual'!R29*100,"NA")</f>
        <v>-5.3705692803434117E-2</v>
      </c>
      <c r="V28" s="8">
        <f>IFERROR(('Q5 Actual'!S30-'Q5 Actual'!S29)/'Q5 Actual'!S29*100,"NA")</f>
        <v>0</v>
      </c>
      <c r="W28" s="8">
        <f>IFERROR(('Q5 Actual'!T30-'Q5 Actual'!T29)/'Q5 Actual'!T29*100,"NA")</f>
        <v>0</v>
      </c>
      <c r="X28" s="8">
        <f>IFERROR(('Q5 Actual'!U30-'Q5 Actual'!U29)/'Q5 Actual'!U29*100,"NA")</f>
        <v>0</v>
      </c>
      <c r="Y28" s="8">
        <f>IFERROR(('Q5 Actual'!V30-'Q5 Actual'!V29)/'Q5 Actual'!V29*100,"NA")</f>
        <v>0</v>
      </c>
      <c r="Z28" s="8">
        <f>IFERROR(('Q5 Actual'!X30-'Q5 Actual'!X29)/'Q5 Actual'!X29*100,"NA")</f>
        <v>0</v>
      </c>
      <c r="AA28" s="8">
        <f>IFERROR(('Q5 Actual'!Y30-'Q5 Actual'!Y29)/'Q5 Actual'!Y29*100,"NA")</f>
        <v>0</v>
      </c>
      <c r="AB28" s="8">
        <f>IFERROR(('Q5 Actual'!AA30-'Q5 Actual'!AA29)/'Q5 Actual'!AA29*100,"NA")</f>
        <v>0</v>
      </c>
      <c r="AC28" s="8">
        <f>IFERROR(('Q5 Actual'!AB30-'Q5 Actual'!AB29)/'Q5 Actual'!AB29*100,"NA")</f>
        <v>0</v>
      </c>
      <c r="AD28" s="8">
        <f>IFERROR(('Q5 Actual'!AC30-'Q5 Actual'!AC29)/'Q5 Actual'!AC29*100,"NA")</f>
        <v>0</v>
      </c>
      <c r="AE28" s="8">
        <f>IFERROR(('Q5 Actual'!AD30-'Q5 Actual'!AD29)/'Q5 Actual'!AD29*100,"NA")</f>
        <v>0</v>
      </c>
    </row>
    <row r="29" spans="1:31">
      <c r="A29" s="12" t="s">
        <v>34</v>
      </c>
      <c r="B29" s="12">
        <v>2023</v>
      </c>
      <c r="C29" s="12" t="s">
        <v>37</v>
      </c>
      <c r="D29" s="61">
        <v>45017</v>
      </c>
      <c r="E29" s="67">
        <v>6.75</v>
      </c>
      <c r="F29" s="8">
        <f>IFERROR(('Q5 Actual'!W31-'Q5 Actual'!W30)/'Q5 Actual'!W30*100,"NA")</f>
        <v>-0.10995052226499014</v>
      </c>
      <c r="G29" s="8">
        <f>IFERROR(('Q5 Actual'!Z31-'Q5 Actual'!Z30)/'Q5 Actual'!Z30*100,"NA")</f>
        <v>0.18270401948843568</v>
      </c>
      <c r="H29" s="8">
        <f>IFERROR(('Q5 Actual'!E31-'Q5 Actual'!E30)/'Q5 Actual'!E30*100,"NA")</f>
        <v>-0.34403669724770314</v>
      </c>
      <c r="I29" s="8">
        <f>IFERROR(('Q5 Actual'!F31-'Q5 Actual'!F30)/'Q5 Actual'!F30*100,"NA")</f>
        <v>0.77034183919115207</v>
      </c>
      <c r="J29" s="8">
        <f>IFERROR(('Q5 Actual'!G31-'Q5 Actual'!G30)/'Q5 Actual'!G30*100,"NA")</f>
        <v>-3.1963470319634673</v>
      </c>
      <c r="K29" s="8">
        <f>IFERROR(('Q5 Actual'!H31-'Q5 Actual'!H30)/'Q5 Actual'!H30*100,"NA")</f>
        <v>0.62041737168640398</v>
      </c>
      <c r="L29" s="8">
        <f>IFERROR(('Q5 Actual'!I31-'Q5 Actual'!I30)/'Q5 Actual'!I30*100,"NA")</f>
        <v>-2.3995535714285623</v>
      </c>
      <c r="M29" s="8">
        <f>IFERROR(('Q5 Actual'!J31-'Q5 Actual'!J30)/'Q5 Actual'!J30*100,"NA")</f>
        <v>4.0117994100295054</v>
      </c>
      <c r="N29" s="8">
        <f>IFERROR(('Q5 Actual'!K31-'Q5 Actual'!K30)/'Q5 Actual'!K30*100,"NA")</f>
        <v>1.7015706806282684</v>
      </c>
      <c r="O29" s="8">
        <f>IFERROR(('Q5 Actual'!L31-'Q5 Actual'!L30)/'Q5 Actual'!L30*100,"NA")</f>
        <v>1.3442431326709592</v>
      </c>
      <c r="P29" s="8">
        <f>IFERROR(('Q5 Actual'!M31-'Q5 Actual'!M30)/'Q5 Actual'!M30*100,"NA")</f>
        <v>1.083333333333331</v>
      </c>
      <c r="Q29" s="8">
        <f>IFERROR(('Q5 Actual'!N31-'Q5 Actual'!N30)/'Q5 Actual'!N30*100,"NA")</f>
        <v>1.5259895088221351</v>
      </c>
      <c r="R29" s="8">
        <f>IFERROR(('Q5 Actual'!O31-'Q5 Actual'!O30)/'Q5 Actual'!O30*100,"NA")</f>
        <v>0.34822983168891136</v>
      </c>
      <c r="S29" s="8">
        <f>IFERROR(('Q5 Actual'!P31-'Q5 Actual'!P30)/'Q5 Actual'!P30*100,"NA")</f>
        <v>0.2590673575129534</v>
      </c>
      <c r="T29" s="8">
        <f>IFERROR(('Q5 Actual'!Q31-'Q5 Actual'!Q30)/'Q5 Actual'!Q30*100,"NA")</f>
        <v>0.50847457627118964</v>
      </c>
      <c r="U29" s="8">
        <f>IFERROR(('Q5 Actual'!R31-'Q5 Actual'!R30)/'Q5 Actual'!R30*100,"NA")</f>
        <v>0.42987641053197817</v>
      </c>
      <c r="V29" s="8">
        <f>IFERROR(('Q5 Actual'!S31-'Q5 Actual'!S30)/'Q5 Actual'!S30*100,"NA")</f>
        <v>0.27979854504756579</v>
      </c>
      <c r="W29" s="8">
        <f>IFERROR(('Q5 Actual'!T31-'Q5 Actual'!T30)/'Q5 Actual'!T30*100,"NA")</f>
        <v>0.32414910858994833</v>
      </c>
      <c r="X29" s="8">
        <f>IFERROR(('Q5 Actual'!U31-'Q5 Actual'!U30)/'Q5 Actual'!U30*100,"NA")</f>
        <v>0.97982708933716922</v>
      </c>
      <c r="Y29" s="8">
        <f>IFERROR(('Q5 Actual'!V31-'Q5 Actual'!V30)/'Q5 Actual'!V30*100,"NA")</f>
        <v>0.22962112514351646</v>
      </c>
      <c r="Z29" s="8">
        <f>IFERROR(('Q5 Actual'!X31-'Q5 Actual'!X30)/'Q5 Actual'!X30*100,"NA")</f>
        <v>0.32537960954446543</v>
      </c>
      <c r="AA29" s="8">
        <f>IFERROR(('Q5 Actual'!Y31-'Q5 Actual'!Y30)/'Q5 Actual'!Y30*100,"NA")</f>
        <v>1.6574585635359116</v>
      </c>
      <c r="AB29" s="8">
        <f>IFERROR(('Q5 Actual'!AA31-'Q5 Actual'!AA30)/'Q5 Actual'!AA30*100,"NA")</f>
        <v>0.23487962419258793</v>
      </c>
      <c r="AC29" s="8">
        <f>IFERROR(('Q5 Actual'!AB31-'Q5 Actual'!AB30)/'Q5 Actual'!AB30*100,"NA")</f>
        <v>0.80000000000000326</v>
      </c>
      <c r="AD29" s="8">
        <f>IFERROR(('Q5 Actual'!AC31-'Q5 Actual'!AC30)/'Q5 Actual'!AC30*100,"NA")</f>
        <v>0.55137844611528541</v>
      </c>
      <c r="AE29" s="8">
        <f>IFERROR(('Q5 Actual'!AD31-'Q5 Actual'!AD30)/'Q5 Actual'!AD30*100,"NA")</f>
        <v>0.51694428489374256</v>
      </c>
    </row>
    <row r="30" spans="1:31">
      <c r="A30" s="12" t="s">
        <v>34</v>
      </c>
      <c r="B30" s="12">
        <v>2023</v>
      </c>
      <c r="C30" s="12" t="s">
        <v>38</v>
      </c>
      <c r="D30" s="61">
        <v>45047</v>
      </c>
      <c r="E30" s="67">
        <v>-9.66</v>
      </c>
      <c r="F30" s="8">
        <f>IFERROR(('Q5 Actual'!W32-'Q5 Actual'!W31)/'Q5 Actual'!W31*100,"NA")</f>
        <v>0.60539350577876871</v>
      </c>
      <c r="G30" s="8">
        <f>IFERROR(('Q5 Actual'!Z32-'Q5 Actual'!Z31)/'Q5 Actual'!Z31*100,"NA")</f>
        <v>0.18237082066869992</v>
      </c>
      <c r="H30" s="8">
        <f>IFERROR(('Q5 Actual'!E32-'Q5 Actual'!E31)/'Q5 Actual'!E31*100,"NA")</f>
        <v>-5.7537399309564287E-2</v>
      </c>
      <c r="I30" s="8">
        <f>IFERROR(('Q5 Actual'!F32-'Q5 Actual'!F31)/'Q5 Actual'!F31*100,"NA")</f>
        <v>2.3889154323936932</v>
      </c>
      <c r="J30" s="8">
        <f>IFERROR(('Q5 Actual'!G32-'Q5 Actual'!G31)/'Q5 Actual'!G31*100,"NA")</f>
        <v>2.1226415094339588</v>
      </c>
      <c r="K30" s="8">
        <f>IFERROR(('Q5 Actual'!H32-'Q5 Actual'!H31)/'Q5 Actual'!H31*100,"NA")</f>
        <v>0.61659192825111786</v>
      </c>
      <c r="L30" s="8">
        <f>IFERROR(('Q5 Actual'!I32-'Q5 Actual'!I31)/'Q5 Actual'!I31*100,"NA")</f>
        <v>-2.8016009148084651</v>
      </c>
      <c r="M30" s="8">
        <f>IFERROR(('Q5 Actual'!J32-'Q5 Actual'!J31)/'Q5 Actual'!J31*100,"NA")</f>
        <v>-2.3255813953488502</v>
      </c>
      <c r="N30" s="8">
        <f>IFERROR(('Q5 Actual'!K32-'Q5 Actual'!K31)/'Q5 Actual'!K31*100,"NA")</f>
        <v>3.6036036036036001</v>
      </c>
      <c r="O30" s="8">
        <f>IFERROR(('Q5 Actual'!L32-'Q5 Actual'!L31)/'Q5 Actual'!L31*100,"NA")</f>
        <v>1.268742791234134</v>
      </c>
      <c r="P30" s="8">
        <f>IFERROR(('Q5 Actual'!M32-'Q5 Actual'!M31)/'Q5 Actual'!M31*100,"NA")</f>
        <v>1.1541632316570534</v>
      </c>
      <c r="Q30" s="8">
        <f>IFERROR(('Q5 Actual'!N32-'Q5 Actual'!N31)/'Q5 Actual'!N31*100,"NA")</f>
        <v>2.3954908407703117</v>
      </c>
      <c r="R30" s="8">
        <f>IFERROR(('Q5 Actual'!O32-'Q5 Actual'!O31)/'Q5 Actual'!O31*100,"NA")</f>
        <v>0.2891844997108155</v>
      </c>
      <c r="S30" s="8">
        <f>IFERROR(('Q5 Actual'!P32-'Q5 Actual'!P31)/'Q5 Actual'!P31*100,"NA")</f>
        <v>0.36175710594314658</v>
      </c>
      <c r="T30" s="8">
        <f>IFERROR(('Q5 Actual'!Q32-'Q5 Actual'!Q31)/'Q5 Actual'!Q31*100,"NA")</f>
        <v>0.6745362563237709</v>
      </c>
      <c r="U30" s="8">
        <f>IFERROR(('Q5 Actual'!R32-'Q5 Actual'!R31)/'Q5 Actual'!R31*100,"NA")</f>
        <v>0.21401819154628446</v>
      </c>
      <c r="V30" s="8">
        <f>IFERROR(('Q5 Actual'!S32-'Q5 Actual'!S31)/'Q5 Actual'!S31*100,"NA")</f>
        <v>0.27901785714285715</v>
      </c>
      <c r="W30" s="8">
        <f>IFERROR(('Q5 Actual'!T32-'Q5 Actual'!T31)/'Q5 Actual'!T31*100,"NA")</f>
        <v>0.26925148088314488</v>
      </c>
      <c r="X30" s="8">
        <f>IFERROR(('Q5 Actual'!U32-'Q5 Actual'!U31)/'Q5 Actual'!U31*100,"NA")</f>
        <v>0.22831050228310826</v>
      </c>
      <c r="Y30" s="8">
        <f>IFERROR(('Q5 Actual'!V32-'Q5 Actual'!V31)/'Q5 Actual'!V31*100,"NA")</f>
        <v>0.34364261168384552</v>
      </c>
      <c r="Z30" s="8">
        <f>IFERROR(('Q5 Actual'!X32-'Q5 Actual'!X31)/'Q5 Actual'!X31*100,"NA")</f>
        <v>0.37837837837837224</v>
      </c>
      <c r="AA30" s="8">
        <f>IFERROR(('Q5 Actual'!Y32-'Q5 Actual'!Y31)/'Q5 Actual'!Y31*100,"NA")</f>
        <v>0.65217391304347205</v>
      </c>
      <c r="AB30" s="8">
        <f>IFERROR(('Q5 Actual'!AA32-'Q5 Actual'!AA31)/'Q5 Actual'!AA31*100,"NA")</f>
        <v>0.29291154071470415</v>
      </c>
      <c r="AC30" s="8">
        <f>IFERROR(('Q5 Actual'!AB32-'Q5 Actual'!AB31)/'Q5 Actual'!AB31*100,"NA")</f>
        <v>0.39682539682539036</v>
      </c>
      <c r="AD30" s="8">
        <f>IFERROR(('Q5 Actual'!AC32-'Q5 Actual'!AC31)/'Q5 Actual'!AC31*100,"NA")</f>
        <v>0.1994017946161544</v>
      </c>
      <c r="AE30" s="8">
        <f>IFERROR(('Q5 Actual'!AD32-'Q5 Actual'!AD31)/'Q5 Actual'!AD31*100,"NA")</f>
        <v>0.39999999999999353</v>
      </c>
    </row>
    <row r="31" spans="1:31">
      <c r="D31" s="68"/>
      <c r="E31" s="69"/>
      <c r="F31" s="32"/>
      <c r="G31" s="32"/>
      <c r="H31" s="32"/>
      <c r="I31" s="32"/>
      <c r="J31" s="32"/>
      <c r="K31" s="32"/>
      <c r="L31" s="32"/>
      <c r="M31" s="32"/>
    </row>
    <row r="32" spans="1:31">
      <c r="D32" s="68"/>
      <c r="E32" s="69"/>
      <c r="F32" s="32"/>
      <c r="G32" s="32"/>
      <c r="H32" s="32"/>
      <c r="I32" s="32"/>
      <c r="J32" s="32"/>
      <c r="K32" s="32"/>
      <c r="L32" s="32"/>
      <c r="M32" s="32"/>
    </row>
    <row r="33" spans="1:13">
      <c r="D33" s="68"/>
      <c r="E33" s="69"/>
      <c r="F33" s="32"/>
      <c r="G33" s="32"/>
      <c r="H33" s="32"/>
      <c r="I33" s="32"/>
      <c r="J33" s="32"/>
      <c r="K33" s="32"/>
      <c r="L33" s="32"/>
      <c r="M33" s="32"/>
    </row>
    <row r="34" spans="1:13" ht="28.8">
      <c r="A34" s="34" t="s">
        <v>127</v>
      </c>
      <c r="B34" s="76" t="s">
        <v>132</v>
      </c>
      <c r="C34" s="74"/>
      <c r="D34" s="72"/>
    </row>
    <row r="35" spans="1:13">
      <c r="A35" s="75" t="s">
        <v>4</v>
      </c>
      <c r="B35" s="71">
        <f>CORREL($E$2:$E$30,$I$2:$I$30)</f>
        <v>0.42973093117971656</v>
      </c>
      <c r="C35" s="73"/>
      <c r="D35" s="73"/>
    </row>
    <row r="36" spans="1:13">
      <c r="A36" s="75" t="s">
        <v>7</v>
      </c>
      <c r="B36" s="33">
        <f>CORREL($E$2:$E$30,$L$2:$L$30)</f>
        <v>0.41129444264298937</v>
      </c>
      <c r="C36" s="73"/>
      <c r="D36" s="73"/>
    </row>
    <row r="37" spans="1:13">
      <c r="A37" s="75" t="s">
        <v>13</v>
      </c>
      <c r="B37" s="33">
        <f>CORREL($E$2:$E$30,$R$2:$R$30)</f>
        <v>0.21365043418242705</v>
      </c>
      <c r="C37" s="73"/>
      <c r="D37" s="73"/>
    </row>
    <row r="38" spans="1:13">
      <c r="A38" s="75" t="s">
        <v>129</v>
      </c>
      <c r="B38" s="33">
        <f>CORREL($E$2:$E$30,$F$2:$F$30)</f>
        <v>0.19144046789905109</v>
      </c>
      <c r="C38" s="73"/>
      <c r="D38" s="73"/>
    </row>
    <row r="39" spans="1:13">
      <c r="A39" s="75" t="s">
        <v>130</v>
      </c>
      <c r="B39" s="33">
        <f>CORREL($E$2:$E$30,$G$2:$G$30)</f>
        <v>0.14856521077443938</v>
      </c>
      <c r="C39" s="73"/>
      <c r="D39" s="73"/>
    </row>
    <row r="40" spans="1:13">
      <c r="A40" s="75" t="s">
        <v>16</v>
      </c>
      <c r="B40" s="33">
        <f>CORREL($E$2:$E$30,$AD$2:$AD$30)</f>
        <v>0.13539048533894854</v>
      </c>
      <c r="C40" s="73"/>
      <c r="D40" s="73"/>
    </row>
    <row r="41" spans="1:13">
      <c r="A41" s="75" t="s">
        <v>18</v>
      </c>
      <c r="B41" s="33">
        <f>CORREL($E$2:$E$30,$V$2:$V$30)</f>
        <v>0.12760319408704865</v>
      </c>
      <c r="C41" s="73"/>
      <c r="D41" s="73"/>
    </row>
    <row r="42" spans="1:13">
      <c r="A42" s="75" t="s">
        <v>25</v>
      </c>
      <c r="B42" s="33">
        <f>CORREL($E$2:$E$30,$AB$2:$AB$30)</f>
        <v>0.1008423387569555</v>
      </c>
      <c r="C42" s="73"/>
      <c r="D42" s="73"/>
    </row>
    <row r="43" spans="1:13">
      <c r="A43" s="75" t="s">
        <v>20</v>
      </c>
      <c r="B43" s="33">
        <f>CORREL($E$2:$E$30,$X$2:$X$30)</f>
        <v>8.3996363369060051E-2</v>
      </c>
    </row>
    <row r="44" spans="1:13">
      <c r="A44" s="75" t="s">
        <v>8</v>
      </c>
      <c r="B44" s="33">
        <f>CORREL($E$2:$E$30,$M$2:$M$30)</f>
        <v>8.1042054844692457E-2</v>
      </c>
    </row>
    <row r="45" spans="1:13" ht="27" customHeight="1">
      <c r="A45" s="75" t="s">
        <v>14</v>
      </c>
      <c r="B45" s="33">
        <f>CORREL($E$2:$E$30,$S$2:$S$30)</f>
        <v>7.6445908829199535E-2</v>
      </c>
    </row>
    <row r="46" spans="1:13" ht="26.25" customHeight="1">
      <c r="A46" s="75" t="s">
        <v>19</v>
      </c>
      <c r="B46" s="33">
        <f>CORREL($E$2:$E$30,$W$2:$W$30)</f>
        <v>6.9144930721209003E-2</v>
      </c>
    </row>
    <row r="47" spans="1:13">
      <c r="A47" s="75" t="s">
        <v>28</v>
      </c>
      <c r="B47" s="33">
        <f>CORREL($E$2:$E$30,$AE$2:$AE$30)</f>
        <v>5.870044141065181E-2</v>
      </c>
    </row>
    <row r="48" spans="1:13">
      <c r="A48" s="75" t="s">
        <v>17</v>
      </c>
      <c r="B48" s="33">
        <f>CORREL($E$2:$E$30,$U$2:$U$30)</f>
        <v>4.5622431662634022E-2</v>
      </c>
    </row>
    <row r="49" spans="1:31">
      <c r="A49" s="75" t="s">
        <v>23</v>
      </c>
      <c r="B49" s="33">
        <f>CORREL($E$2:$E$30,$Z$2:$Z$30)</f>
        <v>2.7453368860141738E-2</v>
      </c>
    </row>
    <row r="50" spans="1:31">
      <c r="A50" s="75" t="s">
        <v>15</v>
      </c>
      <c r="B50" s="33">
        <f>CORREL($E$2:$E$30,$T$2:$T$30)</f>
        <v>1.494592740765653E-2</v>
      </c>
    </row>
    <row r="51" spans="1:31">
      <c r="A51" s="75" t="s">
        <v>27</v>
      </c>
      <c r="B51" s="33">
        <f>CORREL($E$2:$E$30,$AA$2:$AA$30)</f>
        <v>-1.0883674968654482E-2</v>
      </c>
    </row>
    <row r="52" spans="1:31">
      <c r="A52" s="75" t="s">
        <v>9</v>
      </c>
      <c r="B52" s="33">
        <f>CORREL($E$2:$E$30,$N$2:$N$30)</f>
        <v>-2.8836407746499971E-2</v>
      </c>
    </row>
    <row r="53" spans="1:31">
      <c r="A53" s="75" t="s">
        <v>22</v>
      </c>
      <c r="B53" s="33">
        <f>CORREL($E$2:$E$30,$Y$2:$Y$30)</f>
        <v>-6.1830770347033305E-2</v>
      </c>
    </row>
    <row r="54" spans="1:31">
      <c r="A54" s="75" t="s">
        <v>26</v>
      </c>
      <c r="B54" s="33">
        <f>CORREL($E$2:$E$30,$AC$2:$AC$30)</f>
        <v>-0.15588082916437326</v>
      </c>
    </row>
    <row r="55" spans="1:31">
      <c r="A55" s="75" t="s">
        <v>12</v>
      </c>
      <c r="B55" s="33">
        <f>CORREL($E$2:$E$30,$Q$2:$Q$30)</f>
        <v>-0.18458077876168888</v>
      </c>
    </row>
    <row r="56" spans="1:31">
      <c r="A56" s="75" t="s">
        <v>5</v>
      </c>
      <c r="B56" s="71">
        <f>CORREL($E$2:$E$30,$J$2:$J$30)</f>
        <v>-0.19432921087556557</v>
      </c>
    </row>
    <row r="57" spans="1:31">
      <c r="A57" s="75" t="s">
        <v>11</v>
      </c>
      <c r="B57" s="33">
        <f>CORREL($E$2:$E$30,$P$2:$P$30)</f>
        <v>-0.2346398982588434</v>
      </c>
    </row>
    <row r="58" spans="1:31">
      <c r="A58" s="75" t="s">
        <v>10</v>
      </c>
      <c r="B58" s="33">
        <f>CORREL($E$2:$E$30,$O$2:$O$30)</f>
        <v>-0.24889777706495761</v>
      </c>
    </row>
    <row r="59" spans="1:31">
      <c r="A59" s="75" t="s">
        <v>6</v>
      </c>
      <c r="B59" s="33">
        <f>CORREL($E$2:$E$30,$K$2:$K$30)</f>
        <v>-0.28452463483082929</v>
      </c>
    </row>
    <row r="60" spans="1:31">
      <c r="A60" s="75" t="s">
        <v>131</v>
      </c>
      <c r="B60" s="33">
        <f>CORREL($E$2:$E$30,$H$2:$H$30)</f>
        <v>-0.30007476541460198</v>
      </c>
    </row>
    <row r="62" spans="1:31" s="77" customFormat="1"/>
    <row r="64" spans="1:31">
      <c r="A64" s="25" t="s">
        <v>0</v>
      </c>
      <c r="B64" s="25" t="s">
        <v>1</v>
      </c>
      <c r="C64" s="25" t="s">
        <v>2</v>
      </c>
      <c r="D64" s="25" t="s">
        <v>100</v>
      </c>
      <c r="E64" s="25" t="s">
        <v>128</v>
      </c>
      <c r="F64" s="25" t="s">
        <v>129</v>
      </c>
      <c r="G64" s="25" t="s">
        <v>130</v>
      </c>
      <c r="H64" s="25" t="s">
        <v>131</v>
      </c>
      <c r="I64" s="25" t="s">
        <v>4</v>
      </c>
      <c r="J64" s="25" t="s">
        <v>5</v>
      </c>
      <c r="K64" s="25" t="s">
        <v>6</v>
      </c>
      <c r="L64" s="25" t="s">
        <v>7</v>
      </c>
      <c r="M64" s="25" t="s">
        <v>8</v>
      </c>
      <c r="N64" s="25" t="s">
        <v>9</v>
      </c>
      <c r="O64" s="25" t="s">
        <v>10</v>
      </c>
      <c r="P64" s="25" t="s">
        <v>11</v>
      </c>
      <c r="Q64" s="25" t="s">
        <v>12</v>
      </c>
      <c r="R64" s="25" t="s">
        <v>13</v>
      </c>
      <c r="S64" s="25" t="s">
        <v>14</v>
      </c>
      <c r="T64" s="25" t="s">
        <v>15</v>
      </c>
      <c r="U64" s="25" t="s">
        <v>17</v>
      </c>
      <c r="V64" s="25" t="s">
        <v>18</v>
      </c>
      <c r="W64" s="25" t="s">
        <v>19</v>
      </c>
      <c r="X64" s="25" t="s">
        <v>20</v>
      </c>
      <c r="Y64" s="25" t="s">
        <v>22</v>
      </c>
      <c r="Z64" s="25" t="s">
        <v>23</v>
      </c>
      <c r="AA64" s="25" t="s">
        <v>27</v>
      </c>
      <c r="AB64" s="25" t="s">
        <v>25</v>
      </c>
      <c r="AC64" s="25" t="s">
        <v>26</v>
      </c>
      <c r="AD64" s="25" t="s">
        <v>16</v>
      </c>
      <c r="AE64" s="25" t="s">
        <v>28</v>
      </c>
    </row>
    <row r="65" spans="1:31">
      <c r="A65" s="12" t="s">
        <v>30</v>
      </c>
      <c r="B65" s="12">
        <v>2021</v>
      </c>
      <c r="C65" s="12" t="s">
        <v>31</v>
      </c>
      <c r="D65" s="90">
        <f t="shared" ref="D65:D93" si="0">DATE(B65,MONTH(1&amp;C65),1)</f>
        <v>44197</v>
      </c>
      <c r="E65" s="67">
        <v>8.57</v>
      </c>
      <c r="F65" s="8">
        <f>IFERROR(('Q5 Actual'!W39-'Q5 Actual'!W38)/'Q5 Actual'!W38*100,"NA")</f>
        <v>1.4794889038332328</v>
      </c>
      <c r="G65" s="8">
        <f>IFERROR(('Q5 Actual'!Z39-'Q5 Actual'!Z38)/'Q5 Actual'!Z38*100,"NA")</f>
        <v>0.7513661202185753</v>
      </c>
      <c r="H65" s="8">
        <f>IFERROR(('Q5 Actual'!E39-'Q5 Actual'!E38)/'Q5 Actual'!E38*100,"NA")</f>
        <v>-0.82987551867219134</v>
      </c>
      <c r="I65" s="8">
        <f>IFERROR(('Q5 Actual'!F39-'Q5 Actual'!F38)/'Q5 Actual'!F38*100,"NA")</f>
        <v>-0.53050397877984079</v>
      </c>
      <c r="J65" s="8">
        <f>IFERROR(('Q5 Actual'!G39-'Q5 Actual'!G38)/'Q5 Actual'!G38*100,"NA")</f>
        <v>0</v>
      </c>
      <c r="K65" s="8">
        <f>IFERROR(('Q5 Actual'!H39-'Q5 Actual'!H38)/'Q5 Actual'!H38*100,"NA")</f>
        <v>0</v>
      </c>
      <c r="L65" s="8">
        <f>IFERROR(('Q5 Actual'!I39-'Q5 Actual'!I38)/'Q5 Actual'!I38*100,"NA")</f>
        <v>3.2000000000000077</v>
      </c>
      <c r="M65" s="8">
        <f>IFERROR(('Q5 Actual'!J39-'Q5 Actual'!J38)/'Q5 Actual'!J38*100,"NA")</f>
        <v>0.75394105551747381</v>
      </c>
      <c r="N65" s="8">
        <f>IFERROR(('Q5 Actual'!K39-'Q5 Actual'!K38)/'Q5 Actual'!K38*100,"NA")</f>
        <v>-16.607460035523967</v>
      </c>
      <c r="O65" s="8">
        <f>IFERROR(('Q5 Actual'!L39-'Q5 Actual'!L38)/'Q5 Actual'!L38*100,"NA")</f>
        <v>0</v>
      </c>
      <c r="P65" s="8">
        <f>IFERROR(('Q5 Actual'!M39-'Q5 Actual'!M38)/'Q5 Actual'!M38*100,"NA")</f>
        <v>-0.52447552447553192</v>
      </c>
      <c r="Q65" s="8">
        <f>IFERROR(('Q5 Actual'!N39-'Q5 Actual'!N38)/'Q5 Actual'!N38*100,"NA")</f>
        <v>0.6116207951070336</v>
      </c>
      <c r="R65" s="8">
        <f>IFERROR(('Q5 Actual'!O39-'Q5 Actual'!O38)/'Q5 Actual'!O38*100,"NA")</f>
        <v>1.7601043024771765</v>
      </c>
      <c r="S65" s="8">
        <f>IFERROR(('Q5 Actual'!P39-'Q5 Actual'!P38)/'Q5 Actual'!P38*100,"NA")</f>
        <v>0.42787286063570729</v>
      </c>
      <c r="T65" s="8">
        <f>IFERROR(('Q5 Actual'!Q39-'Q5 Actual'!Q38)/'Q5 Actual'!Q38*100,"NA")</f>
        <v>-2.9787234042553226</v>
      </c>
      <c r="U65" s="8">
        <f>IFERROR(('Q5 Actual'!R39-'Q5 Actual'!R38)/'Q5 Actual'!R38*100,"NA")</f>
        <v>0.31847133757961787</v>
      </c>
      <c r="V65" s="8">
        <f>IFERROR(('Q5 Actual'!S39-'Q5 Actual'!S38)/'Q5 Actual'!S38*100,"NA")</f>
        <v>0.5277044854881342</v>
      </c>
      <c r="W65" s="8">
        <f>IFERROR(('Q5 Actual'!T39-'Q5 Actual'!T38)/'Q5 Actual'!T38*100,"NA")</f>
        <v>0.31989763275751759</v>
      </c>
      <c r="X65" s="8">
        <f>IFERROR(('Q5 Actual'!U39-'Q5 Actual'!U38)/'Q5 Actual'!U38*100,"NA")</f>
        <v>0</v>
      </c>
      <c r="Y65" s="8">
        <f>IFERROR(('Q5 Actual'!V39-'Q5 Actual'!V38)/'Q5 Actual'!V38*100,"NA")</f>
        <v>0.32594524119947843</v>
      </c>
      <c r="Z65" s="8">
        <f>IFERROR(('Q5 Actual'!X39-'Q5 Actual'!X38)/'Q5 Actual'!X38*100,"NA")</f>
        <v>0.55693069306931042</v>
      </c>
      <c r="AA65" s="8">
        <f>IFERROR(('Q5 Actual'!Y39-'Q5 Actual'!Y38)/'Q5 Actual'!Y38*100,"NA")</f>
        <v>-0.25542784163474186</v>
      </c>
      <c r="AB65" s="8">
        <f>IFERROR(('Q5 Actual'!AA39-'Q5 Actual'!AA38)/'Q5 Actual'!AA38*100,"NA")</f>
        <v>0.77972709551656183</v>
      </c>
      <c r="AC65" s="8">
        <f>IFERROR(('Q5 Actual'!AB39-'Q5 Actual'!AB38)/'Q5 Actual'!AB38*100,"NA")</f>
        <v>0.36832412523019908</v>
      </c>
      <c r="AD65" s="8">
        <f>IFERROR(('Q5 Actual'!AC39-'Q5 Actual'!AC38)/'Q5 Actual'!AC38*100,"NA")</f>
        <v>0.54466230936819171</v>
      </c>
      <c r="AE65" s="8">
        <f>IFERROR(('Q5 Actual'!AD39-'Q5 Actual'!AD38)/'Q5 Actual'!AD38*100,"NA")</f>
        <v>0.4510309278350626</v>
      </c>
    </row>
    <row r="66" spans="1:31">
      <c r="A66" s="12" t="s">
        <v>30</v>
      </c>
      <c r="B66" s="12">
        <v>2021</v>
      </c>
      <c r="C66" s="12" t="s">
        <v>35</v>
      </c>
      <c r="D66" s="90">
        <f t="shared" si="0"/>
        <v>44228</v>
      </c>
      <c r="E66" s="67">
        <v>13.05</v>
      </c>
      <c r="F66" s="8">
        <f>IFERROR(('Q5 Actual'!W40-'Q5 Actual'!W39)/'Q5 Actual'!W39*100,"NA")</f>
        <v>2.3194168323392974</v>
      </c>
      <c r="G66" s="8">
        <f>IFERROR(('Q5 Actual'!Z40-'Q5 Actual'!Z39)/'Q5 Actual'!Z39*100,"NA")</f>
        <v>1.8305084745762634</v>
      </c>
      <c r="H66" s="8">
        <f>IFERROR(('Q5 Actual'!E40-'Q5 Actual'!E39)/'Q5 Actual'!E39*100,"NA")</f>
        <v>-0.41841004184100022</v>
      </c>
      <c r="I66" s="8">
        <f>IFERROR(('Q5 Actual'!F40-'Q5 Actual'!F39)/'Q5 Actual'!F39*100,"NA")</f>
        <v>-1.8666666666666669</v>
      </c>
      <c r="J66" s="8">
        <f>IFERROR(('Q5 Actual'!G40-'Q5 Actual'!G39)/'Q5 Actual'!G39*100,"NA")</f>
        <v>-3.114186851211076</v>
      </c>
      <c r="K66" s="8">
        <f>IFERROR(('Q5 Actual'!H40-'Q5 Actual'!H39)/'Q5 Actual'!H39*100,"NA")</f>
        <v>0.25974025974026343</v>
      </c>
      <c r="L66" s="8">
        <f>IFERROR(('Q5 Actual'!I40-'Q5 Actual'!I39)/'Q5 Actual'!I39*100,"NA")</f>
        <v>5.2971576227390109</v>
      </c>
      <c r="M66" s="8">
        <f>IFERROR(('Q5 Actual'!J40-'Q5 Actual'!J39)/'Q5 Actual'!J39*100,"NA")</f>
        <v>0.54421768707483775</v>
      </c>
      <c r="N66" s="8">
        <f>IFERROR(('Q5 Actual'!K40-'Q5 Actual'!K39)/'Q5 Actual'!K39*100,"NA")</f>
        <v>-20.287539936102249</v>
      </c>
      <c r="O66" s="8">
        <f>IFERROR(('Q5 Actual'!L40-'Q5 Actual'!L39)/'Q5 Actual'!L39*100,"NA")</f>
        <v>-0.75235109717867632</v>
      </c>
      <c r="P66" s="8">
        <f>IFERROR(('Q5 Actual'!M40-'Q5 Actual'!M39)/'Q5 Actual'!M39*100,"NA")</f>
        <v>-1.7574692442882252</v>
      </c>
      <c r="Q66" s="8">
        <f>IFERROR(('Q5 Actual'!N40-'Q5 Actual'!N39)/'Q5 Actual'!N39*100,"NA")</f>
        <v>0.303951367781155</v>
      </c>
      <c r="R66" s="8">
        <f>IFERROR(('Q5 Actual'!O40-'Q5 Actual'!O39)/'Q5 Actual'!O39*100,"NA")</f>
        <v>2.4983984625240265</v>
      </c>
      <c r="S66" s="8">
        <f>IFERROR(('Q5 Actual'!P40-'Q5 Actual'!P39)/'Q5 Actual'!P39*100,"NA")</f>
        <v>0.91296409007912349</v>
      </c>
      <c r="T66" s="8">
        <f>IFERROR(('Q5 Actual'!Q40-'Q5 Actual'!Q39)/'Q5 Actual'!Q39*100,"NA")</f>
        <v>-3.070175438596495</v>
      </c>
      <c r="U66" s="8">
        <f>IFERROR(('Q5 Actual'!R40-'Q5 Actual'!R39)/'Q5 Actual'!R39*100,"NA")</f>
        <v>1.0158730158730123</v>
      </c>
      <c r="V66" s="8">
        <f>IFERROR(('Q5 Actual'!S40-'Q5 Actual'!S39)/'Q5 Actual'!S39*100,"NA")</f>
        <v>0.98425196850393704</v>
      </c>
      <c r="W66" s="8">
        <f>IFERROR(('Q5 Actual'!T40-'Q5 Actual'!T39)/'Q5 Actual'!T39*100,"NA")</f>
        <v>1.0204081632653024</v>
      </c>
      <c r="X66" s="8">
        <f>IFERROR(('Q5 Actual'!U40-'Q5 Actual'!U39)/'Q5 Actual'!U39*100,"NA")</f>
        <v>0</v>
      </c>
      <c r="Y66" s="8">
        <f>IFERROR(('Q5 Actual'!V40-'Q5 Actual'!V39)/'Q5 Actual'!V39*100,"NA")</f>
        <v>0.58479532163743064</v>
      </c>
      <c r="Z66" s="8">
        <f>IFERROR(('Q5 Actual'!X40-'Q5 Actual'!X39)/'Q5 Actual'!X39*100,"NA")</f>
        <v>1.1076923076923146</v>
      </c>
      <c r="AA66" s="8">
        <f>IFERROR(('Q5 Actual'!Y40-'Q5 Actual'!Y39)/'Q5 Actual'!Y39*100,"NA")</f>
        <v>-0.64020486555697831</v>
      </c>
      <c r="AB66" s="8">
        <f>IFERROR(('Q5 Actual'!AA40-'Q5 Actual'!AA39)/'Q5 Actual'!AA39*100,"NA")</f>
        <v>1.2250161186331436</v>
      </c>
      <c r="AC66" s="8">
        <f>IFERROR(('Q5 Actual'!AB40-'Q5 Actual'!AB39)/'Q5 Actual'!AB39*100,"NA")</f>
        <v>6.1162079510699893E-2</v>
      </c>
      <c r="AD66" s="8">
        <f>IFERROR(('Q5 Actual'!AC40-'Q5 Actual'!AC39)/'Q5 Actual'!AC39*100,"NA")</f>
        <v>1.0292524377031451</v>
      </c>
      <c r="AE66" s="8">
        <f>IFERROR(('Q5 Actual'!AD40-'Q5 Actual'!AD39)/'Q5 Actual'!AD39*100,"NA")</f>
        <v>0.83386786401538349</v>
      </c>
    </row>
    <row r="67" spans="1:31">
      <c r="A67" s="12" t="s">
        <v>30</v>
      </c>
      <c r="B67" s="12">
        <v>2021</v>
      </c>
      <c r="C67" s="12" t="s">
        <v>36</v>
      </c>
      <c r="D67" s="90">
        <f t="shared" si="0"/>
        <v>44256</v>
      </c>
      <c r="E67" s="67">
        <v>5.25</v>
      </c>
      <c r="F67" s="8">
        <f>IFERROR(('Q5 Actual'!W41-'Q5 Actual'!W40)/'Q5 Actual'!W40*100,"NA")</f>
        <v>1.0362694300518096</v>
      </c>
      <c r="G67" s="8">
        <f>IFERROR(('Q5 Actual'!Z41-'Q5 Actual'!Z40)/'Q5 Actual'!Z40*100,"NA")</f>
        <v>0.73235685752331747</v>
      </c>
      <c r="H67" s="8">
        <f>IFERROR(('Q5 Actual'!E41-'Q5 Actual'!E40)/'Q5 Actual'!E40*100,"NA")</f>
        <v>-0.21008403361345329</v>
      </c>
      <c r="I67" s="8">
        <f>IFERROR(('Q5 Actual'!F41-'Q5 Actual'!F40)/'Q5 Actual'!F40*100,"NA")</f>
        <v>2.9347826086956554</v>
      </c>
      <c r="J67" s="8">
        <f>IFERROR(('Q5 Actual'!G41-'Q5 Actual'!G40)/'Q5 Actual'!G40*100,"NA")</f>
        <v>-2.8571428571428639</v>
      </c>
      <c r="K67" s="8">
        <f>IFERROR(('Q5 Actual'!H41-'Q5 Actual'!H40)/'Q5 Actual'!H40*100,"NA")</f>
        <v>6.4766839378234659E-2</v>
      </c>
      <c r="L67" s="8">
        <f>IFERROR(('Q5 Actual'!I41-'Q5 Actual'!I40)/'Q5 Actual'!I40*100,"NA")</f>
        <v>3.1901840490797473</v>
      </c>
      <c r="M67" s="8">
        <f>IFERROR(('Q5 Actual'!J41-'Q5 Actual'!J40)/'Q5 Actual'!J40*100,"NA")</f>
        <v>1.8267929634641327</v>
      </c>
      <c r="N67" s="8">
        <f>IFERROR(('Q5 Actual'!K41-'Q5 Actual'!K40)/'Q5 Actual'!K40*100,"NA")</f>
        <v>-5.8116232464929789</v>
      </c>
      <c r="O67" s="8">
        <f>IFERROR(('Q5 Actual'!L41-'Q5 Actual'!L40)/'Q5 Actual'!L40*100,"NA")</f>
        <v>0.56854074542007405</v>
      </c>
      <c r="P67" s="8">
        <f>IFERROR(('Q5 Actual'!M41-'Q5 Actual'!M40)/'Q5 Actual'!M40*100,"NA")</f>
        <v>-8.9445438282642495E-2</v>
      </c>
      <c r="Q67" s="8">
        <f>IFERROR(('Q5 Actual'!N41-'Q5 Actual'!N40)/'Q5 Actual'!N40*100,"NA")</f>
        <v>-0.60606060606060608</v>
      </c>
      <c r="R67" s="8">
        <f>IFERROR(('Q5 Actual'!O41-'Q5 Actual'!O40)/'Q5 Actual'!O40*100,"NA")</f>
        <v>0.37499999999999645</v>
      </c>
      <c r="S67" s="8">
        <f>IFERROR(('Q5 Actual'!P41-'Q5 Actual'!P40)/'Q5 Actual'!P40*100,"NA")</f>
        <v>0.36188178528347059</v>
      </c>
      <c r="T67" s="8">
        <f>IFERROR(('Q5 Actual'!Q41-'Q5 Actual'!Q40)/'Q5 Actual'!Q40*100,"NA")</f>
        <v>-0.12928248222365135</v>
      </c>
      <c r="U67" s="8">
        <f>IFERROR(('Q5 Actual'!R41-'Q5 Actual'!R40)/'Q5 Actual'!R40*100,"NA")</f>
        <v>0.31426775612822128</v>
      </c>
      <c r="V67" s="8">
        <f>IFERROR(('Q5 Actual'!S41-'Q5 Actual'!S40)/'Q5 Actual'!S40*100,"NA")</f>
        <v>0.32488628979857048</v>
      </c>
      <c r="W67" s="8">
        <f>IFERROR(('Q5 Actual'!T41-'Q5 Actual'!T40)/'Q5 Actual'!T40*100,"NA")</f>
        <v>0.31565656565656564</v>
      </c>
      <c r="X67" s="8">
        <f>IFERROR(('Q5 Actual'!U41-'Q5 Actual'!U40)/'Q5 Actual'!U40*100,"NA")</f>
        <v>0</v>
      </c>
      <c r="Y67" s="8">
        <f>IFERROR(('Q5 Actual'!V41-'Q5 Actual'!V40)/'Q5 Actual'!V40*100,"NA")</f>
        <v>0</v>
      </c>
      <c r="Z67" s="8">
        <f>IFERROR(('Q5 Actual'!X41-'Q5 Actual'!X40)/'Q5 Actual'!X40*100,"NA")</f>
        <v>0.18259281801581434</v>
      </c>
      <c r="AA67" s="8">
        <f>IFERROR(('Q5 Actual'!Y41-'Q5 Actual'!Y40)/'Q5 Actual'!Y40*100,"NA")</f>
        <v>-1.3530927835051509</v>
      </c>
      <c r="AB67" s="8">
        <f>IFERROR(('Q5 Actual'!AA41-'Q5 Actual'!AA40)/'Q5 Actual'!AA40*100,"NA")</f>
        <v>0.50955414012739575</v>
      </c>
      <c r="AC67" s="8">
        <f>IFERROR(('Q5 Actual'!AB41-'Q5 Actual'!AB40)/'Q5 Actual'!AB40*100,"NA")</f>
        <v>0.12224938875306667</v>
      </c>
      <c r="AD67" s="8">
        <f>IFERROR(('Q5 Actual'!AC41-'Q5 Actual'!AC40)/'Q5 Actual'!AC40*100,"NA")</f>
        <v>-0.21447721179624971</v>
      </c>
      <c r="AE67" s="8">
        <f>IFERROR(('Q5 Actual'!AD41-'Q5 Actual'!AD40)/'Q5 Actual'!AD40*100,"NA")</f>
        <v>6.3613231552177324E-2</v>
      </c>
    </row>
    <row r="68" spans="1:31">
      <c r="A68" s="12" t="s">
        <v>30</v>
      </c>
      <c r="B68" s="12">
        <v>2021</v>
      </c>
      <c r="C68" s="12" t="s">
        <v>37</v>
      </c>
      <c r="D68" s="90">
        <f t="shared" si="0"/>
        <v>44287</v>
      </c>
      <c r="E68" s="67">
        <v>1.5699999999999998</v>
      </c>
      <c r="F68" s="8">
        <f>IFERROR(('Q5 Actual'!W42-'Q5 Actual'!W41)/'Q5 Actual'!W41*100,"NA")</f>
        <v>1.8589743589743628</v>
      </c>
      <c r="G68" s="8">
        <f>IFERROR(('Q5 Actual'!Z42-'Q5 Actual'!Z41)/'Q5 Actual'!Z41*100,"NA")</f>
        <v>0.26437541308656787</v>
      </c>
      <c r="H68" s="8">
        <f>IFERROR(('Q5 Actual'!E42-'Q5 Actual'!E41)/'Q5 Actual'!E41*100,"NA")</f>
        <v>0.14035087719297448</v>
      </c>
      <c r="I68" s="8">
        <f>IFERROR(('Q5 Actual'!F42-'Q5 Actual'!F41)/'Q5 Actual'!F41*100,"NA")</f>
        <v>3.2206969376979906</v>
      </c>
      <c r="J68" s="8">
        <f>IFERROR(('Q5 Actual'!G42-'Q5 Actual'!G41)/'Q5 Actual'!G41*100,"NA")</f>
        <v>0.12254901960785358</v>
      </c>
      <c r="K68" s="8">
        <f>IFERROR(('Q5 Actual'!H42-'Q5 Actual'!H41)/'Q5 Actual'!H41*100,"NA")</f>
        <v>0.3236245954692557</v>
      </c>
      <c r="L68" s="8">
        <f>IFERROR(('Q5 Actual'!I42-'Q5 Actual'!I41)/'Q5 Actual'!I41*100,"NA")</f>
        <v>4.1617122473246138</v>
      </c>
      <c r="M68" s="8">
        <f>IFERROR(('Q5 Actual'!J42-'Q5 Actual'!J41)/'Q5 Actual'!J41*100,"NA")</f>
        <v>6.7109634551494972</v>
      </c>
      <c r="N68" s="8">
        <f>IFERROR(('Q5 Actual'!K42-'Q5 Actual'!K41)/'Q5 Actual'!K41*100,"NA")</f>
        <v>-4.184397163120571</v>
      </c>
      <c r="O68" s="8">
        <f>IFERROR(('Q5 Actual'!L42-'Q5 Actual'!L41)/'Q5 Actual'!L41*100,"NA")</f>
        <v>1.1934673366834208</v>
      </c>
      <c r="P68" s="8">
        <f>IFERROR(('Q5 Actual'!M42-'Q5 Actual'!M41)/'Q5 Actual'!M41*100,"NA")</f>
        <v>0.44762757385854968</v>
      </c>
      <c r="Q68" s="8">
        <f>IFERROR(('Q5 Actual'!N42-'Q5 Actual'!N41)/'Q5 Actual'!N41*100,"NA")</f>
        <v>0.24390243902439371</v>
      </c>
      <c r="R68" s="8">
        <f>IFERROR(('Q5 Actual'!O42-'Q5 Actual'!O41)/'Q5 Actual'!O41*100,"NA")</f>
        <v>0.80946450809465209</v>
      </c>
      <c r="S68" s="8">
        <f>IFERROR(('Q5 Actual'!P42-'Q5 Actual'!P41)/'Q5 Actual'!P41*100,"NA")</f>
        <v>0.24038461538461878</v>
      </c>
      <c r="T68" s="8">
        <f>IFERROR(('Q5 Actual'!Q42-'Q5 Actual'!Q41)/'Q5 Actual'!Q41*100,"NA")</f>
        <v>0.71197411003235878</v>
      </c>
      <c r="U68" s="8">
        <f>IFERROR(('Q5 Actual'!R42-'Q5 Actual'!R41)/'Q5 Actual'!R41*100,"NA")</f>
        <v>0.68922305764410674</v>
      </c>
      <c r="V68" s="8">
        <f>IFERROR(('Q5 Actual'!S42-'Q5 Actual'!S41)/'Q5 Actual'!S41*100,"NA")</f>
        <v>0.45336787564766101</v>
      </c>
      <c r="W68" s="8">
        <f>IFERROR(('Q5 Actual'!T42-'Q5 Actual'!T41)/'Q5 Actual'!T41*100,"NA")</f>
        <v>0.62932662051604771</v>
      </c>
      <c r="X68" s="8">
        <f>IFERROR(('Q5 Actual'!U42-'Q5 Actual'!U41)/'Q5 Actual'!U41*100,"NA")</f>
        <v>0</v>
      </c>
      <c r="Y68" s="8">
        <f>IFERROR(('Q5 Actual'!V42-'Q5 Actual'!V41)/'Q5 Actual'!V41*100,"NA")</f>
        <v>0.45219638242893317</v>
      </c>
      <c r="Z68" s="8">
        <f>IFERROR(('Q5 Actual'!X42-'Q5 Actual'!X41)/'Q5 Actual'!X41*100,"NA")</f>
        <v>0.42527339003646236</v>
      </c>
      <c r="AA68" s="8">
        <f>IFERROR(('Q5 Actual'!Y42-'Q5 Actual'!Y41)/'Q5 Actual'!Y41*100,"NA")</f>
        <v>0.97975179621162634</v>
      </c>
      <c r="AB68" s="8">
        <f>IFERROR(('Q5 Actual'!AA42-'Q5 Actual'!AA41)/'Q5 Actual'!AA41*100,"NA")</f>
        <v>0.50697084917616153</v>
      </c>
      <c r="AC68" s="8">
        <f>IFERROR(('Q5 Actual'!AB42-'Q5 Actual'!AB41)/'Q5 Actual'!AB41*100,"NA")</f>
        <v>0.18315018315017273</v>
      </c>
      <c r="AD68" s="8">
        <f>IFERROR(('Q5 Actual'!AC42-'Q5 Actual'!AC41)/'Q5 Actual'!AC41*100,"NA")</f>
        <v>0.37614185921548471</v>
      </c>
      <c r="AE68" s="8">
        <f>IFERROR(('Q5 Actual'!AD42-'Q5 Actual'!AD41)/'Q5 Actual'!AD41*100,"NA")</f>
        <v>0.44500953591861958</v>
      </c>
    </row>
    <row r="69" spans="1:31">
      <c r="A69" s="12" t="s">
        <v>30</v>
      </c>
      <c r="B69" s="12">
        <v>2021</v>
      </c>
      <c r="C69" s="12" t="s">
        <v>38</v>
      </c>
      <c r="D69" s="90">
        <f t="shared" si="0"/>
        <v>44317</v>
      </c>
      <c r="E69" s="67">
        <v>3.55</v>
      </c>
      <c r="F69" s="8">
        <f>IFERROR(('Q5 Actual'!W43-'Q5 Actual'!W42)/'Q5 Actual'!W42*100,"NA")</f>
        <v>1.762114537444923</v>
      </c>
      <c r="G69" s="8">
        <f>IFERROR(('Q5 Actual'!Z43-'Q5 Actual'!Z42)/'Q5 Actual'!Z42*100,"NA")</f>
        <v>0.98879367172050103</v>
      </c>
      <c r="H69" s="8">
        <f>IFERROR(('Q5 Actual'!E43-'Q5 Actual'!E42)/'Q5 Actual'!E42*100,"NA")</f>
        <v>1.6818500350385464</v>
      </c>
      <c r="I69" s="8">
        <f>IFERROR(('Q5 Actual'!F43-'Q5 Actual'!F42)/'Q5 Actual'!F42*100,"NA")</f>
        <v>1.5345268542199488</v>
      </c>
      <c r="J69" s="8">
        <f>IFERROR(('Q5 Actual'!G43-'Q5 Actual'!G42)/'Q5 Actual'!G42*100,"NA")</f>
        <v>3.1823745410036652</v>
      </c>
      <c r="K69" s="8">
        <f>IFERROR(('Q5 Actual'!H43-'Q5 Actual'!H42)/'Q5 Actual'!H42*100,"NA")</f>
        <v>0.51612903225807194</v>
      </c>
      <c r="L69" s="8">
        <f>IFERROR(('Q5 Actual'!I43-'Q5 Actual'!I42)/'Q5 Actual'!I42*100,"NA")</f>
        <v>5.2511415525114256</v>
      </c>
      <c r="M69" s="8">
        <f>IFERROR(('Q5 Actual'!J43-'Q5 Actual'!J42)/'Q5 Actual'!J42*100,"NA")</f>
        <v>1.0585305105853158</v>
      </c>
      <c r="N69" s="8">
        <f>IFERROR(('Q5 Actual'!K43-'Q5 Actual'!K42)/'Q5 Actual'!K42*100,"NA")</f>
        <v>2.4426350851221401</v>
      </c>
      <c r="O69" s="8">
        <f>IFERROR(('Q5 Actual'!L43-'Q5 Actual'!L42)/'Q5 Actual'!L42*100,"NA")</f>
        <v>2.4829298572315333</v>
      </c>
      <c r="P69" s="8">
        <f>IFERROR(('Q5 Actual'!M43-'Q5 Actual'!M42)/'Q5 Actual'!M42*100,"NA")</f>
        <v>1.8716577540106902</v>
      </c>
      <c r="Q69" s="8">
        <f>IFERROR(('Q5 Actual'!N43-'Q5 Actual'!N42)/'Q5 Actual'!N42*100,"NA")</f>
        <v>3.2238442822384328</v>
      </c>
      <c r="R69" s="8">
        <f>IFERROR(('Q5 Actual'!O43-'Q5 Actual'!O42)/'Q5 Actual'!O42*100,"NA")</f>
        <v>1.6676961087090727</v>
      </c>
      <c r="S69" s="8">
        <f>IFERROR(('Q5 Actual'!P43-'Q5 Actual'!P42)/'Q5 Actual'!P42*100,"NA")</f>
        <v>1.7985611510791366</v>
      </c>
      <c r="T69" s="8">
        <f>IFERROR(('Q5 Actual'!Q43-'Q5 Actual'!Q42)/'Q5 Actual'!Q42*100,"NA")</f>
        <v>1.9922879177377857</v>
      </c>
      <c r="U69" s="8">
        <f>IFERROR(('Q5 Actual'!R43-'Q5 Actual'!R42)/'Q5 Actual'!R42*100,"NA")</f>
        <v>2.8624766645924229</v>
      </c>
      <c r="V69" s="8">
        <f>IFERROR(('Q5 Actual'!S43-'Q5 Actual'!S42)/'Q5 Actual'!S42*100,"NA")</f>
        <v>3.5460992907801421</v>
      </c>
      <c r="W69" s="8">
        <f>IFERROR(('Q5 Actual'!T43-'Q5 Actual'!T42)/'Q5 Actual'!T42*100,"NA")</f>
        <v>2.8767979987492147</v>
      </c>
      <c r="X69" s="8">
        <f>IFERROR(('Q5 Actual'!U43-'Q5 Actual'!U42)/'Q5 Actual'!U42*100,"NA")</f>
        <v>0</v>
      </c>
      <c r="Y69" s="8">
        <f>IFERROR(('Q5 Actual'!V43-'Q5 Actual'!V42)/'Q5 Actual'!V42*100,"NA")</f>
        <v>2.1221864951768565</v>
      </c>
      <c r="Z69" s="8">
        <f>IFERROR(('Q5 Actual'!X43-'Q5 Actual'!X42)/'Q5 Actual'!X42*100,"NA")</f>
        <v>2.2988505747126333</v>
      </c>
      <c r="AA69" s="8">
        <f>IFERROR(('Q5 Actual'!Y43-'Q5 Actual'!Y42)/'Q5 Actual'!Y42*100,"NA")</f>
        <v>3.0401034928848754</v>
      </c>
      <c r="AB69" s="8">
        <f>IFERROR(('Q5 Actual'!AA43-'Q5 Actual'!AA42)/'Q5 Actual'!AA42*100,"NA")</f>
        <v>0.88272383354350925</v>
      </c>
      <c r="AC69" s="8">
        <f>IFERROR(('Q5 Actual'!AB43-'Q5 Actual'!AB42)/'Q5 Actual'!AB42*100,"NA")</f>
        <v>2.1328458257160272</v>
      </c>
      <c r="AD69" s="8">
        <f>IFERROR(('Q5 Actual'!AC43-'Q5 Actual'!AC42)/'Q5 Actual'!AC42*100,"NA")</f>
        <v>1.4989293361884277</v>
      </c>
      <c r="AE69" s="8">
        <f>IFERROR(('Q5 Actual'!AD43-'Q5 Actual'!AD42)/'Q5 Actual'!AD42*100,"NA")</f>
        <v>1.9620253164556924</v>
      </c>
    </row>
    <row r="70" spans="1:31">
      <c r="A70" s="12" t="s">
        <v>30</v>
      </c>
      <c r="B70" s="12">
        <v>2021</v>
      </c>
      <c r="C70" s="12" t="s">
        <v>39</v>
      </c>
      <c r="D70" s="90">
        <f t="shared" si="0"/>
        <v>44348</v>
      </c>
      <c r="E70" s="67">
        <v>7.6899999999999995</v>
      </c>
      <c r="F70" s="8">
        <f>IFERROR(('Q5 Actual'!W44-'Q5 Actual'!W43)/'Q5 Actual'!W43*100,"NA")</f>
        <v>0.24737167594310805</v>
      </c>
      <c r="G70" s="8">
        <f>IFERROR(('Q5 Actual'!Z44-'Q5 Actual'!Z43)/'Q5 Actual'!Z43*100,"NA")</f>
        <v>0.65274151436031336</v>
      </c>
      <c r="H70" s="8">
        <f>IFERROR(('Q5 Actual'!E44-'Q5 Actual'!E43)/'Q5 Actual'!E43*100,"NA")</f>
        <v>0.34458993797381116</v>
      </c>
      <c r="I70" s="8">
        <f>IFERROR(('Q5 Actual'!F44-'Q5 Actual'!F43)/'Q5 Actual'!F43*100,"NA")</f>
        <v>0.80604534005037509</v>
      </c>
      <c r="J70" s="8">
        <f>IFERROR(('Q5 Actual'!G44-'Q5 Actual'!G43)/'Q5 Actual'!G43*100,"NA")</f>
        <v>6.3463819691577799</v>
      </c>
      <c r="K70" s="8">
        <f>IFERROR(('Q5 Actual'!H44-'Q5 Actual'!H43)/'Q5 Actual'!H43*100,"NA")</f>
        <v>0.19255455712450764</v>
      </c>
      <c r="L70" s="8">
        <f>IFERROR(('Q5 Actual'!I44-'Q5 Actual'!I43)/'Q5 Actual'!I43*100,"NA")</f>
        <v>3.2537960954446854</v>
      </c>
      <c r="M70" s="8">
        <f>IFERROR(('Q5 Actual'!J44-'Q5 Actual'!J43)/'Q5 Actual'!J43*100,"NA")</f>
        <v>-2.2797288971041385</v>
      </c>
      <c r="N70" s="8">
        <f>IFERROR(('Q5 Actual'!K44-'Q5 Actual'!K43)/'Q5 Actual'!K43*100,"NA")</f>
        <v>4.5520231213872702</v>
      </c>
      <c r="O70" s="8">
        <f>IFERROR(('Q5 Actual'!L44-'Q5 Actual'!L43)/'Q5 Actual'!L43*100,"NA")</f>
        <v>0.2422774076317418</v>
      </c>
      <c r="P70" s="8">
        <f>IFERROR(('Q5 Actual'!M44-'Q5 Actual'!M43)/'Q5 Actual'!M43*100,"NA")</f>
        <v>0.26246719160104737</v>
      </c>
      <c r="Q70" s="8">
        <f>IFERROR(('Q5 Actual'!N44-'Q5 Actual'!N43)/'Q5 Actual'!N43*100,"NA")</f>
        <v>0.17678255745433788</v>
      </c>
      <c r="R70" s="8">
        <f>IFERROR(('Q5 Actual'!O44-'Q5 Actual'!O43)/'Q5 Actual'!O43*100,"NA")</f>
        <v>0.5467800729040132</v>
      </c>
      <c r="S70" s="8">
        <f>IFERROR(('Q5 Actual'!P44-'Q5 Actual'!P43)/'Q5 Actual'!P43*100,"NA")</f>
        <v>1.1189634864546392</v>
      </c>
      <c r="T70" s="8">
        <f>IFERROR(('Q5 Actual'!Q44-'Q5 Actual'!Q43)/'Q5 Actual'!Q43*100,"NA")</f>
        <v>1.1342155009451869</v>
      </c>
      <c r="U70" s="8">
        <f>IFERROR(('Q5 Actual'!R44-'Q5 Actual'!R43)/'Q5 Actual'!R43*100,"NA")</f>
        <v>0</v>
      </c>
      <c r="V70" s="8">
        <f>IFERROR(('Q5 Actual'!S44-'Q5 Actual'!S43)/'Q5 Actual'!S43*100,"NA")</f>
        <v>-0.43586550435864796</v>
      </c>
      <c r="W70" s="8">
        <f>IFERROR(('Q5 Actual'!T44-'Q5 Actual'!T43)/'Q5 Actual'!T43*100,"NA")</f>
        <v>6.0790273556227549E-2</v>
      </c>
      <c r="X70" s="8">
        <f>IFERROR(('Q5 Actual'!U44-'Q5 Actual'!U43)/'Q5 Actual'!U43*100,"NA")</f>
        <v>0</v>
      </c>
      <c r="Y70" s="8">
        <f>IFERROR(('Q5 Actual'!V44-'Q5 Actual'!V43)/'Q5 Actual'!V43*100,"NA")</f>
        <v>0.25188916876572875</v>
      </c>
      <c r="Z70" s="8">
        <f>IFERROR(('Q5 Actual'!X44-'Q5 Actual'!X43)/'Q5 Actual'!X43*100,"NA")</f>
        <v>0.35481963335304223</v>
      </c>
      <c r="AA70" s="8">
        <f>IFERROR(('Q5 Actual'!Y44-'Q5 Actual'!Y43)/'Q5 Actual'!Y43*100,"NA")</f>
        <v>6.2774639045821909E-2</v>
      </c>
      <c r="AB70" s="8">
        <f>IFERROR(('Q5 Actual'!AA44-'Q5 Actual'!AA43)/'Q5 Actual'!AA43*100,"NA")</f>
        <v>0.25000000000000355</v>
      </c>
      <c r="AC70" s="8">
        <f>IFERROR(('Q5 Actual'!AB44-'Q5 Actual'!AB43)/'Q5 Actual'!AB43*100,"NA")</f>
        <v>-0.47732696897373689</v>
      </c>
      <c r="AD70" s="8">
        <f>IFERROR(('Q5 Actual'!AC44-'Q5 Actual'!AC43)/'Q5 Actual'!AC43*100,"NA")</f>
        <v>-0.26371308016877637</v>
      </c>
      <c r="AE70" s="8">
        <f>IFERROR(('Q5 Actual'!AD44-'Q5 Actual'!AD43)/'Q5 Actual'!AD43*100,"NA")</f>
        <v>0.24829298572315689</v>
      </c>
    </row>
    <row r="71" spans="1:31">
      <c r="A71" s="12" t="s">
        <v>30</v>
      </c>
      <c r="B71" s="12">
        <v>2021</v>
      </c>
      <c r="C71" s="12" t="s">
        <v>40</v>
      </c>
      <c r="D71" s="90">
        <f t="shared" si="0"/>
        <v>44378</v>
      </c>
      <c r="E71" s="67">
        <v>3.1399999999999997</v>
      </c>
      <c r="F71" s="8">
        <f>IFERROR(('Q5 Actual'!W45-'Q5 Actual'!W44)/'Q5 Actual'!W44*100,"NA")</f>
        <v>0.24676125848242178</v>
      </c>
      <c r="G71" s="8">
        <f>IFERROR(('Q5 Actual'!Z45-'Q5 Actual'!Z44)/'Q5 Actual'!Z44*100,"NA")</f>
        <v>1.8806744487678377</v>
      </c>
      <c r="H71" s="8">
        <f>IFERROR(('Q5 Actual'!E45-'Q5 Actual'!E44)/'Q5 Actual'!E44*100,"NA")</f>
        <v>-0.34340659340659341</v>
      </c>
      <c r="I71" s="8">
        <f>IFERROR(('Q5 Actual'!F45-'Q5 Actual'!F44)/'Q5 Actual'!F44*100,"NA")</f>
        <v>2.1989005497251402</v>
      </c>
      <c r="J71" s="8">
        <f>IFERROR(('Q5 Actual'!G45-'Q5 Actual'!G44)/'Q5 Actual'!G44*100,"NA")</f>
        <v>0.61349693251533421</v>
      </c>
      <c r="K71" s="8">
        <f>IFERROR(('Q5 Actual'!H45-'Q5 Actual'!H44)/'Q5 Actual'!H44*100,"NA")</f>
        <v>0.64061499039077519</v>
      </c>
      <c r="L71" s="8">
        <f>IFERROR(('Q5 Actual'!I45-'Q5 Actual'!I44)/'Q5 Actual'!I44*100,"NA")</f>
        <v>-0.89285714285715179</v>
      </c>
      <c r="M71" s="8">
        <f>IFERROR(('Q5 Actual'!J45-'Q5 Actual'!J44)/'Q5 Actual'!J44*100,"NA")</f>
        <v>-0.56746532156368579</v>
      </c>
      <c r="N71" s="8">
        <f>IFERROR(('Q5 Actual'!K45-'Q5 Actual'!K44)/'Q5 Actual'!K44*100,"NA")</f>
        <v>5.5977885279889588</v>
      </c>
      <c r="O71" s="8">
        <f>IFERROR(('Q5 Actual'!L45-'Q5 Actual'!L44)/'Q5 Actual'!L44*100,"NA")</f>
        <v>-1.1480362537764384</v>
      </c>
      <c r="P71" s="8">
        <f>IFERROR(('Q5 Actual'!M45-'Q5 Actual'!M44)/'Q5 Actual'!M44*100,"NA")</f>
        <v>-0.61082024432808779</v>
      </c>
      <c r="Q71" s="8">
        <f>IFERROR(('Q5 Actual'!N45-'Q5 Actual'!N44)/'Q5 Actual'!N44*100,"NA")</f>
        <v>-0.17647058823530079</v>
      </c>
      <c r="R71" s="8">
        <f>IFERROR(('Q5 Actual'!O45-'Q5 Actual'!O44)/'Q5 Actual'!O44*100,"NA")</f>
        <v>0.42296072507552185</v>
      </c>
      <c r="S71" s="8">
        <f>IFERROR(('Q5 Actual'!P45-'Q5 Actual'!P44)/'Q5 Actual'!P44*100,"NA")</f>
        <v>-0.40768782760628347</v>
      </c>
      <c r="T71" s="8">
        <f>IFERROR(('Q5 Actual'!Q45-'Q5 Actual'!Q44)/'Q5 Actual'!Q44*100,"NA")</f>
        <v>0.74766355140186203</v>
      </c>
      <c r="U71" s="8">
        <f>IFERROR(('Q5 Actual'!R45-'Q5 Actual'!R44)/'Q5 Actual'!R44*100,"NA")</f>
        <v>0.42347247428916429</v>
      </c>
      <c r="V71" s="8">
        <f>IFERROR(('Q5 Actual'!S45-'Q5 Actual'!S44)/'Q5 Actual'!S44*100,"NA")</f>
        <v>0.75046904315196283</v>
      </c>
      <c r="W71" s="8">
        <f>IFERROR(('Q5 Actual'!T45-'Q5 Actual'!T44)/'Q5 Actual'!T44*100,"NA")</f>
        <v>0.42527339003646236</v>
      </c>
      <c r="X71" s="8">
        <f>IFERROR(('Q5 Actual'!U45-'Q5 Actual'!U44)/'Q5 Actual'!U44*100,"NA")</f>
        <v>0</v>
      </c>
      <c r="Y71" s="8">
        <f>IFERROR(('Q5 Actual'!V45-'Q5 Actual'!V44)/'Q5 Actual'!V44*100,"NA")</f>
        <v>0.69095477386936111</v>
      </c>
      <c r="Z71" s="8">
        <f>IFERROR(('Q5 Actual'!X45-'Q5 Actual'!X44)/'Q5 Actual'!X44*100,"NA")</f>
        <v>0.4124926340601161</v>
      </c>
      <c r="AA71" s="8">
        <f>IFERROR(('Q5 Actual'!Y45-'Q5 Actual'!Y44)/'Q5 Actual'!Y44*100,"NA")</f>
        <v>0.62735257214554585</v>
      </c>
      <c r="AB71" s="8">
        <f>IFERROR(('Q5 Actual'!AA45-'Q5 Actual'!AA44)/'Q5 Actual'!AA44*100,"NA")</f>
        <v>0.18703241895260783</v>
      </c>
      <c r="AC71" s="8">
        <f>IFERROR(('Q5 Actual'!AB45-'Q5 Actual'!AB44)/'Q5 Actual'!AB44*100,"NA")</f>
        <v>0.23980815347720458</v>
      </c>
      <c r="AD71" s="8">
        <f>IFERROR(('Q5 Actual'!AC45-'Q5 Actual'!AC44)/'Q5 Actual'!AC44*100,"NA")</f>
        <v>0.31729243786356126</v>
      </c>
      <c r="AE71" s="8">
        <f>IFERROR(('Q5 Actual'!AD45-'Q5 Actual'!AD44)/'Q5 Actual'!AD44*100,"NA")</f>
        <v>0.8049535603715241</v>
      </c>
    </row>
    <row r="72" spans="1:31">
      <c r="A72" s="12" t="s">
        <v>30</v>
      </c>
      <c r="B72" s="12">
        <v>2021</v>
      </c>
      <c r="C72" s="12" t="s">
        <v>41</v>
      </c>
      <c r="D72" s="90">
        <f t="shared" si="0"/>
        <v>44409</v>
      </c>
      <c r="E72" s="67">
        <v>-6.3100000000000005</v>
      </c>
      <c r="F72" s="8">
        <f>IFERROR(('Q5 Actual'!W46-'Q5 Actual'!W45)/'Q5 Actual'!W45*100,"NA")</f>
        <v>0.36923076923076575</v>
      </c>
      <c r="G72" s="8">
        <f>IFERROR(('Q5 Actual'!Z46-'Q5 Actual'!Z45)/'Q5 Actual'!Z45*100,"NA")</f>
        <v>0.38192234245703011</v>
      </c>
      <c r="H72" s="8">
        <f>IFERROR(('Q5 Actual'!E46-'Q5 Actual'!E45)/'Q5 Actual'!E45*100,"NA")</f>
        <v>-0.13783597518951662</v>
      </c>
      <c r="I72" s="8">
        <f>IFERROR(('Q5 Actual'!F46-'Q5 Actual'!F45)/'Q5 Actual'!F45*100,"NA")</f>
        <v>-1.0757946210268894</v>
      </c>
      <c r="J72" s="8">
        <f>IFERROR(('Q5 Actual'!G46-'Q5 Actual'!G45)/'Q5 Actual'!G45*100,"NA")</f>
        <v>-2.1618625277161891</v>
      </c>
      <c r="K72" s="8">
        <f>IFERROR(('Q5 Actual'!H46-'Q5 Actual'!H45)/'Q5 Actual'!H45*100,"NA")</f>
        <v>0.25461489497135947</v>
      </c>
      <c r="L72" s="8">
        <f>IFERROR(('Q5 Actual'!I46-'Q5 Actual'!I45)/'Q5 Actual'!I45*100,"NA")</f>
        <v>1.1658717541070573</v>
      </c>
      <c r="M72" s="8">
        <f>IFERROR(('Q5 Actual'!J46-'Q5 Actual'!J45)/'Q5 Actual'!J45*100,"NA")</f>
        <v>-1.2682308180088777</v>
      </c>
      <c r="N72" s="8">
        <f>IFERROR(('Q5 Actual'!K46-'Q5 Actual'!K45)/'Q5 Actual'!K45*100,"NA")</f>
        <v>0.71989528795811142</v>
      </c>
      <c r="O72" s="8">
        <f>IFERROR(('Q5 Actual'!L46-'Q5 Actual'!L45)/'Q5 Actual'!L45*100,"NA")</f>
        <v>-0.48899755501221454</v>
      </c>
      <c r="P72" s="8">
        <f>IFERROR(('Q5 Actual'!M46-'Q5 Actual'!M45)/'Q5 Actual'!M45*100,"NA")</f>
        <v>1.1413520632133425</v>
      </c>
      <c r="Q72" s="8">
        <f>IFERROR(('Q5 Actual'!N46-'Q5 Actual'!N45)/'Q5 Actual'!N45*100,"NA")</f>
        <v>5.8927519151457122E-2</v>
      </c>
      <c r="R72" s="8">
        <f>IFERROR(('Q5 Actual'!O46-'Q5 Actual'!O45)/'Q5 Actual'!O45*100,"NA")</f>
        <v>0.84235860409145946</v>
      </c>
      <c r="S72" s="8">
        <f>IFERROR(('Q5 Actual'!P46-'Q5 Actual'!P45)/'Q5 Actual'!P45*100,"NA")</f>
        <v>0.52631578947368751</v>
      </c>
      <c r="T72" s="8">
        <f>IFERROR(('Q5 Actual'!Q46-'Q5 Actual'!Q45)/'Q5 Actual'!Q45*100,"NA")</f>
        <v>6.1842918985790196E-2</v>
      </c>
      <c r="U72" s="8">
        <f>IFERROR(('Q5 Actual'!R46-'Q5 Actual'!R45)/'Q5 Actual'!R45*100,"NA")</f>
        <v>0.60240963855421692</v>
      </c>
      <c r="V72" s="8">
        <f>IFERROR(('Q5 Actual'!S46-'Q5 Actual'!S45)/'Q5 Actual'!S45*100,"NA")</f>
        <v>0.93109869646182497</v>
      </c>
      <c r="W72" s="8">
        <f>IFERROR(('Q5 Actual'!T46-'Q5 Actual'!T45)/'Q5 Actual'!T45*100,"NA")</f>
        <v>0.60496067755595884</v>
      </c>
      <c r="X72" s="8">
        <f>IFERROR(('Q5 Actual'!U46-'Q5 Actual'!U45)/'Q5 Actual'!U45*100,"NA")</f>
        <v>0</v>
      </c>
      <c r="Y72" s="8">
        <f>IFERROR(('Q5 Actual'!V46-'Q5 Actual'!V45)/'Q5 Actual'!V45*100,"NA")</f>
        <v>0.37429819089207378</v>
      </c>
      <c r="Z72" s="8">
        <f>IFERROR(('Q5 Actual'!X46-'Q5 Actual'!X45)/'Q5 Actual'!X45*100,"NA")</f>
        <v>0.41079812206572103</v>
      </c>
      <c r="AA72" s="8">
        <f>IFERROR(('Q5 Actual'!Y46-'Q5 Actual'!Y45)/'Q5 Actual'!Y45*100,"NA")</f>
        <v>-6.2344139650869268E-2</v>
      </c>
      <c r="AB72" s="8">
        <f>IFERROR(('Q5 Actual'!AA46-'Q5 Actual'!AA45)/'Q5 Actual'!AA45*100,"NA")</f>
        <v>0.24891101431238688</v>
      </c>
      <c r="AC72" s="8">
        <f>IFERROR(('Q5 Actual'!AB46-'Q5 Actual'!AB45)/'Q5 Actual'!AB45*100,"NA")</f>
        <v>0.17942583732058098</v>
      </c>
      <c r="AD72" s="8">
        <f>IFERROR(('Q5 Actual'!AC46-'Q5 Actual'!AC45)/'Q5 Actual'!AC45*100,"NA")</f>
        <v>0.2635740643120717</v>
      </c>
      <c r="AE72" s="8">
        <f>IFERROR(('Q5 Actual'!AD46-'Q5 Actual'!AD45)/'Q5 Actual'!AD45*100,"NA")</f>
        <v>0.30712530712530711</v>
      </c>
    </row>
    <row r="73" spans="1:31">
      <c r="A73" s="12" t="s">
        <v>30</v>
      </c>
      <c r="B73" s="12">
        <v>2021</v>
      </c>
      <c r="C73" s="12" t="s">
        <v>42</v>
      </c>
      <c r="D73" s="90">
        <f t="shared" si="0"/>
        <v>44440</v>
      </c>
      <c r="E73" s="67">
        <v>5.7299999999999995</v>
      </c>
      <c r="F73" s="8">
        <f>IFERROR(('Q5 Actual'!W47-'Q5 Actual'!W46)/'Q5 Actual'!W46*100,"NA")</f>
        <v>0.36787247087675923</v>
      </c>
      <c r="G73" s="8">
        <f>IFERROR(('Q5 Actual'!Z47-'Q5 Actual'!Z46)/'Q5 Actual'!Z46*100,"NA")</f>
        <v>6.3411540900458307E-2</v>
      </c>
      <c r="H73" s="8">
        <f>IFERROR(('Q5 Actual'!E47-'Q5 Actual'!E46)/'Q5 Actual'!E46*100,"NA")</f>
        <v>0.34506556245686681</v>
      </c>
      <c r="I73" s="8">
        <f>IFERROR(('Q5 Actual'!F47-'Q5 Actual'!F46)/'Q5 Actual'!F46*100,"NA")</f>
        <v>-9.8863074641629786E-2</v>
      </c>
      <c r="J73" s="8">
        <f>IFERROR(('Q5 Actual'!G47-'Q5 Actual'!G46)/'Q5 Actual'!G46*100,"NA")</f>
        <v>-2.5495750708215295</v>
      </c>
      <c r="K73" s="8">
        <f>IFERROR(('Q5 Actual'!H47-'Q5 Actual'!H46)/'Q5 Actual'!H46*100,"NA")</f>
        <v>0.31746031746031744</v>
      </c>
      <c r="L73" s="8">
        <f>IFERROR(('Q5 Actual'!I47-'Q5 Actual'!I46)/'Q5 Actual'!I46*100,"NA")</f>
        <v>2.4096385542168646</v>
      </c>
      <c r="M73" s="8">
        <f>IFERROR(('Q5 Actual'!J47-'Q5 Actual'!J46)/'Q5 Actual'!J46*100,"NA")</f>
        <v>-1.9267822736030831</v>
      </c>
      <c r="N73" s="8">
        <f>IFERROR(('Q5 Actual'!K47-'Q5 Actual'!K46)/'Q5 Actual'!K46*100,"NA")</f>
        <v>-1.6244314489928524</v>
      </c>
      <c r="O73" s="8">
        <f>IFERROR(('Q5 Actual'!L47-'Q5 Actual'!L46)/'Q5 Actual'!L46*100,"NA")</f>
        <v>0.6756756756756721</v>
      </c>
      <c r="P73" s="8">
        <f>IFERROR(('Q5 Actual'!M47-'Q5 Actual'!M46)/'Q5 Actual'!M46*100,"NA")</f>
        <v>3.5590277777777728</v>
      </c>
      <c r="Q73" s="8">
        <f>IFERROR(('Q5 Actual'!N47-'Q5 Actual'!N46)/'Q5 Actual'!N46*100,"NA")</f>
        <v>0.17667844522967191</v>
      </c>
      <c r="R73" s="8">
        <f>IFERROR(('Q5 Actual'!O47-'Q5 Actual'!O46)/'Q5 Actual'!O46*100,"NA")</f>
        <v>0.41766109785203887</v>
      </c>
      <c r="S73" s="8">
        <f>IFERROR(('Q5 Actual'!P47-'Q5 Actual'!P46)/'Q5 Actual'!P46*100,"NA")</f>
        <v>0.5235602094240871</v>
      </c>
      <c r="T73" s="8">
        <f>IFERROR(('Q5 Actual'!Q47-'Q5 Actual'!Q46)/'Q5 Actual'!Q46*100,"NA")</f>
        <v>0.18541409147094123</v>
      </c>
      <c r="U73" s="8">
        <f>IFERROR(('Q5 Actual'!R47-'Q5 Actual'!R46)/'Q5 Actual'!R46*100,"NA")</f>
        <v>0.41916167664669979</v>
      </c>
      <c r="V73" s="8">
        <f>IFERROR(('Q5 Actual'!S47-'Q5 Actual'!S46)/'Q5 Actual'!S46*100,"NA")</f>
        <v>0.61500615006150061</v>
      </c>
      <c r="W73" s="8">
        <f>IFERROR(('Q5 Actual'!T47-'Q5 Actual'!T46)/'Q5 Actual'!T46*100,"NA")</f>
        <v>0.48105832832229878</v>
      </c>
      <c r="X73" s="8">
        <f>IFERROR(('Q5 Actual'!U47-'Q5 Actual'!U46)/'Q5 Actual'!U46*100,"NA")</f>
        <v>0</v>
      </c>
      <c r="Y73" s="8">
        <f>IFERROR(('Q5 Actual'!V47-'Q5 Actual'!V46)/'Q5 Actual'!V46*100,"NA")</f>
        <v>0.24860161591050695</v>
      </c>
      <c r="Z73" s="8">
        <f>IFERROR(('Q5 Actual'!X47-'Q5 Actual'!X46)/'Q5 Actual'!X46*100,"NA")</f>
        <v>0.46756282875512062</v>
      </c>
      <c r="AA73" s="8">
        <f>IFERROR(('Q5 Actual'!Y47-'Q5 Actual'!Y46)/'Q5 Actual'!Y46*100,"NA")</f>
        <v>-6.238303181536041E-2</v>
      </c>
      <c r="AB73" s="8">
        <f>IFERROR(('Q5 Actual'!AA47-'Q5 Actual'!AA46)/'Q5 Actual'!AA46*100,"NA")</f>
        <v>0.99317194289260979</v>
      </c>
      <c r="AC73" s="8">
        <f>IFERROR(('Q5 Actual'!AB47-'Q5 Actual'!AB46)/'Q5 Actual'!AB46*100,"NA")</f>
        <v>0.59701492537313439</v>
      </c>
      <c r="AD73" s="8">
        <f>IFERROR(('Q5 Actual'!AC47-'Q5 Actual'!AC46)/'Q5 Actual'!AC46*100,"NA")</f>
        <v>0.15772870662461166</v>
      </c>
      <c r="AE73" s="8">
        <f>IFERROR(('Q5 Actual'!AD47-'Q5 Actual'!AD46)/'Q5 Actual'!AD46*100,"NA")</f>
        <v>0.30618493570116351</v>
      </c>
    </row>
    <row r="74" spans="1:31">
      <c r="A74" s="12" t="s">
        <v>30</v>
      </c>
      <c r="B74" s="12">
        <v>2021</v>
      </c>
      <c r="C74" s="12" t="s">
        <v>43</v>
      </c>
      <c r="D74" s="90">
        <f t="shared" si="0"/>
        <v>44470</v>
      </c>
      <c r="E74" s="67">
        <v>14.09</v>
      </c>
      <c r="F74" s="8">
        <f>IFERROR(('Q5 Actual'!W48-'Q5 Actual'!W47)/'Q5 Actual'!W47*100,"NA")</f>
        <v>1.0995723885155844</v>
      </c>
      <c r="G74" s="8">
        <f>IFERROR(('Q5 Actual'!Z48-'Q5 Actual'!Z47)/'Q5 Actual'!Z47*100,"NA")</f>
        <v>1.077313054499359</v>
      </c>
      <c r="H74" s="8">
        <f>IFERROR(('Q5 Actual'!E48-'Q5 Actual'!E47)/'Q5 Actual'!E47*100,"NA")</f>
        <v>0.4814305364511613</v>
      </c>
      <c r="I74" s="8">
        <f>IFERROR(('Q5 Actual'!F48-'Q5 Actual'!F47)/'Q5 Actual'!F47*100,"NA")</f>
        <v>0.19792182088075494</v>
      </c>
      <c r="J74" s="8">
        <f>IFERROR(('Q5 Actual'!G48-'Q5 Actual'!G47)/'Q5 Actual'!G47*100,"NA")</f>
        <v>-1.104651162790701</v>
      </c>
      <c r="K74" s="8">
        <f>IFERROR(('Q5 Actual'!H48-'Q5 Actual'!H47)/'Q5 Actual'!H47*100,"NA")</f>
        <v>0.25316455696202894</v>
      </c>
      <c r="L74" s="8">
        <f>IFERROR(('Q5 Actual'!I48-'Q5 Actual'!I47)/'Q5 Actual'!I47*100,"NA")</f>
        <v>1.6879795396419495</v>
      </c>
      <c r="M74" s="8">
        <f>IFERROR(('Q5 Actual'!J48-'Q5 Actual'!J47)/'Q5 Actual'!J47*100,"NA")</f>
        <v>-6.5487884741319141E-2</v>
      </c>
      <c r="N74" s="8">
        <f>IFERROR(('Q5 Actual'!K48-'Q5 Actual'!K47)/'Q5 Actual'!K47*100,"NA")</f>
        <v>12.549537648612946</v>
      </c>
      <c r="O74" s="8">
        <f>IFERROR(('Q5 Actual'!L48-'Q5 Actual'!L47)/'Q5 Actual'!L47*100,"NA")</f>
        <v>0.79316656497863502</v>
      </c>
      <c r="P74" s="8">
        <f>IFERROR(('Q5 Actual'!M48-'Q5 Actual'!M47)/'Q5 Actual'!M47*100,"NA")</f>
        <v>1.9279128248113973</v>
      </c>
      <c r="Q74" s="8">
        <f>IFERROR(('Q5 Actual'!N48-'Q5 Actual'!N47)/'Q5 Actual'!N47*100,"NA")</f>
        <v>0.29394473838918284</v>
      </c>
      <c r="R74" s="8">
        <f>IFERROR(('Q5 Actual'!O48-'Q5 Actual'!O47)/'Q5 Actual'!O47*100,"NA")</f>
        <v>0.29708853238265004</v>
      </c>
      <c r="S74" s="8">
        <f>IFERROR(('Q5 Actual'!P48-'Q5 Actual'!P47)/'Q5 Actual'!P47*100,"NA")</f>
        <v>0.46296296296295303</v>
      </c>
      <c r="T74" s="8">
        <f>IFERROR(('Q5 Actual'!Q48-'Q5 Actual'!Q47)/'Q5 Actual'!Q47*100,"NA")</f>
        <v>2.0974706971005586</v>
      </c>
      <c r="U74" s="8">
        <f>IFERROR(('Q5 Actual'!R48-'Q5 Actual'!R47)/'Q5 Actual'!R47*100,"NA")</f>
        <v>0.71556350626119092</v>
      </c>
      <c r="V74" s="8">
        <f>IFERROR(('Q5 Actual'!S48-'Q5 Actual'!S47)/'Q5 Actual'!S47*100,"NA")</f>
        <v>0.73349633251834789</v>
      </c>
      <c r="W74" s="8">
        <f>IFERROR(('Q5 Actual'!T48-'Q5 Actual'!T47)/'Q5 Actual'!T47*100,"NA")</f>
        <v>0.71813285457810716</v>
      </c>
      <c r="X74" s="8">
        <f>IFERROR(('Q5 Actual'!U48-'Q5 Actual'!U47)/'Q5 Actual'!U47*100,"NA")</f>
        <v>0</v>
      </c>
      <c r="Y74" s="8">
        <f>IFERROR(('Q5 Actual'!V48-'Q5 Actual'!V47)/'Q5 Actual'!V47*100,"NA")</f>
        <v>0.43397396156229912</v>
      </c>
      <c r="Z74" s="8">
        <f>IFERROR(('Q5 Actual'!X48-'Q5 Actual'!X47)/'Q5 Actual'!X47*100,"NA")</f>
        <v>0.34904013961605251</v>
      </c>
      <c r="AA74" s="8">
        <f>IFERROR(('Q5 Actual'!Y48-'Q5 Actual'!Y47)/'Q5 Actual'!Y47*100,"NA")</f>
        <v>0.56179775280899236</v>
      </c>
      <c r="AB74" s="8">
        <f>IFERROR(('Q5 Actual'!AA48-'Q5 Actual'!AA47)/'Q5 Actual'!AA47*100,"NA")</f>
        <v>0.30731407498463431</v>
      </c>
      <c r="AC74" s="8">
        <f>IFERROR(('Q5 Actual'!AB48-'Q5 Actual'!AB47)/'Q5 Actual'!AB47*100,"NA")</f>
        <v>0.29673590504451042</v>
      </c>
      <c r="AD74" s="8">
        <f>IFERROR(('Q5 Actual'!AC48-'Q5 Actual'!AC47)/'Q5 Actual'!AC47*100,"NA")</f>
        <v>0.36745406824146387</v>
      </c>
      <c r="AE74" s="8">
        <f>IFERROR(('Q5 Actual'!AD48-'Q5 Actual'!AD47)/'Q5 Actual'!AD47*100,"NA")</f>
        <v>0.54945054945053551</v>
      </c>
    </row>
    <row r="75" spans="1:31">
      <c r="A75" s="12" t="s">
        <v>30</v>
      </c>
      <c r="B75" s="12">
        <v>2021</v>
      </c>
      <c r="C75" s="12" t="s">
        <v>45</v>
      </c>
      <c r="D75" s="90">
        <f t="shared" si="0"/>
        <v>44501</v>
      </c>
      <c r="E75" s="67">
        <v>-3.9800000000000004</v>
      </c>
      <c r="F75" s="8">
        <f>IFERROR(('Q5 Actual'!W49-'Q5 Actual'!W48)/'Q5 Actual'!W48*100,"NA")</f>
        <v>-0.12084592145014418</v>
      </c>
      <c r="G75" s="8">
        <f>IFERROR(('Q5 Actual'!Z49-'Q5 Actual'!Z48)/'Q5 Actual'!Z48*100,"NA")</f>
        <v>-0.37617554858933816</v>
      </c>
      <c r="H75" s="8">
        <f>IFERROR(('Q5 Actual'!E49-'Q5 Actual'!E48)/'Q5 Actual'!E48*100,"NA")</f>
        <v>0.54757015742642801</v>
      </c>
      <c r="I75" s="8">
        <f>IFERROR(('Q5 Actual'!F49-'Q5 Actual'!F48)/'Q5 Actual'!F48*100,"NA")</f>
        <v>-1.3333333333333277</v>
      </c>
      <c r="J75" s="8">
        <f>IFERROR(('Q5 Actual'!G49-'Q5 Actual'!G48)/'Q5 Actual'!G48*100,"NA")</f>
        <v>0.82304526748971529</v>
      </c>
      <c r="K75" s="8">
        <f>IFERROR(('Q5 Actual'!H49-'Q5 Actual'!H48)/'Q5 Actual'!H48*100,"NA")</f>
        <v>0.44191919191918472</v>
      </c>
      <c r="L75" s="8">
        <f>IFERROR(('Q5 Actual'!I49-'Q5 Actual'!I48)/'Q5 Actual'!I48*100,"NA")</f>
        <v>-0.20120724346076743</v>
      </c>
      <c r="M75" s="8">
        <f>IFERROR(('Q5 Actual'!J49-'Q5 Actual'!J48)/'Q5 Actual'!J48*100,"NA")</f>
        <v>0.39318479685451796</v>
      </c>
      <c r="N75" s="8">
        <f>IFERROR(('Q5 Actual'!K49-'Q5 Actual'!K48)/'Q5 Actual'!K48*100,"NA")</f>
        <v>7.9225352112676051</v>
      </c>
      <c r="O75" s="8">
        <f>IFERROR(('Q5 Actual'!L49-'Q5 Actual'!L48)/'Q5 Actual'!L48*100,"NA")</f>
        <v>0.12106537530267376</v>
      </c>
      <c r="P75" s="8">
        <f>IFERROR(('Q5 Actual'!M49-'Q5 Actual'!M48)/'Q5 Actual'!M48*100,"NA")</f>
        <v>0.41118421052631576</v>
      </c>
      <c r="Q75" s="8">
        <f>IFERROR(('Q5 Actual'!N49-'Q5 Actual'!N48)/'Q5 Actual'!N48*100,"NA")</f>
        <v>0.11723329425557859</v>
      </c>
      <c r="R75" s="8">
        <f>IFERROR(('Q5 Actual'!O49-'Q5 Actual'!O48)/'Q5 Actual'!O48*100,"NA")</f>
        <v>0.17772511848340222</v>
      </c>
      <c r="S75" s="8">
        <f>IFERROR(('Q5 Actual'!P49-'Q5 Actual'!P48)/'Q5 Actual'!P48*100,"NA")</f>
        <v>0.40322580645162276</v>
      </c>
      <c r="T75" s="8">
        <f>IFERROR(('Q5 Actual'!Q49-'Q5 Actual'!Q48)/'Q5 Actual'!Q48*100,"NA")</f>
        <v>1.2084592145015105</v>
      </c>
      <c r="U75" s="8">
        <f>IFERROR(('Q5 Actual'!R49-'Q5 Actual'!R48)/'Q5 Actual'!R48*100,"NA")</f>
        <v>0.88809946714031962</v>
      </c>
      <c r="V75" s="8">
        <f>IFERROR(('Q5 Actual'!S49-'Q5 Actual'!S48)/'Q5 Actual'!S48*100,"NA")</f>
        <v>0.72815533980581837</v>
      </c>
      <c r="W75" s="8">
        <f>IFERROR(('Q5 Actual'!T49-'Q5 Actual'!T48)/'Q5 Actual'!T48*100,"NA")</f>
        <v>0.89126559714794995</v>
      </c>
      <c r="X75" s="8">
        <f>IFERROR(('Q5 Actual'!U49-'Q5 Actual'!U48)/'Q5 Actual'!U48*100,"NA")</f>
        <v>0</v>
      </c>
      <c r="Y75" s="8">
        <f>IFERROR(('Q5 Actual'!V49-'Q5 Actual'!V48)/'Q5 Actual'!V48*100,"NA")</f>
        <v>0.55555555555555902</v>
      </c>
      <c r="Z75" s="8">
        <f>IFERROR(('Q5 Actual'!X49-'Q5 Actual'!X48)/'Q5 Actual'!X48*100,"NA")</f>
        <v>0.52173913043478592</v>
      </c>
      <c r="AA75" s="8">
        <f>IFERROR(('Q5 Actual'!Y49-'Q5 Actual'!Y48)/'Q5 Actual'!Y48*100,"NA")</f>
        <v>0.80695220360025544</v>
      </c>
      <c r="AB75" s="8">
        <f>IFERROR(('Q5 Actual'!AA49-'Q5 Actual'!AA48)/'Q5 Actual'!AA48*100,"NA")</f>
        <v>0.36764705882354337</v>
      </c>
      <c r="AC75" s="8">
        <f>IFERROR(('Q5 Actual'!AB49-'Q5 Actual'!AB48)/'Q5 Actual'!AB48*100,"NA")</f>
        <v>0.17751479289941502</v>
      </c>
      <c r="AD75" s="8">
        <f>IFERROR(('Q5 Actual'!AC49-'Q5 Actual'!AC48)/'Q5 Actual'!AC48*100,"NA")</f>
        <v>0.10460251046025996</v>
      </c>
      <c r="AE75" s="8">
        <f>IFERROR(('Q5 Actual'!AD49-'Q5 Actual'!AD48)/'Q5 Actual'!AD48*100,"NA")</f>
        <v>0.30358227079538558</v>
      </c>
    </row>
    <row r="76" spans="1:31">
      <c r="A76" s="12" t="s">
        <v>30</v>
      </c>
      <c r="B76" s="12">
        <v>2021</v>
      </c>
      <c r="C76" s="12" t="s">
        <v>46</v>
      </c>
      <c r="D76" s="90">
        <f t="shared" si="0"/>
        <v>44531</v>
      </c>
      <c r="E76" s="67">
        <v>-6.69</v>
      </c>
      <c r="F76" s="8">
        <f>IFERROR(('Q5 Actual'!W50-'Q5 Actual'!W49)/'Q5 Actual'!W49*100,"NA")</f>
        <v>0.18148820326677734</v>
      </c>
      <c r="G76" s="8">
        <f>IFERROR(('Q5 Actual'!Z50-'Q5 Actual'!Z49)/'Q5 Actual'!Z49*100,"NA")</f>
        <v>0.75519194461925021</v>
      </c>
      <c r="H76" s="8">
        <f>IFERROR(('Q5 Actual'!E50-'Q5 Actual'!E49)/'Q5 Actual'!E49*100,"NA")</f>
        <v>0.3403675970047651</v>
      </c>
      <c r="I76" s="8">
        <f>IFERROR(('Q5 Actual'!F50-'Q5 Actual'!F49)/'Q5 Actual'!F49*100,"NA")</f>
        <v>-1.4014014014014069</v>
      </c>
      <c r="J76" s="8">
        <f>IFERROR(('Q5 Actual'!G50-'Q5 Actual'!G49)/'Q5 Actual'!G49*100,"NA")</f>
        <v>2.9154518950437316</v>
      </c>
      <c r="K76" s="8">
        <f>IFERROR(('Q5 Actual'!H50-'Q5 Actual'!H49)/'Q5 Actual'!H49*100,"NA")</f>
        <v>0.43997485857952051</v>
      </c>
      <c r="L76" s="8">
        <f>IFERROR(('Q5 Actual'!I50-'Q5 Actual'!I49)/'Q5 Actual'!I49*100,"NA")</f>
        <v>-1.3104838709677391</v>
      </c>
      <c r="M76" s="8">
        <f>IFERROR(('Q5 Actual'!J50-'Q5 Actual'!J49)/'Q5 Actual'!J49*100,"NA")</f>
        <v>-0.78328981723236857</v>
      </c>
      <c r="N76" s="8">
        <f>IFERROR(('Q5 Actual'!K50-'Q5 Actual'!K49)/'Q5 Actual'!K49*100,"NA")</f>
        <v>-6.3077759651984744</v>
      </c>
      <c r="O76" s="8">
        <f>IFERROR(('Q5 Actual'!L50-'Q5 Actual'!L49)/'Q5 Actual'!L49*100,"NA")</f>
        <v>-0.54413542926239766</v>
      </c>
      <c r="P76" s="8">
        <f>IFERROR(('Q5 Actual'!M50-'Q5 Actual'!M49)/'Q5 Actual'!M49*100,"NA")</f>
        <v>-1.2285012285012287</v>
      </c>
      <c r="Q76" s="8">
        <f>IFERROR(('Q5 Actual'!N50-'Q5 Actual'!N49)/'Q5 Actual'!N49*100,"NA")</f>
        <v>0.52693208430912009</v>
      </c>
      <c r="R76" s="8">
        <f>IFERROR(('Q5 Actual'!O50-'Q5 Actual'!O49)/'Q5 Actual'!O49*100,"NA")</f>
        <v>0.35481963335304223</v>
      </c>
      <c r="S76" s="8">
        <f>IFERROR(('Q5 Actual'!P50-'Q5 Actual'!P49)/'Q5 Actual'!P49*100,"NA")</f>
        <v>0.45897877223177441</v>
      </c>
      <c r="T76" s="8">
        <f>IFERROR(('Q5 Actual'!Q50-'Q5 Actual'!Q49)/'Q5 Actual'!Q49*100,"NA")</f>
        <v>-1.0149253731343215</v>
      </c>
      <c r="U76" s="8">
        <f>IFERROR(('Q5 Actual'!R50-'Q5 Actual'!R49)/'Q5 Actual'!R49*100,"NA")</f>
        <v>0.82159624413145871</v>
      </c>
      <c r="V76" s="8">
        <f>IFERROR(('Q5 Actual'!S50-'Q5 Actual'!S49)/'Q5 Actual'!S49*100,"NA")</f>
        <v>0.78313253012048878</v>
      </c>
      <c r="W76" s="8">
        <f>IFERROR(('Q5 Actual'!T50-'Q5 Actual'!T49)/'Q5 Actual'!T49*100,"NA")</f>
        <v>0.82449941107183589</v>
      </c>
      <c r="X76" s="8">
        <f>IFERROR(('Q5 Actual'!U50-'Q5 Actual'!U49)/'Q5 Actual'!U49*100,"NA")</f>
        <v>0</v>
      </c>
      <c r="Y76" s="8">
        <f>IFERROR(('Q5 Actual'!V50-'Q5 Actual'!V49)/'Q5 Actual'!V49*100,"NA")</f>
        <v>0.61387354205033762</v>
      </c>
      <c r="Z76" s="8">
        <f>IFERROR(('Q5 Actual'!X50-'Q5 Actual'!X49)/'Q5 Actual'!X49*100,"NA")</f>
        <v>0.34602076124567144</v>
      </c>
      <c r="AA76" s="8">
        <f>IFERROR(('Q5 Actual'!Y50-'Q5 Actual'!Y49)/'Q5 Actual'!Y49*100,"NA")</f>
        <v>0.2463054187192153</v>
      </c>
      <c r="AB76" s="8">
        <f>IFERROR(('Q5 Actual'!AA50-'Q5 Actual'!AA49)/'Q5 Actual'!AA49*100,"NA")</f>
        <v>0.42735042735042039</v>
      </c>
      <c r="AC76" s="8">
        <f>IFERROR(('Q5 Actual'!AB50-'Q5 Actual'!AB49)/'Q5 Actual'!AB49*100,"NA")</f>
        <v>0.23626698168929547</v>
      </c>
      <c r="AD76" s="8">
        <f>IFERROR(('Q5 Actual'!AC50-'Q5 Actual'!AC49)/'Q5 Actual'!AC49*100,"NA")</f>
        <v>-0.31347962382444844</v>
      </c>
      <c r="AE76" s="8">
        <f>IFERROR(('Q5 Actual'!AD50-'Q5 Actual'!AD49)/'Q5 Actual'!AD49*100,"NA")</f>
        <v>0.48426150121066064</v>
      </c>
    </row>
    <row r="77" spans="1:31">
      <c r="A77" s="12" t="s">
        <v>30</v>
      </c>
      <c r="B77" s="12">
        <v>2022</v>
      </c>
      <c r="C77" s="12" t="s">
        <v>31</v>
      </c>
      <c r="D77" s="90">
        <f t="shared" si="0"/>
        <v>44562</v>
      </c>
      <c r="E77" s="67">
        <v>13.44</v>
      </c>
      <c r="F77" s="8">
        <f>IFERROR(('Q5 Actual'!W51-'Q5 Actual'!W50)/'Q5 Actual'!W50*100,"NA")</f>
        <v>0.12077294685991367</v>
      </c>
      <c r="G77" s="8">
        <f>IFERROR(('Q5 Actual'!Z51-'Q5 Actual'!Z50)/'Q5 Actual'!Z50*100,"NA")</f>
        <v>0.43722673329170336</v>
      </c>
      <c r="H77" s="8">
        <f>IFERROR(('Q5 Actual'!E51-'Q5 Actual'!E50)/'Q5 Actual'!E50*100,"NA")</f>
        <v>0.6105834464043457</v>
      </c>
      <c r="I77" s="8">
        <f>IFERROR(('Q5 Actual'!F51-'Q5 Actual'!F50)/'Q5 Actual'!F50*100,"NA")</f>
        <v>-5.0761421319794074E-2</v>
      </c>
      <c r="J77" s="8">
        <f>IFERROR(('Q5 Actual'!G51-'Q5 Actual'!G50)/'Q5 Actual'!G50*100,"NA")</f>
        <v>0.84985835694051004</v>
      </c>
      <c r="K77" s="8">
        <f>IFERROR(('Q5 Actual'!H51-'Q5 Actual'!H50)/'Q5 Actual'!H50*100,"NA")</f>
        <v>0.43804755944930451</v>
      </c>
      <c r="L77" s="8">
        <f>IFERROR(('Q5 Actual'!I51-'Q5 Actual'!I50)/'Q5 Actual'!I50*100,"NA")</f>
        <v>-1.6343207354443396</v>
      </c>
      <c r="M77" s="8">
        <f>IFERROR(('Q5 Actual'!J51-'Q5 Actual'!J50)/'Q5 Actual'!J50*100,"NA")</f>
        <v>-0.52631578947369162</v>
      </c>
      <c r="N77" s="8">
        <f>IFERROR(('Q5 Actual'!K51-'Q5 Actual'!K50)/'Q5 Actual'!K50*100,"NA")</f>
        <v>-7.6030179918746494</v>
      </c>
      <c r="O77" s="8">
        <f>IFERROR(('Q5 Actual'!L51-'Q5 Actual'!L50)/'Q5 Actual'!L50*100,"NA")</f>
        <v>-0.303951367781155</v>
      </c>
      <c r="P77" s="8">
        <f>IFERROR(('Q5 Actual'!M51-'Q5 Actual'!M50)/'Q5 Actual'!M50*100,"NA")</f>
        <v>-1.0779436152570459</v>
      </c>
      <c r="Q77" s="8">
        <f>IFERROR(('Q5 Actual'!N51-'Q5 Actual'!N50)/'Q5 Actual'!N50*100,"NA")</f>
        <v>0.93185789167153343</v>
      </c>
      <c r="R77" s="8">
        <f>IFERROR(('Q5 Actual'!O51-'Q5 Actual'!O50)/'Q5 Actual'!O50*100,"NA")</f>
        <v>5.8927519151457122E-2</v>
      </c>
      <c r="S77" s="8">
        <f>IFERROR(('Q5 Actual'!P51-'Q5 Actual'!P50)/'Q5 Actual'!P50*100,"NA")</f>
        <v>0.39977155910909024</v>
      </c>
      <c r="T77" s="8">
        <f>IFERROR(('Q5 Actual'!Q51-'Q5 Actual'!Q50)/'Q5 Actual'!Q50*100,"NA")</f>
        <v>-1.0253317249698535</v>
      </c>
      <c r="U77" s="8">
        <f>IFERROR(('Q5 Actual'!R51-'Q5 Actual'!R50)/'Q5 Actual'!R50*100,"NA")</f>
        <v>0.81490104772990524</v>
      </c>
      <c r="V77" s="8">
        <f>IFERROR(('Q5 Actual'!S51-'Q5 Actual'!S50)/'Q5 Actual'!S50*100,"NA")</f>
        <v>1.195457262402869</v>
      </c>
      <c r="W77" s="8">
        <f>IFERROR(('Q5 Actual'!T51-'Q5 Actual'!T50)/'Q5 Actual'!T50*100,"NA")</f>
        <v>0.87616822429906549</v>
      </c>
      <c r="X77" s="8">
        <f>IFERROR(('Q5 Actual'!U51-'Q5 Actual'!U50)/'Q5 Actual'!U50*100,"NA")</f>
        <v>0</v>
      </c>
      <c r="Y77" s="8">
        <f>IFERROR(('Q5 Actual'!V51-'Q5 Actual'!V50)/'Q5 Actual'!V50*100,"NA")</f>
        <v>0.6101281269066503</v>
      </c>
      <c r="Z77" s="8">
        <f>IFERROR(('Q5 Actual'!X51-'Q5 Actual'!X50)/'Q5 Actual'!X50*100,"NA")</f>
        <v>0.40229885057470616</v>
      </c>
      <c r="AA77" s="8">
        <f>IFERROR(('Q5 Actual'!Y51-'Q5 Actual'!Y50)/'Q5 Actual'!Y50*100,"NA")</f>
        <v>0.24570024570023172</v>
      </c>
      <c r="AB77" s="8">
        <f>IFERROR(('Q5 Actual'!AA51-'Q5 Actual'!AA50)/'Q5 Actual'!AA50*100,"NA")</f>
        <v>0.24316109422492746</v>
      </c>
      <c r="AC77" s="8">
        <f>IFERROR(('Q5 Actual'!AB51-'Q5 Actual'!AB50)/'Q5 Actual'!AB50*100,"NA")</f>
        <v>0.11785503830289751</v>
      </c>
      <c r="AD77" s="8">
        <f>IFERROR(('Q5 Actual'!AC51-'Q5 Actual'!AC50)/'Q5 Actual'!AC50*100,"NA")</f>
        <v>-5.241090146751716E-2</v>
      </c>
      <c r="AE77" s="8">
        <f>IFERROR(('Q5 Actual'!AD51-'Q5 Actual'!AD50)/'Q5 Actual'!AD50*100,"NA")</f>
        <v>0.36144578313252673</v>
      </c>
    </row>
    <row r="78" spans="1:31">
      <c r="A78" s="12" t="s">
        <v>30</v>
      </c>
      <c r="B78" s="12">
        <v>2022</v>
      </c>
      <c r="C78" s="12" t="s">
        <v>35</v>
      </c>
      <c r="D78" s="90">
        <f t="shared" si="0"/>
        <v>44593</v>
      </c>
      <c r="E78" s="67">
        <v>12.839999999999998</v>
      </c>
      <c r="F78" s="8">
        <f>IFERROR(('Q5 Actual'!W52-'Q5 Actual'!W51)/'Q5 Actual'!W51*100,"NA")</f>
        <v>0.96501809408926065</v>
      </c>
      <c r="G78" s="8">
        <f>IFERROR(('Q5 Actual'!Z52-'Q5 Actual'!Z51)/'Q5 Actual'!Z51*100,"NA")</f>
        <v>0.24875621890545849</v>
      </c>
      <c r="H78" s="8">
        <f>IFERROR(('Q5 Actual'!E52-'Q5 Actual'!E51)/'Q5 Actual'!E51*100,"NA")</f>
        <v>0.33715441672285906</v>
      </c>
      <c r="I78" s="8">
        <f>IFERROR(('Q5 Actual'!F52-'Q5 Actual'!F51)/'Q5 Actual'!F51*100,"NA")</f>
        <v>0.60944641950227962</v>
      </c>
      <c r="J78" s="8">
        <f>IFERROR(('Q5 Actual'!G52-'Q5 Actual'!G51)/'Q5 Actual'!G51*100,"NA")</f>
        <v>-1.4044943820224718</v>
      </c>
      <c r="K78" s="8">
        <f>IFERROR(('Q5 Actual'!H52-'Q5 Actual'!H51)/'Q5 Actual'!H51*100,"NA")</f>
        <v>0.12461059190030443</v>
      </c>
      <c r="L78" s="8">
        <f>IFERROR(('Q5 Actual'!I52-'Q5 Actual'!I51)/'Q5 Actual'!I51*100,"NA")</f>
        <v>0</v>
      </c>
      <c r="M78" s="8">
        <f>IFERROR(('Q5 Actual'!J52-'Q5 Actual'!J51)/'Q5 Actual'!J51*100,"NA")</f>
        <v>0.13227513227514356</v>
      </c>
      <c r="N78" s="8">
        <f>IFERROR(('Q5 Actual'!K52-'Q5 Actual'!K51)/'Q5 Actual'!K51*100,"NA")</f>
        <v>-2.512562814070352</v>
      </c>
      <c r="O78" s="8">
        <f>IFERROR(('Q5 Actual'!L52-'Q5 Actual'!L51)/'Q5 Actual'!L51*100,"NA")</f>
        <v>-6.097560975609409E-2</v>
      </c>
      <c r="P78" s="8">
        <f>IFERROR(('Q5 Actual'!M52-'Q5 Actual'!M51)/'Q5 Actual'!M51*100,"NA")</f>
        <v>-1.0058675607711676</v>
      </c>
      <c r="Q78" s="8">
        <f>IFERROR(('Q5 Actual'!N52-'Q5 Actual'!N51)/'Q5 Actual'!N51*100,"NA")</f>
        <v>1.2117714945181732</v>
      </c>
      <c r="R78" s="8">
        <f>IFERROR(('Q5 Actual'!O52-'Q5 Actual'!O51)/'Q5 Actual'!O51*100,"NA")</f>
        <v>0.41224970553591794</v>
      </c>
      <c r="S78" s="8">
        <f>IFERROR(('Q5 Actual'!P52-'Q5 Actual'!P51)/'Q5 Actual'!P51*100,"NA")</f>
        <v>0.2844141069397042</v>
      </c>
      <c r="T78" s="8">
        <f>IFERROR(('Q5 Actual'!Q52-'Q5 Actual'!Q51)/'Q5 Actual'!Q51*100,"NA")</f>
        <v>-0.12187690432662317</v>
      </c>
      <c r="U78" s="8">
        <f>IFERROR(('Q5 Actual'!R52-'Q5 Actual'!R51)/'Q5 Actual'!R51*100,"NA")</f>
        <v>0.51963048498845599</v>
      </c>
      <c r="V78" s="8">
        <f>IFERROR(('Q5 Actual'!S52-'Q5 Actual'!S51)/'Q5 Actual'!S51*100,"NA")</f>
        <v>1.0041346721795561</v>
      </c>
      <c r="W78" s="8">
        <f>IFERROR(('Q5 Actual'!T52-'Q5 Actual'!T51)/'Q5 Actual'!T51*100,"NA")</f>
        <v>0.57903879559930527</v>
      </c>
      <c r="X78" s="8">
        <f>IFERROR(('Q5 Actual'!U52-'Q5 Actual'!U51)/'Q5 Actual'!U51*100,"NA")</f>
        <v>0</v>
      </c>
      <c r="Y78" s="8">
        <f>IFERROR(('Q5 Actual'!V52-'Q5 Actual'!V51)/'Q5 Actual'!V51*100,"NA")</f>
        <v>0.48514251061248204</v>
      </c>
      <c r="Z78" s="8">
        <f>IFERROR(('Q5 Actual'!X52-'Q5 Actual'!X51)/'Q5 Actual'!X51*100,"NA")</f>
        <v>0.34344590726961804</v>
      </c>
      <c r="AA78" s="8">
        <f>IFERROR(('Q5 Actual'!Y52-'Q5 Actual'!Y51)/'Q5 Actual'!Y51*100,"NA")</f>
        <v>0.79656862745098744</v>
      </c>
      <c r="AB78" s="8">
        <f>IFERROR(('Q5 Actual'!AA52-'Q5 Actual'!AA51)/'Q5 Actual'!AA51*100,"NA")</f>
        <v>0.36385688295936586</v>
      </c>
      <c r="AC78" s="8">
        <f>IFERROR(('Q5 Actual'!AB52-'Q5 Actual'!AB51)/'Q5 Actual'!AB51*100,"NA")</f>
        <v>0.23543260741613045</v>
      </c>
      <c r="AD78" s="8">
        <f>IFERROR(('Q5 Actual'!AC52-'Q5 Actual'!AC51)/'Q5 Actual'!AC51*100,"NA")</f>
        <v>0.41950707918196717</v>
      </c>
      <c r="AE78" s="8">
        <f>IFERROR(('Q5 Actual'!AD52-'Q5 Actual'!AD51)/'Q5 Actual'!AD51*100,"NA")</f>
        <v>0.42016806722690098</v>
      </c>
    </row>
    <row r="79" spans="1:31">
      <c r="A79" s="12" t="s">
        <v>30</v>
      </c>
      <c r="B79" s="12">
        <v>2022</v>
      </c>
      <c r="C79" s="12" t="s">
        <v>36</v>
      </c>
      <c r="D79" s="90">
        <f t="shared" si="0"/>
        <v>44621</v>
      </c>
      <c r="E79" s="67">
        <v>22.66</v>
      </c>
      <c r="F79" s="8">
        <f>IFERROR(('Q5 Actual'!W53-'Q5 Actual'!W52)/'Q5 Actual'!W52*100,"NA")</f>
        <v>0.8960573476702508</v>
      </c>
      <c r="G79" s="8">
        <f>IFERROR(('Q5 Actual'!Z53-'Q5 Actual'!Z52)/'Q5 Actual'!Z52*100,"NA")</f>
        <v>0.49627791563276147</v>
      </c>
      <c r="H79" s="8">
        <f>IFERROR(('Q5 Actual'!E53-'Q5 Actual'!E52)/'Q5 Actual'!E52*100,"NA")</f>
        <v>0.94086021505374806</v>
      </c>
      <c r="I79" s="8">
        <f>IFERROR(('Q5 Actual'!F53-'Q5 Actual'!F52)/'Q5 Actual'!F52*100,"NA")</f>
        <v>4.9974760222110071</v>
      </c>
      <c r="J79" s="8">
        <f>IFERROR(('Q5 Actual'!G53-'Q5 Actual'!G52)/'Q5 Actual'!G52*100,"NA")</f>
        <v>-4.3304843304843272</v>
      </c>
      <c r="K79" s="8">
        <f>IFERROR(('Q5 Actual'!H53-'Q5 Actual'!H52)/'Q5 Actual'!H52*100,"NA")</f>
        <v>0.80896079651525299</v>
      </c>
      <c r="L79" s="8">
        <f>IFERROR(('Q5 Actual'!I53-'Q5 Actual'!I52)/'Q5 Actual'!I52*100,"NA")</f>
        <v>5.4517133956386292</v>
      </c>
      <c r="M79" s="8">
        <f>IFERROR(('Q5 Actual'!J53-'Q5 Actual'!J52)/'Q5 Actual'!J52*100,"NA")</f>
        <v>2.9722589167767501</v>
      </c>
      <c r="N79" s="8">
        <f>IFERROR(('Q5 Actual'!K53-'Q5 Actual'!K52)/'Q5 Actual'!K52*100,"NA")</f>
        <v>0.38659793814434457</v>
      </c>
      <c r="O79" s="8">
        <f>IFERROR(('Q5 Actual'!L53-'Q5 Actual'!L52)/'Q5 Actual'!L52*100,"NA")</f>
        <v>0.18303843807198472</v>
      </c>
      <c r="P79" s="8">
        <f>IFERROR(('Q5 Actual'!M53-'Q5 Actual'!M52)/'Q5 Actual'!M52*100,"NA")</f>
        <v>0</v>
      </c>
      <c r="Q79" s="8">
        <f>IFERROR(('Q5 Actual'!N53-'Q5 Actual'!N52)/'Q5 Actual'!N52*100,"NA")</f>
        <v>1.8814139110604235</v>
      </c>
      <c r="R79" s="8">
        <f>IFERROR(('Q5 Actual'!O53-'Q5 Actual'!O52)/'Q5 Actual'!O52*100,"NA")</f>
        <v>0.41055718475072644</v>
      </c>
      <c r="S79" s="8">
        <f>IFERROR(('Q5 Actual'!P53-'Q5 Actual'!P52)/'Q5 Actual'!P52*100,"NA")</f>
        <v>0.62393647192285551</v>
      </c>
      <c r="T79" s="8">
        <f>IFERROR(('Q5 Actual'!Q53-'Q5 Actual'!Q52)/'Q5 Actual'!Q52*100,"NA")</f>
        <v>1.6473459426479491</v>
      </c>
      <c r="U79" s="8">
        <f>IFERROR(('Q5 Actual'!R53-'Q5 Actual'!R52)/'Q5 Actual'!R52*100,"NA")</f>
        <v>0.74669730040207427</v>
      </c>
      <c r="V79" s="8">
        <f>IFERROR(('Q5 Actual'!S53-'Q5 Actual'!S52)/'Q5 Actual'!S52*100,"NA")</f>
        <v>1.2865497076023324</v>
      </c>
      <c r="W79" s="8">
        <f>IFERROR(('Q5 Actual'!T53-'Q5 Actual'!T52)/'Q5 Actual'!T52*100,"NA")</f>
        <v>0.80598733448474724</v>
      </c>
      <c r="X79" s="8">
        <f>IFERROR(('Q5 Actual'!U53-'Q5 Actual'!U52)/'Q5 Actual'!U52*100,"NA")</f>
        <v>0</v>
      </c>
      <c r="Y79" s="8">
        <f>IFERROR(('Q5 Actual'!V53-'Q5 Actual'!V52)/'Q5 Actual'!V52*100,"NA")</f>
        <v>0.48280024140012756</v>
      </c>
      <c r="Z79" s="8">
        <f>IFERROR(('Q5 Actual'!X53-'Q5 Actual'!X52)/'Q5 Actual'!X52*100,"NA")</f>
        <v>0.39931545921277156</v>
      </c>
      <c r="AA79" s="8">
        <f>IFERROR(('Q5 Actual'!Y53-'Q5 Actual'!Y52)/'Q5 Actual'!Y52*100,"NA")</f>
        <v>1.7629179331307026</v>
      </c>
      <c r="AB79" s="8">
        <f>IFERROR(('Q5 Actual'!AA53-'Q5 Actual'!AA52)/'Q5 Actual'!AA52*100,"NA")</f>
        <v>0.66465256797582739</v>
      </c>
      <c r="AC79" s="8">
        <f>IFERROR(('Q5 Actual'!AB53-'Q5 Actual'!AB52)/'Q5 Actual'!AB52*100,"NA")</f>
        <v>0.17615971814444092</v>
      </c>
      <c r="AD79" s="8">
        <f>IFERROR(('Q5 Actual'!AC53-'Q5 Actual'!AC52)/'Q5 Actual'!AC52*100,"NA")</f>
        <v>0.4177545691906065</v>
      </c>
      <c r="AE79" s="8">
        <f>IFERROR(('Q5 Actual'!AD53-'Q5 Actual'!AD52)/'Q5 Actual'!AD52*100,"NA")</f>
        <v>0.59772863120143449</v>
      </c>
    </row>
    <row r="80" spans="1:31">
      <c r="A80" s="12" t="s">
        <v>30</v>
      </c>
      <c r="B80" s="12">
        <v>2022</v>
      </c>
      <c r="C80" s="12" t="s">
        <v>37</v>
      </c>
      <c r="D80" s="90">
        <f t="shared" si="0"/>
        <v>44652</v>
      </c>
      <c r="E80" s="67">
        <v>-8.5599999999999987</v>
      </c>
      <c r="F80" s="8">
        <f>IFERROR(('Q5 Actual'!W54-'Q5 Actual'!W53)/'Q5 Actual'!W53*100,"NA")</f>
        <v>2.6050917702782743</v>
      </c>
      <c r="G80" s="8">
        <f>IFERROR(('Q5 Actual'!Z54-'Q5 Actual'!Z53)/'Q5 Actual'!Z53*100,"NA")</f>
        <v>2.5925925925925855</v>
      </c>
      <c r="H80" s="8">
        <f>IFERROR(('Q5 Actual'!E54-'Q5 Actual'!E53)/'Q5 Actual'!E53*100,"NA")</f>
        <v>1.0652463382157276</v>
      </c>
      <c r="I80" s="8">
        <f>IFERROR(('Q5 Actual'!F54-'Q5 Actual'!F53)/'Q5 Actual'!F53*100,"NA")</f>
        <v>0.81730769230768685</v>
      </c>
      <c r="J80" s="8">
        <f>IFERROR(('Q5 Actual'!G54-'Q5 Actual'!G53)/'Q5 Actual'!G53*100,"NA")</f>
        <v>-2.0250148898153695</v>
      </c>
      <c r="K80" s="8">
        <f>IFERROR(('Q5 Actual'!H54-'Q5 Actual'!H53)/'Q5 Actual'!H53*100,"NA")</f>
        <v>1.111111111111118</v>
      </c>
      <c r="L80" s="8">
        <f>IFERROR(('Q5 Actual'!I54-'Q5 Actual'!I53)/'Q5 Actual'!I53*100,"NA")</f>
        <v>2.1171836533727282</v>
      </c>
      <c r="M80" s="8">
        <f>IFERROR(('Q5 Actual'!J54-'Q5 Actual'!J53)/'Q5 Actual'!J53*100,"NA")</f>
        <v>8.8518280949326371</v>
      </c>
      <c r="N80" s="8">
        <f>IFERROR(('Q5 Actual'!K54-'Q5 Actual'!K53)/'Q5 Actual'!K53*100,"NA")</f>
        <v>-1.4120667522464807</v>
      </c>
      <c r="O80" s="8">
        <f>IFERROR(('Q5 Actual'!L54-'Q5 Actual'!L53)/'Q5 Actual'!L53*100,"NA")</f>
        <v>0.54811205846528976</v>
      </c>
      <c r="P80" s="8">
        <f>IFERROR(('Q5 Actual'!M54-'Q5 Actual'!M53)/'Q5 Actual'!M53*100,"NA")</f>
        <v>8.4674005080447534E-2</v>
      </c>
      <c r="Q80" s="8">
        <f>IFERROR(('Q5 Actual'!N54-'Q5 Actual'!N53)/'Q5 Actual'!N53*100,"NA")</f>
        <v>2.3503077783995621</v>
      </c>
      <c r="R80" s="8">
        <f>IFERROR(('Q5 Actual'!O54-'Q5 Actual'!O53)/'Q5 Actual'!O53*100,"NA")</f>
        <v>0.7009345794392623</v>
      </c>
      <c r="S80" s="8">
        <f>IFERROR(('Q5 Actual'!P54-'Q5 Actual'!P53)/'Q5 Actual'!P53*100,"NA")</f>
        <v>0.84554678692220964</v>
      </c>
      <c r="T80" s="8">
        <f>IFERROR(('Q5 Actual'!Q54-'Q5 Actual'!Q53)/'Q5 Actual'!Q53*100,"NA")</f>
        <v>1.2004801920768309</v>
      </c>
      <c r="U80" s="8">
        <f>IFERROR(('Q5 Actual'!R54-'Q5 Actual'!R53)/'Q5 Actual'!R53*100,"NA")</f>
        <v>1.1972633979475451</v>
      </c>
      <c r="V80" s="8">
        <f>IFERROR(('Q5 Actual'!S54-'Q5 Actual'!S53)/'Q5 Actual'!S53*100,"NA")</f>
        <v>1.0969976905311811</v>
      </c>
      <c r="W80" s="8">
        <f>IFERROR(('Q5 Actual'!T54-'Q5 Actual'!T53)/'Q5 Actual'!T53*100,"NA")</f>
        <v>1.1422044545973729</v>
      </c>
      <c r="X80" s="8">
        <f>IFERROR(('Q5 Actual'!U54-'Q5 Actual'!U53)/'Q5 Actual'!U53*100,"NA")</f>
        <v>0</v>
      </c>
      <c r="Y80" s="8">
        <f>IFERROR(('Q5 Actual'!V54-'Q5 Actual'!V53)/'Q5 Actual'!V53*100,"NA")</f>
        <v>0.72072072072071391</v>
      </c>
      <c r="Z80" s="8">
        <f>IFERROR(('Q5 Actual'!X54-'Q5 Actual'!X53)/'Q5 Actual'!X53*100,"NA")</f>
        <v>0.56818181818181823</v>
      </c>
      <c r="AA80" s="8">
        <f>IFERROR(('Q5 Actual'!Y54-'Q5 Actual'!Y53)/'Q5 Actual'!Y53*100,"NA")</f>
        <v>0.95579450418159762</v>
      </c>
      <c r="AB80" s="8">
        <f>IFERROR(('Q5 Actual'!AA54-'Q5 Actual'!AA53)/'Q5 Actual'!AA53*100,"NA")</f>
        <v>0.36014405762304585</v>
      </c>
      <c r="AC80" s="8">
        <f>IFERROR(('Q5 Actual'!AB54-'Q5 Actual'!AB53)/'Q5 Actual'!AB53*100,"NA")</f>
        <v>0.17584994138335955</v>
      </c>
      <c r="AD80" s="8">
        <f>IFERROR(('Q5 Actual'!AC54-'Q5 Actual'!AC53)/'Q5 Actual'!AC53*100,"NA")</f>
        <v>0.26001040041601664</v>
      </c>
      <c r="AE80" s="8">
        <f>IFERROR(('Q5 Actual'!AD54-'Q5 Actual'!AD53)/'Q5 Actual'!AD53*100,"NA")</f>
        <v>1.1289364230540566</v>
      </c>
    </row>
    <row r="81" spans="1:31">
      <c r="A81" s="12" t="s">
        <v>30</v>
      </c>
      <c r="B81" s="12">
        <v>2022</v>
      </c>
      <c r="C81" s="12" t="s">
        <v>38</v>
      </c>
      <c r="D81" s="90">
        <f t="shared" si="0"/>
        <v>44682</v>
      </c>
      <c r="E81" s="67">
        <v>7.8</v>
      </c>
      <c r="F81" s="8">
        <f>IFERROR(('Q5 Actual'!W55-'Q5 Actual'!W54)/'Q5 Actual'!W54*100,"NA")</f>
        <v>1.1540680900173108</v>
      </c>
      <c r="G81" s="8">
        <f>IFERROR(('Q5 Actual'!Z55-'Q5 Actual'!Z54)/'Q5 Actual'!Z54*100,"NA")</f>
        <v>0.5415162454873681</v>
      </c>
      <c r="H81" s="8">
        <f>IFERROR(('Q5 Actual'!E55-'Q5 Actual'!E54)/'Q5 Actual'!E54*100,"NA")</f>
        <v>0.72463768115941651</v>
      </c>
      <c r="I81" s="8">
        <f>IFERROR(('Q5 Actual'!F55-'Q5 Actual'!F54)/'Q5 Actual'!F54*100,"NA")</f>
        <v>2.3843586075345735</v>
      </c>
      <c r="J81" s="8">
        <f>IFERROR(('Q5 Actual'!G55-'Q5 Actual'!G54)/'Q5 Actual'!G54*100,"NA")</f>
        <v>-1.8844984802431575</v>
      </c>
      <c r="K81" s="8">
        <f>IFERROR(('Q5 Actual'!H55-'Q5 Actual'!H54)/'Q5 Actual'!H54*100,"NA")</f>
        <v>0.48840048840047801</v>
      </c>
      <c r="L81" s="8">
        <f>IFERROR(('Q5 Actual'!I55-'Q5 Actual'!I54)/'Q5 Actual'!I54*100,"NA")</f>
        <v>1.2054001928640308</v>
      </c>
      <c r="M81" s="8">
        <f>IFERROR(('Q5 Actual'!J55-'Q5 Actual'!J54)/'Q5 Actual'!J54*100,"NA")</f>
        <v>-1.0017678255745366</v>
      </c>
      <c r="N81" s="8">
        <f>IFERROR(('Q5 Actual'!K55-'Q5 Actual'!K54)/'Q5 Actual'!K54*100,"NA")</f>
        <v>4.427083333333341</v>
      </c>
      <c r="O81" s="8">
        <f>IFERROR(('Q5 Actual'!L55-'Q5 Actual'!L54)/'Q5 Actual'!L54*100,"NA")</f>
        <v>-6.0569351907931147E-2</v>
      </c>
      <c r="P81" s="8">
        <f>IFERROR(('Q5 Actual'!M55-'Q5 Actual'!M54)/'Q5 Actual'!M54*100,"NA")</f>
        <v>0.59221658206430017</v>
      </c>
      <c r="Q81" s="8">
        <f>IFERROR(('Q5 Actual'!N55-'Q5 Actual'!N54)/'Q5 Actual'!N54*100,"NA")</f>
        <v>2.0229633679606276</v>
      </c>
      <c r="R81" s="8">
        <f>IFERROR(('Q5 Actual'!O55-'Q5 Actual'!O54)/'Q5 Actual'!O54*100,"NA")</f>
        <v>0.46403712296982769</v>
      </c>
      <c r="S81" s="8">
        <f>IFERROR(('Q5 Actual'!P55-'Q5 Actual'!P54)/'Q5 Actual'!P54*100,"NA")</f>
        <v>0.83845723868082733</v>
      </c>
      <c r="T81" s="8">
        <f>IFERROR(('Q5 Actual'!Q55-'Q5 Actual'!Q54)/'Q5 Actual'!Q54*100,"NA")</f>
        <v>1.3048635824436638</v>
      </c>
      <c r="U81" s="8">
        <f>IFERROR(('Q5 Actual'!R55-'Q5 Actual'!R54)/'Q5 Actual'!R54*100,"NA")</f>
        <v>1.0140845070422599</v>
      </c>
      <c r="V81" s="8">
        <f>IFERROR(('Q5 Actual'!S55-'Q5 Actual'!S54)/'Q5 Actual'!S54*100,"NA")</f>
        <v>1.1993146773272383</v>
      </c>
      <c r="W81" s="8">
        <f>IFERROR(('Q5 Actual'!T55-'Q5 Actual'!T54)/'Q5 Actual'!T54*100,"NA")</f>
        <v>1.0728402032749891</v>
      </c>
      <c r="X81" s="8">
        <f>IFERROR(('Q5 Actual'!U55-'Q5 Actual'!U54)/'Q5 Actual'!U54*100,"NA")</f>
        <v>0</v>
      </c>
      <c r="Y81" s="8">
        <f>IFERROR(('Q5 Actual'!V55-'Q5 Actual'!V54)/'Q5 Actual'!V54*100,"NA")</f>
        <v>0.71556350626119092</v>
      </c>
      <c r="Z81" s="8">
        <f>IFERROR(('Q5 Actual'!X55-'Q5 Actual'!X54)/'Q5 Actual'!X54*100,"NA")</f>
        <v>0.39548022598869415</v>
      </c>
      <c r="AA81" s="8">
        <f>IFERROR(('Q5 Actual'!Y55-'Q5 Actual'!Y54)/'Q5 Actual'!Y54*100,"NA")</f>
        <v>-0.29585798816568049</v>
      </c>
      <c r="AB81" s="8">
        <f>IFERROR(('Q5 Actual'!AA55-'Q5 Actual'!AA54)/'Q5 Actual'!AA54*100,"NA")</f>
        <v>0.23923444976076896</v>
      </c>
      <c r="AC81" s="8">
        <f>IFERROR(('Q5 Actual'!AB55-'Q5 Actual'!AB54)/'Q5 Actual'!AB54*100,"NA")</f>
        <v>0.52662375658280025</v>
      </c>
      <c r="AD81" s="8">
        <f>IFERROR(('Q5 Actual'!AC55-'Q5 Actual'!AC54)/'Q5 Actual'!AC54*100,"NA")</f>
        <v>5.1867219917009502E-2</v>
      </c>
      <c r="AE81" s="8">
        <f>IFERROR(('Q5 Actual'!AD55-'Q5 Actual'!AD54)/'Q5 Actual'!AD54*100,"NA")</f>
        <v>0.41128084606346482</v>
      </c>
    </row>
    <row r="82" spans="1:31">
      <c r="A82" s="12" t="s">
        <v>30</v>
      </c>
      <c r="B82" s="12">
        <v>2022</v>
      </c>
      <c r="C82" s="12" t="s">
        <v>39</v>
      </c>
      <c r="D82" s="90">
        <f t="shared" si="0"/>
        <v>44713</v>
      </c>
      <c r="E82" s="67">
        <v>7.9200000000000008</v>
      </c>
      <c r="F82" s="8">
        <f>IFERROR(('Q5 Actual'!W56-'Q5 Actual'!W55)/'Q5 Actual'!W55*100,"NA")</f>
        <v>0.79863091842554312</v>
      </c>
      <c r="G82" s="8">
        <f>IFERROR(('Q5 Actual'!Z56-'Q5 Actual'!Z55)/'Q5 Actual'!Z55*100,"NA")</f>
        <v>-0.9575104727707926</v>
      </c>
      <c r="H82" s="8">
        <f>IFERROR(('Q5 Actual'!E56-'Q5 Actual'!E55)/'Q5 Actual'!E55*100,"NA")</f>
        <v>0.58862001308044842</v>
      </c>
      <c r="I82" s="8">
        <f>IFERROR(('Q5 Actual'!F56-'Q5 Actual'!F55)/'Q5 Actual'!F55*100,"NA")</f>
        <v>1.1644154634373545</v>
      </c>
      <c r="J82" s="8">
        <f>IFERROR(('Q5 Actual'!G56-'Q5 Actual'!G55)/'Q5 Actual'!G55*100,"NA")</f>
        <v>5.0805452292441062</v>
      </c>
      <c r="K82" s="8">
        <f>IFERROR(('Q5 Actual'!H56-'Q5 Actual'!H55)/'Q5 Actual'!H55*100,"NA")</f>
        <v>0.48602673147023778</v>
      </c>
      <c r="L82" s="8">
        <f>IFERROR(('Q5 Actual'!I56-'Q5 Actual'!I55)/'Q5 Actual'!I55*100,"NA")</f>
        <v>-0.85755121486422636</v>
      </c>
      <c r="M82" s="8">
        <f>IFERROR(('Q5 Actual'!J56-'Q5 Actual'!J55)/'Q5 Actual'!J55*100,"NA")</f>
        <v>-1.3095238095238029</v>
      </c>
      <c r="N82" s="8">
        <f>IFERROR(('Q5 Actual'!K56-'Q5 Actual'!K55)/'Q5 Actual'!K55*100,"NA")</f>
        <v>4.301745635910228</v>
      </c>
      <c r="O82" s="8">
        <f>IFERROR(('Q5 Actual'!L56-'Q5 Actual'!L55)/'Q5 Actual'!L55*100,"NA")</f>
        <v>-0.24242424242424584</v>
      </c>
      <c r="P82" s="8">
        <f>IFERROR(('Q5 Actual'!M56-'Q5 Actual'!M55)/'Q5 Actual'!M55*100,"NA")</f>
        <v>0.16820857863750094</v>
      </c>
      <c r="Q82" s="8">
        <f>IFERROR(('Q5 Actual'!N56-'Q5 Actual'!N55)/'Q5 Actual'!N55*100,"NA")</f>
        <v>1.2325830653804992</v>
      </c>
      <c r="R82" s="8">
        <f>IFERROR(('Q5 Actual'!O56-'Q5 Actual'!O55)/'Q5 Actual'!O55*100,"NA")</f>
        <v>0.57736720554272514</v>
      </c>
      <c r="S82" s="8">
        <f>IFERROR(('Q5 Actual'!P56-'Q5 Actual'!P55)/'Q5 Actual'!P55*100,"NA")</f>
        <v>0.8314855875831485</v>
      </c>
      <c r="T82" s="8">
        <f>IFERROR(('Q5 Actual'!Q56-'Q5 Actual'!Q55)/'Q5 Actual'!Q55*100,"NA")</f>
        <v>0.93676814988290047</v>
      </c>
      <c r="U82" s="8">
        <f>IFERROR(('Q5 Actual'!R56-'Q5 Actual'!R55)/'Q5 Actual'!R55*100,"NA")</f>
        <v>0.78081427774678036</v>
      </c>
      <c r="V82" s="8">
        <f>IFERROR(('Q5 Actual'!S56-'Q5 Actual'!S55)/'Q5 Actual'!S55*100,"NA")</f>
        <v>0.84650112866817162</v>
      </c>
      <c r="W82" s="8">
        <f>IFERROR(('Q5 Actual'!T56-'Q5 Actual'!T55)/'Q5 Actual'!T55*100,"NA")</f>
        <v>0.78212290502793613</v>
      </c>
      <c r="X82" s="8">
        <f>IFERROR(('Q5 Actual'!U56-'Q5 Actual'!U55)/'Q5 Actual'!U55*100,"NA")</f>
        <v>0</v>
      </c>
      <c r="Y82" s="8">
        <f>IFERROR(('Q5 Actual'!V56-'Q5 Actual'!V55)/'Q5 Actual'!V55*100,"NA")</f>
        <v>0.82889283599763497</v>
      </c>
      <c r="Z82" s="8">
        <f>IFERROR(('Q5 Actual'!X56-'Q5 Actual'!X55)/'Q5 Actual'!X55*100,"NA")</f>
        <v>0.28137310073157007</v>
      </c>
      <c r="AA82" s="8">
        <f>IFERROR(('Q5 Actual'!Y56-'Q5 Actual'!Y55)/'Q5 Actual'!Y55*100,"NA")</f>
        <v>0.59347181008902083</v>
      </c>
      <c r="AB82" s="8">
        <f>IFERROR(('Q5 Actual'!AA56-'Q5 Actual'!AA55)/'Q5 Actual'!AA55*100,"NA")</f>
        <v>0.23866348448687691</v>
      </c>
      <c r="AC82" s="8">
        <f>IFERROR(('Q5 Actual'!AB56-'Q5 Actual'!AB55)/'Q5 Actual'!AB55*100,"NA")</f>
        <v>0.46565774155994344</v>
      </c>
      <c r="AD82" s="8">
        <f>IFERROR(('Q5 Actual'!AC56-'Q5 Actual'!AC55)/'Q5 Actual'!AC55*100,"NA")</f>
        <v>0</v>
      </c>
      <c r="AE82" s="8">
        <f>IFERROR(('Q5 Actual'!AD56-'Q5 Actual'!AD55)/'Q5 Actual'!AD55*100,"NA")</f>
        <v>5.8513750731418554E-2</v>
      </c>
    </row>
    <row r="83" spans="1:31">
      <c r="A83" s="12" t="s">
        <v>30</v>
      </c>
      <c r="B83" s="12">
        <v>2022</v>
      </c>
      <c r="C83" s="12" t="s">
        <v>40</v>
      </c>
      <c r="D83" s="90">
        <f t="shared" si="0"/>
        <v>44743</v>
      </c>
      <c r="E83" s="67">
        <v>-7.5</v>
      </c>
      <c r="F83" s="8">
        <f>IFERROR(('Q5 Actual'!W57-'Q5 Actual'!W56)/'Q5 Actual'!W56*100,"NA")</f>
        <v>1.6411997736276207</v>
      </c>
      <c r="G83" s="8">
        <f>IFERROR(('Q5 Actual'!Z57-'Q5 Actual'!Z56)/'Q5 Actual'!Z56*100,"NA")</f>
        <v>0.48338368580061108</v>
      </c>
      <c r="H83" s="8">
        <f>IFERROR(('Q5 Actual'!E57-'Q5 Actual'!E56)/'Q5 Actual'!E56*100,"NA")</f>
        <v>0.91027308192456258</v>
      </c>
      <c r="I83" s="8">
        <f>IFERROR(('Q5 Actual'!F57-'Q5 Actual'!F56)/'Q5 Actual'!F56*100,"NA")</f>
        <v>-2.9465930018416104</v>
      </c>
      <c r="J83" s="8">
        <f>IFERROR(('Q5 Actual'!G57-'Q5 Actual'!G56)/'Q5 Actual'!G56*100,"NA")</f>
        <v>2.77122641509435</v>
      </c>
      <c r="K83" s="8">
        <f>IFERROR(('Q5 Actual'!H57-'Q5 Actual'!H56)/'Q5 Actual'!H56*100,"NA")</f>
        <v>0.54413542926239766</v>
      </c>
      <c r="L83" s="8">
        <f>IFERROR(('Q5 Actual'!I57-'Q5 Actual'!I56)/'Q5 Actual'!I56*100,"NA")</f>
        <v>-2.8351753964440203</v>
      </c>
      <c r="M83" s="8">
        <f>IFERROR(('Q5 Actual'!J57-'Q5 Actual'!J56)/'Q5 Actual'!J56*100,"NA")</f>
        <v>2.2919179734619917</v>
      </c>
      <c r="N83" s="8">
        <f>IFERROR(('Q5 Actual'!K57-'Q5 Actual'!K56)/'Q5 Actual'!K56*100,"NA")</f>
        <v>0.77704722056185471</v>
      </c>
      <c r="O83" s="8">
        <f>IFERROR(('Q5 Actual'!L57-'Q5 Actual'!L56)/'Q5 Actual'!L56*100,"NA")</f>
        <v>-0.12150668286755081</v>
      </c>
      <c r="P83" s="8">
        <f>IFERROR(('Q5 Actual'!M57-'Q5 Actual'!M56)/'Q5 Actual'!M56*100,"NA")</f>
        <v>8.3963056255254853E-2</v>
      </c>
      <c r="Q83" s="8">
        <f>IFERROR(('Q5 Actual'!N57-'Q5 Actual'!N56)/'Q5 Actual'!N56*100,"NA")</f>
        <v>1.5352038115405005</v>
      </c>
      <c r="R83" s="8">
        <f>IFERROR(('Q5 Actual'!O57-'Q5 Actual'!O56)/'Q5 Actual'!O56*100,"NA")</f>
        <v>0.17221584385764144</v>
      </c>
      <c r="S83" s="8">
        <f>IFERROR(('Q5 Actual'!P57-'Q5 Actual'!P56)/'Q5 Actual'!P56*100,"NA")</f>
        <v>0.6597031335898782</v>
      </c>
      <c r="T83" s="8">
        <f>IFERROR(('Q5 Actual'!Q57-'Q5 Actual'!Q56)/'Q5 Actual'!Q56*100,"NA")</f>
        <v>5.80046403712264E-2</v>
      </c>
      <c r="U83" s="8">
        <f>IFERROR(('Q5 Actual'!R57-'Q5 Actual'!R56)/'Q5 Actual'!R56*100,"NA")</f>
        <v>0.71942446043166108</v>
      </c>
      <c r="V83" s="8">
        <f>IFERROR(('Q5 Actual'!S57-'Q5 Actual'!S56)/'Q5 Actual'!S56*100,"NA")</f>
        <v>0.89535534415222318</v>
      </c>
      <c r="W83" s="8">
        <f>IFERROR(('Q5 Actual'!T57-'Q5 Actual'!T56)/'Q5 Actual'!T56*100,"NA")</f>
        <v>0.72062084257205261</v>
      </c>
      <c r="X83" s="8">
        <f>IFERROR(('Q5 Actual'!U57-'Q5 Actual'!U56)/'Q5 Actual'!U56*100,"NA")</f>
        <v>0</v>
      </c>
      <c r="Y83" s="8">
        <f>IFERROR(('Q5 Actual'!V57-'Q5 Actual'!V56)/'Q5 Actual'!V56*100,"NA")</f>
        <v>0.58719906048150317</v>
      </c>
      <c r="Z83" s="8">
        <f>IFERROR(('Q5 Actual'!X57-'Q5 Actual'!X56)/'Q5 Actual'!X56*100,"NA")</f>
        <v>0.33670033670034949</v>
      </c>
      <c r="AA83" s="8">
        <f>IFERROR(('Q5 Actual'!Y57-'Q5 Actual'!Y56)/'Q5 Actual'!Y56*100,"NA")</f>
        <v>0.11799410029497855</v>
      </c>
      <c r="AB83" s="8">
        <f>IFERROR(('Q5 Actual'!AA57-'Q5 Actual'!AA56)/'Q5 Actual'!AA56*100,"NA")</f>
        <v>0.35714285714285376</v>
      </c>
      <c r="AC83" s="8">
        <f>IFERROR(('Q5 Actual'!AB57-'Q5 Actual'!AB56)/'Q5 Actual'!AB56*100,"NA")</f>
        <v>1.2166859791425229</v>
      </c>
      <c r="AD83" s="8">
        <f>IFERROR(('Q5 Actual'!AC57-'Q5 Actual'!AC56)/'Q5 Actual'!AC56*100,"NA")</f>
        <v>0.15552099533436128</v>
      </c>
      <c r="AE83" s="8">
        <f>IFERROR(('Q5 Actual'!AD57-'Q5 Actual'!AD56)/'Q5 Actual'!AD56*100,"NA")</f>
        <v>0.46783625730994821</v>
      </c>
    </row>
    <row r="84" spans="1:31">
      <c r="A84" s="12" t="s">
        <v>30</v>
      </c>
      <c r="B84" s="12">
        <v>2022</v>
      </c>
      <c r="C84" s="12" t="s">
        <v>41</v>
      </c>
      <c r="D84" s="90">
        <f t="shared" si="0"/>
        <v>44774</v>
      </c>
      <c r="E84" s="67">
        <v>-9.5500000000000007</v>
      </c>
      <c r="F84" s="8">
        <f>IFERROR(('Q5 Actual'!W58-'Q5 Actual'!W57)/'Q5 Actual'!W57*100,"NA")</f>
        <v>-0.27839643652561247</v>
      </c>
      <c r="G84" s="8">
        <f>IFERROR(('Q5 Actual'!Z58-'Q5 Actual'!Z57)/'Q5 Actual'!Z57*100,"NA")</f>
        <v>0.18039687312085564</v>
      </c>
      <c r="H84" s="8">
        <f>IFERROR(('Q5 Actual'!E58-'Q5 Actual'!E57)/'Q5 Actual'!E57*100,"NA")</f>
        <v>2.7706185567010384</v>
      </c>
      <c r="I84" s="8">
        <f>IFERROR(('Q5 Actual'!F58-'Q5 Actual'!F57)/'Q5 Actual'!F57*100,"NA")</f>
        <v>-3.1783681214421331</v>
      </c>
      <c r="J84" s="8">
        <f>IFERROR(('Q5 Actual'!G58-'Q5 Actual'!G57)/'Q5 Actual'!G57*100,"NA")</f>
        <v>-3.4423407917383817</v>
      </c>
      <c r="K84" s="8">
        <f>IFERROR(('Q5 Actual'!H58-'Q5 Actual'!H57)/'Q5 Actual'!H57*100,"NA")</f>
        <v>0.96211665664461476</v>
      </c>
      <c r="L84" s="8">
        <f>IFERROR(('Q5 Actual'!I58-'Q5 Actual'!I57)/'Q5 Actual'!I57*100,"NA")</f>
        <v>-2.0276953511374849</v>
      </c>
      <c r="M84" s="8">
        <f>IFERROR(('Q5 Actual'!J58-'Q5 Actual'!J57)/'Q5 Actual'!J57*100,"NA")</f>
        <v>-0.23584905660377695</v>
      </c>
      <c r="N84" s="8">
        <f>IFERROR(('Q5 Actual'!K58-'Q5 Actual'!K57)/'Q5 Actual'!K57*100,"NA")</f>
        <v>2.6690391459074734</v>
      </c>
      <c r="O84" s="8">
        <f>IFERROR(('Q5 Actual'!L58-'Q5 Actual'!L57)/'Q5 Actual'!L57*100,"NA")</f>
        <v>1.6423357664233509</v>
      </c>
      <c r="P84" s="8">
        <f>IFERROR(('Q5 Actual'!M58-'Q5 Actual'!M57)/'Q5 Actual'!M57*100,"NA")</f>
        <v>0.83892617449664431</v>
      </c>
      <c r="Q84" s="8">
        <f>IFERROR(('Q5 Actual'!N58-'Q5 Actual'!N57)/'Q5 Actual'!N57*100,"NA")</f>
        <v>1.981230448383724</v>
      </c>
      <c r="R84" s="8">
        <f>IFERROR(('Q5 Actual'!O58-'Q5 Actual'!O57)/'Q5 Actual'!O57*100,"NA")</f>
        <v>0.17191977077364548</v>
      </c>
      <c r="S84" s="8">
        <f>IFERROR(('Q5 Actual'!P58-'Q5 Actual'!P57)/'Q5 Actual'!P57*100,"NA")</f>
        <v>0.4915346805024608</v>
      </c>
      <c r="T84" s="8">
        <f>IFERROR(('Q5 Actual'!Q58-'Q5 Actual'!Q57)/'Q5 Actual'!Q57*100,"NA")</f>
        <v>0.81159420289855411</v>
      </c>
      <c r="U84" s="8">
        <f>IFERROR(('Q5 Actual'!R58-'Q5 Actual'!R57)/'Q5 Actual'!R57*100,"NA")</f>
        <v>0.65934065934065311</v>
      </c>
      <c r="V84" s="8">
        <f>IFERROR(('Q5 Actual'!S58-'Q5 Actual'!S57)/'Q5 Actual'!S57*100,"NA")</f>
        <v>0.7764836383804643</v>
      </c>
      <c r="W84" s="8">
        <f>IFERROR(('Q5 Actual'!T58-'Q5 Actual'!T57)/'Q5 Actual'!T57*100,"NA")</f>
        <v>0.71546505228399093</v>
      </c>
      <c r="X84" s="8">
        <f>IFERROR(('Q5 Actual'!U58-'Q5 Actual'!U57)/'Q5 Actual'!U57*100,"NA")</f>
        <v>0</v>
      </c>
      <c r="Y84" s="8">
        <f>IFERROR(('Q5 Actual'!V58-'Q5 Actual'!V57)/'Q5 Actual'!V57*100,"NA")</f>
        <v>0.58377116170461174</v>
      </c>
      <c r="Z84" s="8">
        <f>IFERROR(('Q5 Actual'!X58-'Q5 Actual'!X57)/'Q5 Actual'!X57*100,"NA")</f>
        <v>0.33557046979865451</v>
      </c>
      <c r="AA84" s="8">
        <f>IFERROR(('Q5 Actual'!Y58-'Q5 Actual'!Y57)/'Q5 Actual'!Y57*100,"NA")</f>
        <v>0.82498526812021555</v>
      </c>
      <c r="AB84" s="8">
        <f>IFERROR(('Q5 Actual'!AA58-'Q5 Actual'!AA57)/'Q5 Actual'!AA57*100,"NA")</f>
        <v>0.41518386714117261</v>
      </c>
      <c r="AC84" s="8">
        <f>IFERROR(('Q5 Actual'!AB58-'Q5 Actual'!AB57)/'Q5 Actual'!AB57*100,"NA")</f>
        <v>0.5724098454493417</v>
      </c>
      <c r="AD84" s="8">
        <f>IFERROR(('Q5 Actual'!AC58-'Q5 Actual'!AC57)/'Q5 Actual'!AC57*100,"NA")</f>
        <v>0.25879917184265011</v>
      </c>
      <c r="AE84" s="8">
        <f>IFERROR(('Q5 Actual'!AD58-'Q5 Actual'!AD57)/'Q5 Actual'!AD57*100,"NA")</f>
        <v>0.46565774155994344</v>
      </c>
    </row>
    <row r="85" spans="1:31">
      <c r="A85" s="12" t="s">
        <v>30</v>
      </c>
      <c r="B85" s="12">
        <v>2022</v>
      </c>
      <c r="C85" s="12" t="s">
        <v>42</v>
      </c>
      <c r="D85" s="90">
        <f t="shared" si="0"/>
        <v>44805</v>
      </c>
      <c r="E85" s="67">
        <v>-7.76</v>
      </c>
      <c r="F85" s="8">
        <f>IFERROR(('Q5 Actual'!W59-'Q5 Actual'!W58)/'Q5 Actual'!W58*100,"NA")</f>
        <v>0.3350083752093771</v>
      </c>
      <c r="G85" s="8">
        <f>IFERROR(('Q5 Actual'!Z59-'Q5 Actual'!Z58)/'Q5 Actual'!Z58*100,"NA")</f>
        <v>0.18007202881153145</v>
      </c>
      <c r="H85" s="8">
        <f>IFERROR(('Q5 Actual'!E59-'Q5 Actual'!E58)/'Q5 Actual'!E58*100,"NA")</f>
        <v>2.1316614420062732</v>
      </c>
      <c r="I85" s="8">
        <f>IFERROR(('Q5 Actual'!F59-'Q5 Actual'!F58)/'Q5 Actual'!F58*100,"NA")</f>
        <v>1.2738853503184686</v>
      </c>
      <c r="J85" s="8">
        <f>IFERROR(('Q5 Actual'!G59-'Q5 Actual'!G58)/'Q5 Actual'!G58*100,"NA")</f>
        <v>0.41592394533570326</v>
      </c>
      <c r="K85" s="8">
        <f>IFERROR(('Q5 Actual'!H59-'Q5 Actual'!H58)/'Q5 Actual'!H58*100,"NA")</f>
        <v>0.95294818344252197</v>
      </c>
      <c r="L85" s="8">
        <f>IFERROR(('Q5 Actual'!I59-'Q5 Actual'!I58)/'Q5 Actual'!I58*100,"NA")</f>
        <v>-2.0191822311963654</v>
      </c>
      <c r="M85" s="8">
        <f>IFERROR(('Q5 Actual'!J59-'Q5 Actual'!J58)/'Q5 Actual'!J58*100,"NA")</f>
        <v>-3.0141843971631173</v>
      </c>
      <c r="N85" s="8">
        <f>IFERROR(('Q5 Actual'!K59-'Q5 Actual'!K58)/'Q5 Actual'!K58*100,"NA")</f>
        <v>2.1952628538417165</v>
      </c>
      <c r="O85" s="8">
        <f>IFERROR(('Q5 Actual'!L59-'Q5 Actual'!L58)/'Q5 Actual'!L58*100,"NA")</f>
        <v>1.1370436864153237</v>
      </c>
      <c r="P85" s="8">
        <f>IFERROR(('Q5 Actual'!M59-'Q5 Actual'!M58)/'Q5 Actual'!M58*100,"NA")</f>
        <v>0.49916805324458757</v>
      </c>
      <c r="Q85" s="8">
        <f>IFERROR(('Q5 Actual'!N59-'Q5 Actual'!N58)/'Q5 Actual'!N58*100,"NA")</f>
        <v>1.7893660531697342</v>
      </c>
      <c r="R85" s="8">
        <f>IFERROR(('Q5 Actual'!O59-'Q5 Actual'!O58)/'Q5 Actual'!O58*100,"NA")</f>
        <v>0.34324942791761687</v>
      </c>
      <c r="S85" s="8">
        <f>IFERROR(('Q5 Actual'!P59-'Q5 Actual'!P58)/'Q5 Actual'!P58*100,"NA")</f>
        <v>0.43478260869565832</v>
      </c>
      <c r="T85" s="8">
        <f>IFERROR(('Q5 Actual'!Q59-'Q5 Actual'!Q58)/'Q5 Actual'!Q58*100,"NA")</f>
        <v>0.92006900517538481</v>
      </c>
      <c r="U85" s="8">
        <f>IFERROR(('Q5 Actual'!R59-'Q5 Actual'!R58)/'Q5 Actual'!R58*100,"NA")</f>
        <v>0.81877729257641918</v>
      </c>
      <c r="V85" s="8">
        <f>IFERROR(('Q5 Actual'!S59-'Q5 Actual'!S58)/'Q5 Actual'!S58*100,"NA")</f>
        <v>0.8805723720418398</v>
      </c>
      <c r="W85" s="8">
        <f>IFERROR(('Q5 Actual'!T59-'Q5 Actual'!T58)/'Q5 Actual'!T58*100,"NA")</f>
        <v>0.81967213114754101</v>
      </c>
      <c r="X85" s="8">
        <f>IFERROR(('Q5 Actual'!U59-'Q5 Actual'!U58)/'Q5 Actual'!U58*100,"NA")</f>
        <v>0</v>
      </c>
      <c r="Y85" s="8">
        <f>IFERROR(('Q5 Actual'!V59-'Q5 Actual'!V58)/'Q5 Actual'!V58*100,"NA")</f>
        <v>0.75449796865930518</v>
      </c>
      <c r="Z85" s="8">
        <f>IFERROR(('Q5 Actual'!X59-'Q5 Actual'!X58)/'Q5 Actual'!X58*100,"NA")</f>
        <v>0.44593088071347986</v>
      </c>
      <c r="AA85" s="8">
        <f>IFERROR(('Q5 Actual'!Y59-'Q5 Actual'!Y58)/'Q5 Actual'!Y58*100,"NA")</f>
        <v>-0.17533606078315778</v>
      </c>
      <c r="AB85" s="8">
        <f>IFERROR(('Q5 Actual'!AA59-'Q5 Actual'!AA58)/'Q5 Actual'!AA58*100,"NA")</f>
        <v>0.41346721795628383</v>
      </c>
      <c r="AC85" s="8">
        <f>IFERROR(('Q5 Actual'!AB59-'Q5 Actual'!AB58)/'Q5 Actual'!AB58*100,"NA")</f>
        <v>0.28457598178713722</v>
      </c>
      <c r="AD85" s="8">
        <f>IFERROR(('Q5 Actual'!AC59-'Q5 Actual'!AC58)/'Q5 Actual'!AC58*100,"NA")</f>
        <v>0.4130098089829693</v>
      </c>
      <c r="AE85" s="8">
        <f>IFERROR(('Q5 Actual'!AD59-'Q5 Actual'!AD58)/'Q5 Actual'!AD58*100,"NA")</f>
        <v>0.28968713789107764</v>
      </c>
    </row>
    <row r="86" spans="1:31">
      <c r="A86" s="12" t="s">
        <v>30</v>
      </c>
      <c r="B86" s="12">
        <v>2022</v>
      </c>
      <c r="C86" s="12" t="s">
        <v>43</v>
      </c>
      <c r="D86" s="90">
        <f t="shared" si="0"/>
        <v>44835</v>
      </c>
      <c r="E86" s="67">
        <v>5.9799999999999995</v>
      </c>
      <c r="F86" s="8">
        <f>IFERROR(('Q5 Actual'!W60-'Q5 Actual'!W59)/'Q5 Actual'!W59*100,"NA")</f>
        <v>0.61213132999444786</v>
      </c>
      <c r="G86" s="8">
        <f>IFERROR(('Q5 Actual'!Z60-'Q5 Actual'!Z59)/'Q5 Actual'!Z59*100,"NA")</f>
        <v>0.29958058717795089</v>
      </c>
      <c r="H86" s="8">
        <f>IFERROR(('Q5 Actual'!E60-'Q5 Actual'!E59)/'Q5 Actual'!E59*100,"NA")</f>
        <v>1.1049723756905974</v>
      </c>
      <c r="I86" s="8">
        <f>IFERROR(('Q5 Actual'!F60-'Q5 Actual'!F59)/'Q5 Actual'!F59*100,"NA")</f>
        <v>1.0159651669085743</v>
      </c>
      <c r="J86" s="8">
        <f>IFERROR(('Q5 Actual'!G60-'Q5 Actual'!G59)/'Q5 Actual'!G59*100,"NA")</f>
        <v>0.76923076923077593</v>
      </c>
      <c r="K86" s="8">
        <f>IFERROR(('Q5 Actual'!H60-'Q5 Actual'!H59)/'Q5 Actual'!H59*100,"NA")</f>
        <v>0.82595870206490007</v>
      </c>
      <c r="L86" s="8">
        <f>IFERROR(('Q5 Actual'!I60-'Q5 Actual'!I59)/'Q5 Actual'!I59*100,"NA")</f>
        <v>-1.2879958784131891</v>
      </c>
      <c r="M86" s="8">
        <f>IFERROR(('Q5 Actual'!J60-'Q5 Actual'!J59)/'Q5 Actual'!J59*100,"NA")</f>
        <v>-1.1578305911029894</v>
      </c>
      <c r="N86" s="8">
        <f>IFERROR(('Q5 Actual'!K60-'Q5 Actual'!K59)/'Q5 Actual'!K59*100,"NA")</f>
        <v>4.4657998869417774</v>
      </c>
      <c r="O86" s="8">
        <f>IFERROR(('Q5 Actual'!L60-'Q5 Actual'!L59)/'Q5 Actual'!L59*100,"NA")</f>
        <v>0.4142011834319459</v>
      </c>
      <c r="P86" s="8">
        <f>IFERROR(('Q5 Actual'!M60-'Q5 Actual'!M59)/'Q5 Actual'!M59*100,"NA")</f>
        <v>0.24834437086092481</v>
      </c>
      <c r="Q86" s="8">
        <f>IFERROR(('Q5 Actual'!N60-'Q5 Actual'!N59)/'Q5 Actual'!N59*100,"NA")</f>
        <v>1.255650426921145</v>
      </c>
      <c r="R86" s="8">
        <f>IFERROR(('Q5 Actual'!O60-'Q5 Actual'!O59)/'Q5 Actual'!O59*100,"NA")</f>
        <v>0.2280501710376315</v>
      </c>
      <c r="S86" s="8">
        <f>IFERROR(('Q5 Actual'!P60-'Q5 Actual'!P59)/'Q5 Actual'!P59*100,"NA")</f>
        <v>0.43290043290042363</v>
      </c>
      <c r="T86" s="8">
        <f>IFERROR(('Q5 Actual'!Q60-'Q5 Actual'!Q59)/'Q5 Actual'!Q59*100,"NA")</f>
        <v>1.082621082621086</v>
      </c>
      <c r="U86" s="8">
        <f>IFERROR(('Q5 Actual'!R60-'Q5 Actual'!R59)/'Q5 Actual'!R59*100,"NA")</f>
        <v>0.75798592311857371</v>
      </c>
      <c r="V86" s="8">
        <f>IFERROR(('Q5 Actual'!S60-'Q5 Actual'!S59)/'Q5 Actual'!S59*100,"NA")</f>
        <v>0.60010911074740547</v>
      </c>
      <c r="W86" s="8">
        <f>IFERROR(('Q5 Actual'!T60-'Q5 Actual'!T59)/'Q5 Actual'!T59*100,"NA")</f>
        <v>0.75880758807588389</v>
      </c>
      <c r="X86" s="8">
        <f>IFERROR(('Q5 Actual'!U60-'Q5 Actual'!U59)/'Q5 Actual'!U59*100,"NA")</f>
        <v>0</v>
      </c>
      <c r="Y86" s="8">
        <f>IFERROR(('Q5 Actual'!V60-'Q5 Actual'!V59)/'Q5 Actual'!V59*100,"NA")</f>
        <v>0.46082949308756421</v>
      </c>
      <c r="Z86" s="8">
        <f>IFERROR(('Q5 Actual'!X60-'Q5 Actual'!X59)/'Q5 Actual'!X59*100,"NA")</f>
        <v>0.55493895671476146</v>
      </c>
      <c r="AA86" s="8">
        <f>IFERROR(('Q5 Actual'!Y60-'Q5 Actual'!Y59)/'Q5 Actual'!Y59*100,"NA")</f>
        <v>0.70257611241217133</v>
      </c>
      <c r="AB86" s="8">
        <f>IFERROR(('Q5 Actual'!AA60-'Q5 Actual'!AA59)/'Q5 Actual'!AA59*100,"NA")</f>
        <v>0.35294117647058493</v>
      </c>
      <c r="AC86" s="8">
        <f>IFERROR(('Q5 Actual'!AB60-'Q5 Actual'!AB59)/'Q5 Actual'!AB59*100,"NA")</f>
        <v>0.17026106696935947</v>
      </c>
      <c r="AD86" s="8">
        <f>IFERROR(('Q5 Actual'!AC60-'Q5 Actual'!AC59)/'Q5 Actual'!AC59*100,"NA")</f>
        <v>0.20565552699229084</v>
      </c>
      <c r="AE86" s="8">
        <f>IFERROR(('Q5 Actual'!AD60-'Q5 Actual'!AD59)/'Q5 Actual'!AD59*100,"NA")</f>
        <v>0.46216060080878762</v>
      </c>
    </row>
    <row r="87" spans="1:31">
      <c r="A87" s="12" t="s">
        <v>30</v>
      </c>
      <c r="B87" s="12">
        <v>2022</v>
      </c>
      <c r="C87" s="12" t="s">
        <v>45</v>
      </c>
      <c r="D87" s="90">
        <f t="shared" si="0"/>
        <v>44866</v>
      </c>
      <c r="E87" s="67">
        <v>-2.81</v>
      </c>
      <c r="F87" s="8">
        <f>IFERROR(('Q5 Actual'!W61-'Q5 Actual'!W60)/'Q5 Actual'!W60*100,"NA")</f>
        <v>0.60840707964601448</v>
      </c>
      <c r="G87" s="8">
        <f>IFERROR(('Q5 Actual'!Z61-'Q5 Actual'!Z60)/'Q5 Actual'!Z60*100,"NA")</f>
        <v>5.9737156511346659E-2</v>
      </c>
      <c r="H87" s="8">
        <f>IFERROR(('Q5 Actual'!E61-'Q5 Actual'!E60)/'Q5 Actual'!E60*100,"NA")</f>
        <v>1.335761991499707</v>
      </c>
      <c r="I87" s="8">
        <f>IFERROR(('Q5 Actual'!F61-'Q5 Actual'!F60)/'Q5 Actual'!F60*100,"NA")</f>
        <v>-0.76628352490422547</v>
      </c>
      <c r="J87" s="8">
        <f>IFERROR(('Q5 Actual'!G61-'Q5 Actual'!G60)/'Q5 Actual'!G60*100,"NA")</f>
        <v>5.8132706987668685</v>
      </c>
      <c r="K87" s="8">
        <f>IFERROR(('Q5 Actual'!H61-'Q5 Actual'!H60)/'Q5 Actual'!H60*100,"NA")</f>
        <v>0.81919251023990969</v>
      </c>
      <c r="L87" s="8">
        <f>IFERROR(('Q5 Actual'!I61-'Q5 Actual'!I60)/'Q5 Actual'!I60*100,"NA")</f>
        <v>1.2526096033402954</v>
      </c>
      <c r="M87" s="8">
        <f>IFERROR(('Q5 Actual'!J61-'Q5 Actual'!J60)/'Q5 Actual'!J60*100,"NA")</f>
        <v>-1.911220715166458</v>
      </c>
      <c r="N87" s="8">
        <f>IFERROR(('Q5 Actual'!K61-'Q5 Actual'!K60)/'Q5 Actual'!K60*100,"NA")</f>
        <v>-7.1428571428571521</v>
      </c>
      <c r="O87" s="8">
        <f>IFERROR(('Q5 Actual'!L61-'Q5 Actual'!L60)/'Q5 Actual'!L60*100,"NA")</f>
        <v>0.29463759575721865</v>
      </c>
      <c r="P87" s="8">
        <f>IFERROR(('Q5 Actual'!M61-'Q5 Actual'!M60)/'Q5 Actual'!M60*100,"NA")</f>
        <v>0.33030553261767603</v>
      </c>
      <c r="Q87" s="8">
        <f>IFERROR(('Q5 Actual'!N61-'Q5 Actual'!N60)/'Q5 Actual'!N60*100,"NA")</f>
        <v>1.5873015873015959</v>
      </c>
      <c r="R87" s="8">
        <f>IFERROR(('Q5 Actual'!O61-'Q5 Actual'!O60)/'Q5 Actual'!O60*100,"NA")</f>
        <v>0.3412969283276418</v>
      </c>
      <c r="S87" s="8">
        <f>IFERROR(('Q5 Actual'!P61-'Q5 Actual'!P60)/'Q5 Actual'!P60*100,"NA")</f>
        <v>0.70043103448276478</v>
      </c>
      <c r="T87" s="8">
        <f>IFERROR(('Q5 Actual'!Q61-'Q5 Actual'!Q60)/'Q5 Actual'!Q60*100,"NA")</f>
        <v>-0.45095828635851826</v>
      </c>
      <c r="U87" s="8">
        <f>IFERROR(('Q5 Actual'!R61-'Q5 Actual'!R60)/'Q5 Actual'!R60*100,"NA")</f>
        <v>0.59108006448145856</v>
      </c>
      <c r="V87" s="8">
        <f>IFERROR(('Q5 Actual'!S61-'Q5 Actual'!S60)/'Q5 Actual'!S60*100,"NA")</f>
        <v>0.43383947939261547</v>
      </c>
      <c r="W87" s="8">
        <f>IFERROR(('Q5 Actual'!T61-'Q5 Actual'!T60)/'Q5 Actual'!T60*100,"NA")</f>
        <v>0.53792361484669171</v>
      </c>
      <c r="X87" s="8">
        <f>IFERROR(('Q5 Actual'!U61-'Q5 Actual'!U60)/'Q5 Actual'!U60*100,"NA")</f>
        <v>0</v>
      </c>
      <c r="Y87" s="8">
        <f>IFERROR(('Q5 Actual'!V61-'Q5 Actual'!V60)/'Q5 Actual'!V60*100,"NA")</f>
        <v>0.63073394495412516</v>
      </c>
      <c r="Z87" s="8">
        <f>IFERROR(('Q5 Actual'!X61-'Q5 Actual'!X60)/'Q5 Actual'!X60*100,"NA")</f>
        <v>0.60706401766005669</v>
      </c>
      <c r="AA87" s="8">
        <f>IFERROR(('Q5 Actual'!Y61-'Q5 Actual'!Y60)/'Q5 Actual'!Y60*100,"NA")</f>
        <v>0.81395348837209636</v>
      </c>
      <c r="AB87" s="8">
        <f>IFERROR(('Q5 Actual'!AA61-'Q5 Actual'!AA60)/'Q5 Actual'!AA60*100,"NA")</f>
        <v>0.11723329425557859</v>
      </c>
      <c r="AC87" s="8">
        <f>IFERROR(('Q5 Actual'!AB61-'Q5 Actual'!AB60)/'Q5 Actual'!AB60*100,"NA")</f>
        <v>0.2266288951841392</v>
      </c>
      <c r="AD87" s="8">
        <f>IFERROR(('Q5 Actual'!AC61-'Q5 Actual'!AC60)/'Q5 Actual'!AC60*100,"NA")</f>
        <v>0.30785017957926847</v>
      </c>
      <c r="AE87" s="8">
        <f>IFERROR(('Q5 Actual'!AD61-'Q5 Actual'!AD60)/'Q5 Actual'!AD60*100,"NA")</f>
        <v>0.40253018976422578</v>
      </c>
    </row>
    <row r="88" spans="1:31">
      <c r="A88" s="12" t="s">
        <v>30</v>
      </c>
      <c r="B88" s="12">
        <v>2022</v>
      </c>
      <c r="C88" s="12" t="s">
        <v>46</v>
      </c>
      <c r="D88" s="90">
        <f t="shared" si="0"/>
        <v>44896</v>
      </c>
      <c r="E88" s="67">
        <v>-10.59</v>
      </c>
      <c r="F88" s="8">
        <f>IFERROR(('Q5 Actual'!W62-'Q5 Actual'!W61)/'Q5 Actual'!W61*100,"NA")</f>
        <v>0.49477735019241653</v>
      </c>
      <c r="G88" s="8">
        <f>IFERROR(('Q5 Actual'!Z62-'Q5 Actual'!Z61)/'Q5 Actual'!Z61*100,"NA")</f>
        <v>0.17910447761194709</v>
      </c>
      <c r="H88" s="8">
        <f>IFERROR(('Q5 Actual'!E62-'Q5 Actual'!E61)/'Q5 Actual'!E61*100,"NA")</f>
        <v>1.1384062312762167</v>
      </c>
      <c r="I88" s="8">
        <f>IFERROR(('Q5 Actual'!F62-'Q5 Actual'!F61)/'Q5 Actual'!F61*100,"NA")</f>
        <v>-0.14478764478763656</v>
      </c>
      <c r="J88" s="8">
        <f>IFERROR(('Q5 Actual'!G62-'Q5 Actual'!G61)/'Q5 Actual'!G61*100,"NA")</f>
        <v>4.93895671476138</v>
      </c>
      <c r="K88" s="8">
        <f>IFERROR(('Q5 Actual'!H62-'Q5 Actual'!H61)/'Q5 Actual'!H61*100,"NA")</f>
        <v>0.63842135809634026</v>
      </c>
      <c r="L88" s="8">
        <f>IFERROR(('Q5 Actual'!I62-'Q5 Actual'!I61)/'Q5 Actual'!I61*100,"NA")</f>
        <v>-5.1546391752574396E-2</v>
      </c>
      <c r="M88" s="8">
        <f>IFERROR(('Q5 Actual'!J62-'Q5 Actual'!J61)/'Q5 Actual'!J61*100,"NA")</f>
        <v>-1.5084852294154656</v>
      </c>
      <c r="N88" s="8">
        <f>IFERROR(('Q5 Actual'!K62-'Q5 Actual'!K61)/'Q5 Actual'!K61*100,"NA")</f>
        <v>-12.470862470862475</v>
      </c>
      <c r="O88" s="8">
        <f>IFERROR(('Q5 Actual'!L62-'Q5 Actual'!L61)/'Q5 Actual'!L61*100,"NA")</f>
        <v>0.17626321974148729</v>
      </c>
      <c r="P88" s="8">
        <f>IFERROR(('Q5 Actual'!M62-'Q5 Actual'!M61)/'Q5 Actual'!M61*100,"NA")</f>
        <v>-0.24691358024691124</v>
      </c>
      <c r="Q88" s="8">
        <f>IFERROR(('Q5 Actual'!N62-'Q5 Actual'!N61)/'Q5 Actual'!N61*100,"NA")</f>
        <v>1.3183593749999944</v>
      </c>
      <c r="R88" s="8">
        <f>IFERROR(('Q5 Actual'!O62-'Q5 Actual'!O61)/'Q5 Actual'!O61*100,"NA")</f>
        <v>0.22675736961451567</v>
      </c>
      <c r="S88" s="8">
        <f>IFERROR(('Q5 Actual'!P62-'Q5 Actual'!P61)/'Q5 Actual'!P61*100,"NA")</f>
        <v>0.42803638309255371</v>
      </c>
      <c r="T88" s="8">
        <f>IFERROR(('Q5 Actual'!Q62-'Q5 Actual'!Q61)/'Q5 Actual'!Q61*100,"NA")</f>
        <v>-1.2457531143827796</v>
      </c>
      <c r="U88" s="8">
        <f>IFERROR(('Q5 Actual'!R62-'Q5 Actual'!R61)/'Q5 Actual'!R61*100,"NA")</f>
        <v>0.48076923076923384</v>
      </c>
      <c r="V88" s="8">
        <f>IFERROR(('Q5 Actual'!S62-'Q5 Actual'!S61)/'Q5 Actual'!S61*100,"NA")</f>
        <v>0.37796976241901575</v>
      </c>
      <c r="W88" s="8">
        <f>IFERROR(('Q5 Actual'!T62-'Q5 Actual'!T61)/'Q5 Actual'!T61*100,"NA")</f>
        <v>0.48154093097913625</v>
      </c>
      <c r="X88" s="8">
        <f>IFERROR(('Q5 Actual'!U62-'Q5 Actual'!U61)/'Q5 Actual'!U61*100,"NA")</f>
        <v>0</v>
      </c>
      <c r="Y88" s="8">
        <f>IFERROR(('Q5 Actual'!V62-'Q5 Actual'!V61)/'Q5 Actual'!V61*100,"NA")</f>
        <v>0.51282051282051599</v>
      </c>
      <c r="Z88" s="8">
        <f>IFERROR(('Q5 Actual'!X62-'Q5 Actual'!X61)/'Q5 Actual'!X61*100,"NA")</f>
        <v>0.65825562260010351</v>
      </c>
      <c r="AA88" s="8">
        <f>IFERROR(('Q5 Actual'!Y62-'Q5 Actual'!Y61)/'Q5 Actual'!Y61*100,"NA")</f>
        <v>1.3264129181084101</v>
      </c>
      <c r="AB88" s="8">
        <f>IFERROR(('Q5 Actual'!AA62-'Q5 Actual'!AA61)/'Q5 Actual'!AA61*100,"NA")</f>
        <v>0.23419203747071268</v>
      </c>
      <c r="AC88" s="8">
        <f>IFERROR(('Q5 Actual'!AB62-'Q5 Actual'!AB61)/'Q5 Actual'!AB61*100,"NA")</f>
        <v>0.22611644997173863</v>
      </c>
      <c r="AD88" s="8">
        <f>IFERROR(('Q5 Actual'!AC62-'Q5 Actual'!AC61)/'Q5 Actual'!AC61*100,"NA")</f>
        <v>0.20460358056266273</v>
      </c>
      <c r="AE88" s="8">
        <f>IFERROR(('Q5 Actual'!AD62-'Q5 Actual'!AD61)/'Q5 Actual'!AD61*100,"NA")</f>
        <v>0.51546391752577647</v>
      </c>
    </row>
    <row r="89" spans="1:31">
      <c r="A89" s="12" t="s">
        <v>30</v>
      </c>
      <c r="B89" s="12">
        <v>2023</v>
      </c>
      <c r="C89" s="12" t="s">
        <v>31</v>
      </c>
      <c r="D89" s="90">
        <f t="shared" si="0"/>
        <v>44927</v>
      </c>
      <c r="E89" s="67">
        <v>2.12</v>
      </c>
      <c r="F89" s="8">
        <f>IFERROR(('Q5 Actual'!W63-'Q5 Actual'!W62)/'Q5 Actual'!W62*100,"NA")</f>
        <v>0.21881838074397003</v>
      </c>
      <c r="G89" s="8">
        <f>IFERROR(('Q5 Actual'!Z63-'Q5 Actual'!Z62)/'Q5 Actual'!Z62*100,"NA")</f>
        <v>0.23837902264599356</v>
      </c>
      <c r="H89" s="8">
        <f>IFERROR(('Q5 Actual'!E63-'Q5 Actual'!E62)/'Q5 Actual'!E62*100,"NA")</f>
        <v>3.0805687203791399</v>
      </c>
      <c r="I89" s="8">
        <f>IFERROR(('Q5 Actual'!F63-'Q5 Actual'!F62)/'Q5 Actual'!F62*100,"NA")</f>
        <v>0.67665538907685141</v>
      </c>
      <c r="J89" s="8">
        <f>IFERROR(('Q5 Actual'!G63-'Q5 Actual'!G62)/'Q5 Actual'!G62*100,"NA")</f>
        <v>2.009518773135913</v>
      </c>
      <c r="K89" s="8">
        <f>IFERROR(('Q5 Actual'!H63-'Q5 Actual'!H62)/'Q5 Actual'!H62*100,"NA")</f>
        <v>0.5190311418685154</v>
      </c>
      <c r="L89" s="8">
        <f>IFERROR(('Q5 Actual'!I63-'Q5 Actual'!I62)/'Q5 Actual'!I62*100,"NA")</f>
        <v>-0.6704486848891239</v>
      </c>
      <c r="M89" s="8">
        <f>IFERROR(('Q5 Actual'!J63-'Q5 Actual'!J62)/'Q5 Actual'!J62*100,"NA")</f>
        <v>-0.25526483726865173</v>
      </c>
      <c r="N89" s="8">
        <f>IFERROR(('Q5 Actual'!K63-'Q5 Actual'!K62)/'Q5 Actual'!K62*100,"NA")</f>
        <v>-4.8601864181091772</v>
      </c>
      <c r="O89" s="8">
        <f>IFERROR(('Q5 Actual'!L63-'Q5 Actual'!L62)/'Q5 Actual'!L62*100,"NA")</f>
        <v>0.1173020527859171</v>
      </c>
      <c r="P89" s="8">
        <f>IFERROR(('Q5 Actual'!M63-'Q5 Actual'!M62)/'Q5 Actual'!M62*100,"NA")</f>
        <v>-0.74257425742574723</v>
      </c>
      <c r="Q89" s="8">
        <f>IFERROR(('Q5 Actual'!N63-'Q5 Actual'!N62)/'Q5 Actual'!N62*100,"NA")</f>
        <v>1.4457831325301205</v>
      </c>
      <c r="R89" s="8">
        <f>IFERROR(('Q5 Actual'!O63-'Q5 Actual'!O62)/'Q5 Actual'!O62*100,"NA")</f>
        <v>5.6561085972847466E-2</v>
      </c>
      <c r="S89" s="8">
        <f>IFERROR(('Q5 Actual'!P63-'Q5 Actual'!P62)/'Q5 Actual'!P62*100,"NA")</f>
        <v>0.42621204049014988</v>
      </c>
      <c r="T89" s="8">
        <f>IFERROR(('Q5 Actual'!Q63-'Q5 Actual'!Q62)/'Q5 Actual'!Q62*100,"NA")</f>
        <v>0.34403669724770314</v>
      </c>
      <c r="U89" s="8">
        <f>IFERROR(('Q5 Actual'!R63-'Q5 Actual'!R62)/'Q5 Actual'!R62*100,"NA")</f>
        <v>0.4784688995215341</v>
      </c>
      <c r="V89" s="8">
        <f>IFERROR(('Q5 Actual'!S63-'Q5 Actual'!S62)/'Q5 Actual'!S62*100,"NA")</f>
        <v>0.21516944593867976</v>
      </c>
      <c r="W89" s="8">
        <f>IFERROR(('Q5 Actual'!T63-'Q5 Actual'!T62)/'Q5 Actual'!T62*100,"NA")</f>
        <v>0.42598509052182265</v>
      </c>
      <c r="X89" s="8">
        <f>IFERROR(('Q5 Actual'!U63-'Q5 Actual'!U62)/'Q5 Actual'!U62*100,"NA")</f>
        <v>0</v>
      </c>
      <c r="Y89" s="8">
        <f>IFERROR(('Q5 Actual'!V63-'Q5 Actual'!V62)/'Q5 Actual'!V62*100,"NA")</f>
        <v>0.45351473922901525</v>
      </c>
      <c r="Z89" s="8">
        <f>IFERROR(('Q5 Actual'!X63-'Q5 Actual'!X62)/'Q5 Actual'!X62*100,"NA")</f>
        <v>0.65395095367846789</v>
      </c>
      <c r="AA89" s="8">
        <f>IFERROR(('Q5 Actual'!Y63-'Q5 Actual'!Y62)/'Q5 Actual'!Y62*100,"NA")</f>
        <v>1.5367103016505506</v>
      </c>
      <c r="AB89" s="8">
        <f>IFERROR(('Q5 Actual'!AA63-'Q5 Actual'!AA62)/'Q5 Actual'!AA62*100,"NA")</f>
        <v>0.35046728971963947</v>
      </c>
      <c r="AC89" s="8">
        <f>IFERROR(('Q5 Actual'!AB63-'Q5 Actual'!AB62)/'Q5 Actual'!AB62*100,"NA")</f>
        <v>0.28200789622109418</v>
      </c>
      <c r="AD89" s="8">
        <f>IFERROR(('Q5 Actual'!AC63-'Q5 Actual'!AC62)/'Q5 Actual'!AC62*100,"NA")</f>
        <v>0.51046452271567122</v>
      </c>
      <c r="AE89" s="8">
        <f>IFERROR(('Q5 Actual'!AD63-'Q5 Actual'!AD62)/'Q5 Actual'!AD62*100,"NA")</f>
        <v>0.56980056980056981</v>
      </c>
    </row>
    <row r="90" spans="1:31">
      <c r="A90" s="12" t="s">
        <v>30</v>
      </c>
      <c r="B90" s="12">
        <v>2023</v>
      </c>
      <c r="C90" s="12" t="s">
        <v>35</v>
      </c>
      <c r="D90" s="90">
        <f t="shared" si="0"/>
        <v>44958</v>
      </c>
      <c r="E90" s="67">
        <v>0.41000000000000003</v>
      </c>
      <c r="F90" s="8">
        <f>IFERROR(('Q5 Actual'!W64-'Q5 Actual'!W63)/'Q5 Actual'!W63*100,"NA")</f>
        <v>-0.8733624454148442</v>
      </c>
      <c r="G90" s="8">
        <f>IFERROR(('Q5 Actual'!Z64-'Q5 Actual'!Z63)/'Q5 Actual'!Z63*100,"NA")</f>
        <v>0.47562425683710552</v>
      </c>
      <c r="H90" s="8">
        <f>IFERROR(('Q5 Actual'!E64-'Q5 Actual'!E63)/'Q5 Actual'!E63*100,"NA")</f>
        <v>0.11494252873562566</v>
      </c>
      <c r="I90" s="8">
        <f>IFERROR(('Q5 Actual'!F64-'Q5 Actual'!F63)/'Q5 Actual'!F63*100,"NA")</f>
        <v>-1.4882381180989066</v>
      </c>
      <c r="J90" s="8">
        <f>IFERROR(('Q5 Actual'!G64-'Q5 Actual'!G63)/'Q5 Actual'!G63*100,"NA")</f>
        <v>-9.8496630378434418</v>
      </c>
      <c r="K90" s="8">
        <f>IFERROR(('Q5 Actual'!H64-'Q5 Actual'!H63)/'Q5 Actual'!H63*100,"NA")</f>
        <v>1.5490533562822655</v>
      </c>
      <c r="L90" s="8">
        <f>IFERROR(('Q5 Actual'!I64-'Q5 Actual'!I63)/'Q5 Actual'!I63*100,"NA")</f>
        <v>-4.7767393561786022</v>
      </c>
      <c r="M90" s="8">
        <f>IFERROR(('Q5 Actual'!J64-'Q5 Actual'!J63)/'Q5 Actual'!J63*100,"NA")</f>
        <v>6.9737683941138693</v>
      </c>
      <c r="N90" s="8">
        <f>IFERROR(('Q5 Actual'!K64-'Q5 Actual'!K63)/'Q5 Actual'!K63*100,"NA")</f>
        <v>-1.3995801259622112</v>
      </c>
      <c r="O90" s="8">
        <f>IFERROR(('Q5 Actual'!L64-'Q5 Actual'!L63)/'Q5 Actual'!L63*100,"NA")</f>
        <v>-0.17574692442881251</v>
      </c>
      <c r="P90" s="8">
        <f>IFERROR(('Q5 Actual'!M64-'Q5 Actual'!M63)/'Q5 Actual'!M63*100,"NA")</f>
        <v>-0.99750623441396746</v>
      </c>
      <c r="Q90" s="8">
        <f>IFERROR(('Q5 Actual'!N64-'Q5 Actual'!N63)/'Q5 Actual'!N63*100,"NA")</f>
        <v>0.76009501187648187</v>
      </c>
      <c r="R90" s="8">
        <f>IFERROR(('Q5 Actual'!O64-'Q5 Actual'!O63)/'Q5 Actual'!O63*100,"NA")</f>
        <v>0.39570378745053059</v>
      </c>
      <c r="S90" s="8">
        <f>IFERROR(('Q5 Actual'!P64-'Q5 Actual'!P63)/'Q5 Actual'!P63*100,"NA")</f>
        <v>0.74270557029178019</v>
      </c>
      <c r="T90" s="8">
        <f>IFERROR(('Q5 Actual'!Q64-'Q5 Actual'!Q63)/'Q5 Actual'!Q63*100,"NA")</f>
        <v>-0.11428571428570779</v>
      </c>
      <c r="U90" s="8">
        <f>IFERROR(('Q5 Actual'!R64-'Q5 Actual'!R63)/'Q5 Actual'!R63*100,"NA")</f>
        <v>0.52910052910052907</v>
      </c>
      <c r="V90" s="8">
        <f>IFERROR(('Q5 Actual'!S64-'Q5 Actual'!S63)/'Q5 Actual'!S63*100,"NA")</f>
        <v>0.37573805689747103</v>
      </c>
      <c r="W90" s="8">
        <f>IFERROR(('Q5 Actual'!T64-'Q5 Actual'!T63)/'Q5 Actual'!T63*100,"NA")</f>
        <v>0.53022269353128315</v>
      </c>
      <c r="X90" s="8">
        <f>IFERROR(('Q5 Actual'!U64-'Q5 Actual'!U63)/'Q5 Actual'!U63*100,"NA")</f>
        <v>0</v>
      </c>
      <c r="Y90" s="8">
        <f>IFERROR(('Q5 Actual'!V64-'Q5 Actual'!V63)/'Q5 Actual'!V63*100,"NA")</f>
        <v>0.7900677200902968</v>
      </c>
      <c r="Z90" s="8">
        <f>IFERROR(('Q5 Actual'!X64-'Q5 Actual'!X63)/'Q5 Actual'!X63*100,"NA")</f>
        <v>1.0286951813752061</v>
      </c>
      <c r="AA90" s="8">
        <f>IFERROR(('Q5 Actual'!Y64-'Q5 Actual'!Y63)/'Q5 Actual'!Y63*100,"NA")</f>
        <v>1.2892376681614253</v>
      </c>
      <c r="AB90" s="8">
        <f>IFERROR(('Q5 Actual'!AA64-'Q5 Actual'!AA63)/'Q5 Actual'!AA63*100,"NA")</f>
        <v>0.58207217694994173</v>
      </c>
      <c r="AC90" s="8">
        <f>IFERROR(('Q5 Actual'!AB64-'Q5 Actual'!AB63)/'Q5 Actual'!AB63*100,"NA")</f>
        <v>0.39370078740156839</v>
      </c>
      <c r="AD90" s="8">
        <f>IFERROR(('Q5 Actual'!AC64-'Q5 Actual'!AC63)/'Q5 Actual'!AC63*100,"NA")</f>
        <v>0.7110208227526692</v>
      </c>
      <c r="AE90" s="8">
        <f>IFERROR(('Q5 Actual'!AD64-'Q5 Actual'!AD63)/'Q5 Actual'!AD63*100,"NA")</f>
        <v>0.79320113314447904</v>
      </c>
    </row>
    <row r="91" spans="1:31">
      <c r="A91" s="12" t="s">
        <v>30</v>
      </c>
      <c r="B91" s="12">
        <v>2023</v>
      </c>
      <c r="C91" s="12" t="s">
        <v>36</v>
      </c>
      <c r="D91" s="90">
        <f t="shared" si="0"/>
        <v>44986</v>
      </c>
      <c r="E91" s="67">
        <v>-5.41</v>
      </c>
      <c r="F91" s="8">
        <f>IFERROR(('Q5 Actual'!W65-'Q5 Actual'!W64)/'Q5 Actual'!W64*100,"NA")</f>
        <v>-0.11013215859030212</v>
      </c>
      <c r="G91" s="8">
        <f>IFERROR(('Q5 Actual'!Z65-'Q5 Actual'!Z64)/'Q5 Actual'!Z64*100,"NA")</f>
        <v>0</v>
      </c>
      <c r="H91" s="8">
        <f>IFERROR(('Q5 Actual'!E65-'Q5 Actual'!E64)/'Q5 Actual'!E64*100,"NA")</f>
        <v>5.7405281285891355E-2</v>
      </c>
      <c r="I91" s="8">
        <f>IFERROR(('Q5 Actual'!F65-'Q5 Actual'!F64)/'Q5 Actual'!F64*100,"NA")</f>
        <v>0</v>
      </c>
      <c r="J91" s="8">
        <f>IFERROR(('Q5 Actual'!G65-'Q5 Actual'!G64)/'Q5 Actual'!G64*100,"NA")</f>
        <v>0</v>
      </c>
      <c r="K91" s="8">
        <f>IFERROR(('Q5 Actual'!H65-'Q5 Actual'!H64)/'Q5 Actual'!H64*100,"NA")</f>
        <v>0</v>
      </c>
      <c r="L91" s="8">
        <f>IFERROR(('Q5 Actual'!I65-'Q5 Actual'!I64)/'Q5 Actual'!I64*100,"NA")</f>
        <v>-5.4525627044707918E-2</v>
      </c>
      <c r="M91" s="8">
        <f>IFERROR(('Q5 Actual'!J65-'Q5 Actual'!J64)/'Q5 Actual'!J64*100,"NA")</f>
        <v>0</v>
      </c>
      <c r="N91" s="8">
        <f>IFERROR(('Q5 Actual'!K65-'Q5 Actual'!K64)/'Q5 Actual'!K64*100,"NA")</f>
        <v>0</v>
      </c>
      <c r="O91" s="8">
        <f>IFERROR(('Q5 Actual'!L65-'Q5 Actual'!L64)/'Q5 Actual'!L64*100,"NA")</f>
        <v>5.8685446009386334E-2</v>
      </c>
      <c r="P91" s="8">
        <f>IFERROR(('Q5 Actual'!M65-'Q5 Actual'!M64)/'Q5 Actual'!M64*100,"NA")</f>
        <v>0</v>
      </c>
      <c r="Q91" s="8">
        <f>IFERROR(('Q5 Actual'!N65-'Q5 Actual'!N64)/'Q5 Actual'!N64*100,"NA")</f>
        <v>0</v>
      </c>
      <c r="R91" s="8">
        <f>IFERROR(('Q5 Actual'!O65-'Q5 Actual'!O64)/'Q5 Actual'!O64*100,"NA")</f>
        <v>0</v>
      </c>
      <c r="S91" s="8">
        <f>IFERROR(('Q5 Actual'!P65-'Q5 Actual'!P64)/'Q5 Actual'!P64*100,"NA")</f>
        <v>0</v>
      </c>
      <c r="T91" s="8">
        <f>IFERROR(('Q5 Actual'!Q65-'Q5 Actual'!Q64)/'Q5 Actual'!Q64*100,"NA")</f>
        <v>0</v>
      </c>
      <c r="U91" s="8">
        <f>IFERROR(('Q5 Actual'!R65-'Q5 Actual'!R64)/'Q5 Actual'!R64*100,"NA")</f>
        <v>0</v>
      </c>
      <c r="V91" s="8">
        <f>IFERROR(('Q5 Actual'!S65-'Q5 Actual'!S64)/'Q5 Actual'!S64*100,"NA")</f>
        <v>0</v>
      </c>
      <c r="W91" s="8">
        <f>IFERROR(('Q5 Actual'!T65-'Q5 Actual'!T64)/'Q5 Actual'!T64*100,"NA")</f>
        <v>0</v>
      </c>
      <c r="X91" s="8">
        <f>IFERROR(('Q5 Actual'!U65-'Q5 Actual'!U64)/'Q5 Actual'!U64*100,"NA")</f>
        <v>0</v>
      </c>
      <c r="Y91" s="8">
        <f>IFERROR(('Q5 Actual'!V65-'Q5 Actual'!V64)/'Q5 Actual'!V64*100,"NA")</f>
        <v>0</v>
      </c>
      <c r="Z91" s="8">
        <f>IFERROR(('Q5 Actual'!X65-'Q5 Actual'!X64)/'Q5 Actual'!X64*100,"NA")</f>
        <v>0</v>
      </c>
      <c r="AA91" s="8">
        <f>IFERROR(('Q5 Actual'!Y65-'Q5 Actual'!Y64)/'Q5 Actual'!Y64*100,"NA")</f>
        <v>0</v>
      </c>
      <c r="AB91" s="8">
        <f>IFERROR(('Q5 Actual'!AA65-'Q5 Actual'!AA64)/'Q5 Actual'!AA64*100,"NA")</f>
        <v>0</v>
      </c>
      <c r="AC91" s="8">
        <f>IFERROR(('Q5 Actual'!AB65-'Q5 Actual'!AB64)/'Q5 Actual'!AB64*100,"NA")</f>
        <v>0</v>
      </c>
      <c r="AD91" s="8">
        <f>IFERROR(('Q5 Actual'!AC65-'Q5 Actual'!AC64)/'Q5 Actual'!AC64*100,"NA")</f>
        <v>5.0428643469487805E-2</v>
      </c>
      <c r="AE91" s="8">
        <f>IFERROR(('Q5 Actual'!AD65-'Q5 Actual'!AD64)/'Q5 Actual'!AD64*100,"NA")</f>
        <v>0</v>
      </c>
    </row>
    <row r="92" spans="1:31">
      <c r="A92" s="12" t="s">
        <v>30</v>
      </c>
      <c r="B92" s="12">
        <v>2023</v>
      </c>
      <c r="C92" s="12" t="s">
        <v>37</v>
      </c>
      <c r="D92" s="90">
        <f t="shared" si="0"/>
        <v>45017</v>
      </c>
      <c r="E92" s="67">
        <v>6.75</v>
      </c>
      <c r="F92" s="8">
        <f>IFERROR(('Q5 Actual'!W66-'Q5 Actual'!W65)/'Q5 Actual'!W65*100,"NA")</f>
        <v>5.5126791620724543E-2</v>
      </c>
      <c r="G92" s="8">
        <f>IFERROR(('Q5 Actual'!Z66-'Q5 Actual'!Z65)/'Q5 Actual'!Z65*100,"NA")</f>
        <v>0.23668639053254772</v>
      </c>
      <c r="H92" s="8">
        <f>IFERROR(('Q5 Actual'!E66-'Q5 Actual'!E65)/'Q5 Actual'!E65*100,"NA")</f>
        <v>-0.57372346528973028</v>
      </c>
      <c r="I92" s="8">
        <f>IFERROR(('Q5 Actual'!F66-'Q5 Actual'!F65)/'Q5 Actual'!F65*100,"NA")</f>
        <v>0.828460038986363</v>
      </c>
      <c r="J92" s="8">
        <f>IFERROR(('Q5 Actual'!G66-'Q5 Actual'!G65)/'Q5 Actual'!G65*100,"NA")</f>
        <v>-3.4502587694077054</v>
      </c>
      <c r="K92" s="8">
        <f>IFERROR(('Q5 Actual'!H66-'Q5 Actual'!H65)/'Q5 Actual'!H65*100,"NA")</f>
        <v>0.67796610169490878</v>
      </c>
      <c r="L92" s="8">
        <f>IFERROR(('Q5 Actual'!I66-'Q5 Actual'!I65)/'Q5 Actual'!I65*100,"NA")</f>
        <v>-2.6186579378068799</v>
      </c>
      <c r="M92" s="8">
        <f>IFERROR(('Q5 Actual'!J66-'Q5 Actual'!J65)/'Q5 Actual'!J65*100,"NA")</f>
        <v>3.8875598086124405</v>
      </c>
      <c r="N92" s="8">
        <f>IFERROR(('Q5 Actual'!K66-'Q5 Actual'!K65)/'Q5 Actual'!K65*100,"NA")</f>
        <v>1.3484740951029137</v>
      </c>
      <c r="O92" s="8">
        <f>IFERROR(('Q5 Actual'!L66-'Q5 Actual'!L65)/'Q5 Actual'!L65*100,"NA")</f>
        <v>1.3489736070381297</v>
      </c>
      <c r="P92" s="8">
        <f>IFERROR(('Q5 Actual'!M66-'Q5 Actual'!M65)/'Q5 Actual'!M65*100,"NA")</f>
        <v>1.0915197313182297</v>
      </c>
      <c r="Q92" s="8">
        <f>IFERROR(('Q5 Actual'!N66-'Q5 Actual'!N65)/'Q5 Actual'!N65*100,"NA")</f>
        <v>1.6030174446016059</v>
      </c>
      <c r="R92" s="8">
        <f>IFERROR(('Q5 Actual'!O66-'Q5 Actual'!O65)/'Q5 Actual'!O65*100,"NA")</f>
        <v>0.33783783783783466</v>
      </c>
      <c r="S92" s="8">
        <f>IFERROR(('Q5 Actual'!P66-'Q5 Actual'!P65)/'Q5 Actual'!P65*100,"NA")</f>
        <v>0.31595576619273003</v>
      </c>
      <c r="T92" s="8">
        <f>IFERROR(('Q5 Actual'!Q66-'Q5 Actual'!Q65)/'Q5 Actual'!Q65*100,"NA")</f>
        <v>0.40045766590388365</v>
      </c>
      <c r="U92" s="8">
        <f>IFERROR(('Q5 Actual'!R66-'Q5 Actual'!R65)/'Q5 Actual'!R65*100,"NA")</f>
        <v>0.36842105263157293</v>
      </c>
      <c r="V92" s="8">
        <f>IFERROR(('Q5 Actual'!S66-'Q5 Actual'!S65)/'Q5 Actual'!S65*100,"NA")</f>
        <v>0.1604278074866371</v>
      </c>
      <c r="W92" s="8">
        <f>IFERROR(('Q5 Actual'!T66-'Q5 Actual'!T65)/'Q5 Actual'!T65*100,"NA")</f>
        <v>0.31645569620252867</v>
      </c>
      <c r="X92" s="8">
        <f>IFERROR(('Q5 Actual'!U66-'Q5 Actual'!U65)/'Q5 Actual'!U65*100,"NA")</f>
        <v>0</v>
      </c>
      <c r="Y92" s="8">
        <f>IFERROR(('Q5 Actual'!V66-'Q5 Actual'!V65)/'Q5 Actual'!V65*100,"NA")</f>
        <v>0.27995520716685329</v>
      </c>
      <c r="Z92" s="8">
        <f>IFERROR(('Q5 Actual'!X66-'Q5 Actual'!X65)/'Q5 Actual'!X65*100,"NA")</f>
        <v>0.32154340836012557</v>
      </c>
      <c r="AA92" s="8">
        <f>IFERROR(('Q5 Actual'!Y66-'Q5 Actual'!Y65)/'Q5 Actual'!Y65*100,"NA")</f>
        <v>1.7155506364139583</v>
      </c>
      <c r="AB92" s="8">
        <f>IFERROR(('Q5 Actual'!AA66-'Q5 Actual'!AA65)/'Q5 Actual'!AA65*100,"NA")</f>
        <v>0.23148148148146833</v>
      </c>
      <c r="AC92" s="8">
        <f>IFERROR(('Q5 Actual'!AB66-'Q5 Actual'!AB65)/'Q5 Actual'!AB65*100,"NA")</f>
        <v>0.50420168067227211</v>
      </c>
      <c r="AD92" s="8">
        <f>IFERROR(('Q5 Actual'!AC66-'Q5 Actual'!AC65)/'Q5 Actual'!AC65*100,"NA")</f>
        <v>0.55443548387096486</v>
      </c>
      <c r="AE92" s="8">
        <f>IFERROR(('Q5 Actual'!AD66-'Q5 Actual'!AD65)/'Q5 Actual'!AD65*100,"NA")</f>
        <v>0.56211354693648108</v>
      </c>
    </row>
    <row r="93" spans="1:31">
      <c r="A93" s="12" t="s">
        <v>30</v>
      </c>
      <c r="B93" s="12">
        <v>2023</v>
      </c>
      <c r="C93" s="12" t="s">
        <v>38</v>
      </c>
      <c r="D93" s="90">
        <f t="shared" si="0"/>
        <v>45047</v>
      </c>
      <c r="E93" s="67">
        <v>-9.66</v>
      </c>
      <c r="F93" s="8">
        <f>IFERROR(('Q5 Actual'!W67-'Q5 Actual'!W66)/'Q5 Actual'!W66*100,"NA")</f>
        <v>0.55096418732782371</v>
      </c>
      <c r="G93" s="8">
        <f>IFERROR(('Q5 Actual'!Z67-'Q5 Actual'!Z66)/'Q5 Actual'!Z66*100,"NA")</f>
        <v>0.17709563164107611</v>
      </c>
      <c r="H93" s="8">
        <f>IFERROR(('Q5 Actual'!E67-'Q5 Actual'!E66)/'Q5 Actual'!E66*100,"NA")</f>
        <v>-5.7703404500878665E-2</v>
      </c>
      <c r="I93" s="8">
        <f>IFERROR(('Q5 Actual'!F67-'Q5 Actual'!F66)/'Q5 Actual'!F66*100,"NA")</f>
        <v>2.2232962783953574</v>
      </c>
      <c r="J93" s="8">
        <f>IFERROR(('Q5 Actual'!G67-'Q5 Actual'!G66)/'Q5 Actual'!G66*100,"NA")</f>
        <v>1.8463371054198894</v>
      </c>
      <c r="K93" s="8">
        <f>IFERROR(('Q5 Actual'!H67-'Q5 Actual'!H66)/'Q5 Actual'!H66*100,"NA")</f>
        <v>0.7856341189674555</v>
      </c>
      <c r="L93" s="8">
        <f>IFERROR(('Q5 Actual'!I67-'Q5 Actual'!I66)/'Q5 Actual'!I66*100,"NA")</f>
        <v>-2.9131652661064362</v>
      </c>
      <c r="M93" s="8">
        <f>IFERROR(('Q5 Actual'!J67-'Q5 Actual'!J66)/'Q5 Actual'!J66*100,"NA")</f>
        <v>-2.7058146229130622</v>
      </c>
      <c r="N93" s="8">
        <f>IFERROR(('Q5 Actual'!K67-'Q5 Actual'!K66)/'Q5 Actual'!K66*100,"NA")</f>
        <v>4.1316526610644093</v>
      </c>
      <c r="O93" s="8">
        <f>IFERROR(('Q5 Actual'!L67-'Q5 Actual'!L66)/'Q5 Actual'!L66*100,"NA")</f>
        <v>1.2152777777777743</v>
      </c>
      <c r="P93" s="8">
        <f>IFERROR(('Q5 Actual'!M67-'Q5 Actual'!M66)/'Q5 Actual'!M66*100,"NA")</f>
        <v>1.2458471760797343</v>
      </c>
      <c r="Q93" s="8">
        <f>IFERROR(('Q5 Actual'!N67-'Q5 Actual'!N66)/'Q5 Actual'!N66*100,"NA")</f>
        <v>2.5522041763341066</v>
      </c>
      <c r="R93" s="8">
        <f>IFERROR(('Q5 Actual'!O67-'Q5 Actual'!O66)/'Q5 Actual'!O66*100,"NA")</f>
        <v>0.28058361391694725</v>
      </c>
      <c r="S93" s="8">
        <f>IFERROR(('Q5 Actual'!P67-'Q5 Actual'!P66)/'Q5 Actual'!P66*100,"NA")</f>
        <v>0.31496062992125684</v>
      </c>
      <c r="T93" s="8">
        <f>IFERROR(('Q5 Actual'!Q67-'Q5 Actual'!Q66)/'Q5 Actual'!Q66*100,"NA")</f>
        <v>0.74074074074074714</v>
      </c>
      <c r="U93" s="8">
        <f>IFERROR(('Q5 Actual'!R67-'Q5 Actual'!R66)/'Q5 Actual'!R66*100,"NA")</f>
        <v>0.26219192448872575</v>
      </c>
      <c r="V93" s="8">
        <f>IFERROR(('Q5 Actual'!S67-'Q5 Actual'!S66)/'Q5 Actual'!S66*100,"NA")</f>
        <v>0.32034169781099536</v>
      </c>
      <c r="W93" s="8">
        <f>IFERROR(('Q5 Actual'!T67-'Q5 Actual'!T66)/'Q5 Actual'!T66*100,"NA")</f>
        <v>0.31545741324922333</v>
      </c>
      <c r="X93" s="8">
        <f>IFERROR(('Q5 Actual'!U67-'Q5 Actual'!U66)/'Q5 Actual'!U66*100,"NA")</f>
        <v>0</v>
      </c>
      <c r="Y93" s="8">
        <f>IFERROR(('Q5 Actual'!V67-'Q5 Actual'!V66)/'Q5 Actual'!V66*100,"NA")</f>
        <v>0.39084310441095316</v>
      </c>
      <c r="Z93" s="8">
        <f>IFERROR(('Q5 Actual'!X67-'Q5 Actual'!X66)/'Q5 Actual'!X66*100,"NA")</f>
        <v>0.3205128205128327</v>
      </c>
      <c r="AA93" s="8">
        <f>IFERROR(('Q5 Actual'!Y67-'Q5 Actual'!Y66)/'Q5 Actual'!Y66*100,"NA")</f>
        <v>0.59847660500543753</v>
      </c>
      <c r="AB93" s="8">
        <f>IFERROR(('Q5 Actual'!AA67-'Q5 Actual'!AA66)/'Q5 Actual'!AA66*100,"NA")</f>
        <v>0.34642032332564826</v>
      </c>
      <c r="AC93" s="8">
        <f>IFERROR(('Q5 Actual'!AB67-'Q5 Actual'!AB66)/'Q5 Actual'!AB66*100,"NA")</f>
        <v>0.50167224080267869</v>
      </c>
      <c r="AD93" s="8">
        <f>IFERROR(('Q5 Actual'!AC67-'Q5 Actual'!AC66)/'Q5 Actual'!AC66*100,"NA")</f>
        <v>0.20050125313283493</v>
      </c>
      <c r="AE93" s="8">
        <f>IFERROR(('Q5 Actual'!AD67-'Q5 Actual'!AD66)/'Q5 Actual'!AD66*100,"NA")</f>
        <v>0.33538289547232769</v>
      </c>
    </row>
    <row r="95" spans="1:31">
      <c r="A95" s="34" t="s">
        <v>127</v>
      </c>
      <c r="B95" s="78" t="s">
        <v>129</v>
      </c>
      <c r="C95" s="78" t="s">
        <v>130</v>
      </c>
      <c r="D95" s="78" t="s">
        <v>131</v>
      </c>
      <c r="E95" s="78" t="s">
        <v>4</v>
      </c>
      <c r="F95" s="78" t="s">
        <v>5</v>
      </c>
      <c r="G95" s="78" t="s">
        <v>6</v>
      </c>
      <c r="H95" s="78" t="s">
        <v>7</v>
      </c>
      <c r="I95" s="78" t="s">
        <v>8</v>
      </c>
      <c r="J95" s="78" t="s">
        <v>9</v>
      </c>
      <c r="K95" s="78" t="s">
        <v>10</v>
      </c>
      <c r="L95" s="78" t="s">
        <v>11</v>
      </c>
      <c r="M95" s="78" t="s">
        <v>12</v>
      </c>
      <c r="N95" s="78" t="s">
        <v>13</v>
      </c>
      <c r="O95" s="78" t="s">
        <v>14</v>
      </c>
      <c r="P95" s="78" t="s">
        <v>15</v>
      </c>
      <c r="Q95" s="78" t="s">
        <v>17</v>
      </c>
      <c r="R95" s="78" t="s">
        <v>18</v>
      </c>
      <c r="S95" s="78" t="s">
        <v>19</v>
      </c>
      <c r="T95" s="78" t="s">
        <v>20</v>
      </c>
      <c r="U95" s="78" t="s">
        <v>22</v>
      </c>
      <c r="V95" s="78" t="s">
        <v>23</v>
      </c>
      <c r="W95" s="78" t="s">
        <v>27</v>
      </c>
      <c r="X95" s="78" t="s">
        <v>25</v>
      </c>
      <c r="Y95" s="78" t="s">
        <v>26</v>
      </c>
      <c r="Z95" s="78" t="s">
        <v>16</v>
      </c>
      <c r="AA95" s="78" t="s">
        <v>28</v>
      </c>
    </row>
    <row r="96" spans="1:31">
      <c r="A96" s="38" t="s">
        <v>132</v>
      </c>
      <c r="B96" s="71">
        <f>CORREL(F65:F93,$E$65:$E$93)</f>
        <v>0.19014686407810327</v>
      </c>
      <c r="C96" s="71">
        <f t="shared" ref="C96:AA96" si="1">CORREL(G65:G93,$E$65:$E$93)</f>
        <v>8.5155270007153575E-2</v>
      </c>
      <c r="D96" s="71">
        <f t="shared" si="1"/>
        <v>-0.27341287383012364</v>
      </c>
      <c r="E96" s="71">
        <f t="shared" si="1"/>
        <v>0.41461066206367064</v>
      </c>
      <c r="F96" s="71">
        <f t="shared" si="1"/>
        <v>-0.22442530671210661</v>
      </c>
      <c r="G96" s="71">
        <f t="shared" si="1"/>
        <v>-0.31650842989951938</v>
      </c>
      <c r="H96" s="71">
        <f t="shared" si="1"/>
        <v>0.46090324030029434</v>
      </c>
      <c r="I96" s="71">
        <f t="shared" si="1"/>
        <v>4.0141211863469792E-2</v>
      </c>
      <c r="J96" s="71">
        <f t="shared" si="1"/>
        <v>-5.2601789798461682E-2</v>
      </c>
      <c r="K96" s="71">
        <f t="shared" si="1"/>
        <v>-0.16680236791730554</v>
      </c>
      <c r="L96" s="71">
        <f t="shared" si="1"/>
        <v>-9.7265735803420655E-2</v>
      </c>
      <c r="M96" s="71">
        <f t="shared" si="1"/>
        <v>-0.16319768673598739</v>
      </c>
      <c r="N96" s="71">
        <f t="shared" si="1"/>
        <v>0.27140508631314814</v>
      </c>
      <c r="O96" s="71">
        <f t="shared" si="1"/>
        <v>0.12132319124220078</v>
      </c>
      <c r="P96" s="71">
        <f t="shared" si="1"/>
        <v>-1.6504230424760235E-5</v>
      </c>
      <c r="Q96" s="71">
        <f t="shared" si="1"/>
        <v>4.5637686636536015E-2</v>
      </c>
      <c r="R96" s="71">
        <f t="shared" si="1"/>
        <v>0.15082602596149561</v>
      </c>
      <c r="S96" s="71">
        <f t="shared" si="1"/>
        <v>6.8481522867632719E-2</v>
      </c>
      <c r="T96" s="71" t="e">
        <f t="shared" si="1"/>
        <v>#DIV/0!</v>
      </c>
      <c r="U96" s="71">
        <f t="shared" si="1"/>
        <v>-3.27852043298658E-2</v>
      </c>
      <c r="V96" s="71">
        <f t="shared" si="1"/>
        <v>6.185069180159955E-2</v>
      </c>
      <c r="W96" s="71">
        <f t="shared" si="1"/>
        <v>5.4007449439882173E-3</v>
      </c>
      <c r="X96" s="71">
        <f t="shared" si="1"/>
        <v>0.32675720443946193</v>
      </c>
      <c r="Y96" s="71">
        <f t="shared" si="1"/>
        <v>-0.12377461095491414</v>
      </c>
      <c r="Z96" s="71">
        <f t="shared" si="1"/>
        <v>0.17577405341385946</v>
      </c>
      <c r="AA96" s="71">
        <f t="shared" si="1"/>
        <v>4.5178837391909539E-2</v>
      </c>
    </row>
    <row r="98" spans="1:2" ht="28.8">
      <c r="A98" s="38" t="s">
        <v>127</v>
      </c>
      <c r="B98" s="38" t="s">
        <v>132</v>
      </c>
    </row>
    <row r="99" spans="1:2">
      <c r="A99" s="78" t="s">
        <v>7</v>
      </c>
      <c r="B99" s="33">
        <v>0.46090324030029434</v>
      </c>
    </row>
    <row r="100" spans="1:2">
      <c r="A100" s="78" t="s">
        <v>4</v>
      </c>
      <c r="B100" s="33">
        <v>0.41461066206367064</v>
      </c>
    </row>
    <row r="101" spans="1:2">
      <c r="A101" s="78" t="s">
        <v>25</v>
      </c>
      <c r="B101" s="33">
        <v>0.32675720443946193</v>
      </c>
    </row>
    <row r="102" spans="1:2">
      <c r="A102" s="78" t="s">
        <v>13</v>
      </c>
      <c r="B102" s="33">
        <v>0.27140508631314814</v>
      </c>
    </row>
    <row r="103" spans="1:2">
      <c r="A103" s="78" t="s">
        <v>129</v>
      </c>
      <c r="B103" s="33">
        <v>0.19014686407810327</v>
      </c>
    </row>
    <row r="104" spans="1:2">
      <c r="A104" s="78" t="s">
        <v>16</v>
      </c>
      <c r="B104" s="33">
        <v>0.17577405341385946</v>
      </c>
    </row>
    <row r="105" spans="1:2">
      <c r="A105" s="78" t="s">
        <v>18</v>
      </c>
      <c r="B105" s="33">
        <v>0.15082602596149561</v>
      </c>
    </row>
    <row r="106" spans="1:2">
      <c r="A106" s="78" t="s">
        <v>14</v>
      </c>
      <c r="B106" s="33">
        <v>0.12132319124220078</v>
      </c>
    </row>
    <row r="107" spans="1:2">
      <c r="A107" s="78" t="s">
        <v>130</v>
      </c>
      <c r="B107" s="33">
        <v>8.5155270007153575E-2</v>
      </c>
    </row>
    <row r="108" spans="1:2">
      <c r="A108" s="78" t="s">
        <v>19</v>
      </c>
      <c r="B108" s="33">
        <v>6.8481522867632719E-2</v>
      </c>
    </row>
    <row r="109" spans="1:2">
      <c r="A109" s="78" t="s">
        <v>23</v>
      </c>
      <c r="B109" s="33">
        <v>6.185069180159955E-2</v>
      </c>
    </row>
    <row r="110" spans="1:2">
      <c r="A110" s="78" t="s">
        <v>17</v>
      </c>
      <c r="B110" s="33">
        <v>4.5637686636536015E-2</v>
      </c>
    </row>
    <row r="111" spans="1:2">
      <c r="A111" s="78" t="s">
        <v>28</v>
      </c>
      <c r="B111" s="33">
        <v>4.5178837391909539E-2</v>
      </c>
    </row>
    <row r="112" spans="1:2">
      <c r="A112" s="78" t="s">
        <v>8</v>
      </c>
      <c r="B112" s="33">
        <v>4.0141211863469792E-2</v>
      </c>
    </row>
    <row r="113" spans="1:31">
      <c r="A113" s="78" t="s">
        <v>27</v>
      </c>
      <c r="B113" s="33">
        <v>5.4007449439882173E-3</v>
      </c>
    </row>
    <row r="114" spans="1:31">
      <c r="A114" s="78" t="s">
        <v>20</v>
      </c>
      <c r="B114" s="33">
        <v>0</v>
      </c>
    </row>
    <row r="115" spans="1:31">
      <c r="A115" s="78" t="s">
        <v>15</v>
      </c>
      <c r="B115" s="33">
        <v>-1.6504230424760235E-5</v>
      </c>
    </row>
    <row r="116" spans="1:31">
      <c r="A116" s="78" t="s">
        <v>22</v>
      </c>
      <c r="B116" s="33">
        <v>-3.27852043298658E-2</v>
      </c>
    </row>
    <row r="117" spans="1:31">
      <c r="A117" s="78" t="s">
        <v>9</v>
      </c>
      <c r="B117" s="33">
        <v>-5.2601789798461682E-2</v>
      </c>
    </row>
    <row r="118" spans="1:31">
      <c r="A118" s="78" t="s">
        <v>11</v>
      </c>
      <c r="B118" s="33">
        <v>-9.7265735803420655E-2</v>
      </c>
    </row>
    <row r="119" spans="1:31">
      <c r="A119" s="78" t="s">
        <v>26</v>
      </c>
      <c r="B119" s="33">
        <v>-0.12377461095491414</v>
      </c>
    </row>
    <row r="120" spans="1:31">
      <c r="A120" s="78" t="s">
        <v>12</v>
      </c>
      <c r="B120" s="33">
        <v>-0.16319768673598739</v>
      </c>
    </row>
    <row r="121" spans="1:31">
      <c r="A121" s="78" t="s">
        <v>10</v>
      </c>
      <c r="B121" s="33">
        <v>-0.16680236791730554</v>
      </c>
    </row>
    <row r="122" spans="1:31">
      <c r="A122" s="78" t="s">
        <v>5</v>
      </c>
      <c r="B122" s="33">
        <v>-0.22442530671210661</v>
      </c>
    </row>
    <row r="123" spans="1:31">
      <c r="A123" s="78" t="s">
        <v>131</v>
      </c>
      <c r="B123" s="33">
        <v>-0.27341287383012364</v>
      </c>
    </row>
    <row r="124" spans="1:31">
      <c r="A124" s="78" t="s">
        <v>6</v>
      </c>
      <c r="B124" s="33">
        <v>-0.31650842989951938</v>
      </c>
    </row>
    <row r="126" spans="1:31" s="77" customFormat="1"/>
    <row r="128" spans="1:31">
      <c r="A128" s="25" t="s">
        <v>0</v>
      </c>
      <c r="B128" s="25" t="s">
        <v>1</v>
      </c>
      <c r="C128" s="25" t="s">
        <v>2</v>
      </c>
      <c r="D128" s="25" t="s">
        <v>100</v>
      </c>
      <c r="E128" s="25" t="s">
        <v>128</v>
      </c>
      <c r="F128" s="25" t="s">
        <v>129</v>
      </c>
      <c r="G128" s="25" t="s">
        <v>130</v>
      </c>
      <c r="H128" s="25" t="s">
        <v>131</v>
      </c>
      <c r="I128" s="25" t="s">
        <v>4</v>
      </c>
      <c r="J128" s="25" t="s">
        <v>5</v>
      </c>
      <c r="K128" s="25" t="s">
        <v>6</v>
      </c>
      <c r="L128" s="25" t="s">
        <v>7</v>
      </c>
      <c r="M128" s="25" t="s">
        <v>8</v>
      </c>
      <c r="N128" s="25" t="s">
        <v>9</v>
      </c>
      <c r="O128" s="25" t="s">
        <v>10</v>
      </c>
      <c r="P128" s="25" t="s">
        <v>11</v>
      </c>
      <c r="Q128" s="25" t="s">
        <v>12</v>
      </c>
      <c r="R128" s="25" t="s">
        <v>13</v>
      </c>
      <c r="S128" s="25" t="s">
        <v>14</v>
      </c>
      <c r="T128" s="25" t="s">
        <v>15</v>
      </c>
      <c r="U128" s="25" t="s">
        <v>17</v>
      </c>
      <c r="V128" s="25" t="s">
        <v>18</v>
      </c>
      <c r="W128" s="25" t="s">
        <v>19</v>
      </c>
      <c r="X128" s="25" t="s">
        <v>20</v>
      </c>
      <c r="Y128" s="25" t="s">
        <v>22</v>
      </c>
      <c r="Z128" s="25" t="s">
        <v>23</v>
      </c>
      <c r="AA128" s="25" t="s">
        <v>27</v>
      </c>
      <c r="AB128" s="25" t="s">
        <v>25</v>
      </c>
      <c r="AC128" s="25" t="s">
        <v>26</v>
      </c>
      <c r="AD128" s="25" t="s">
        <v>16</v>
      </c>
      <c r="AE128" s="25" t="s">
        <v>28</v>
      </c>
    </row>
    <row r="129" spans="1:31">
      <c r="A129" s="89" t="s">
        <v>33</v>
      </c>
      <c r="B129" s="12">
        <v>2021</v>
      </c>
      <c r="C129" s="12" t="s">
        <v>31</v>
      </c>
      <c r="D129" s="90">
        <f t="shared" ref="D129:D157" si="2">DATE(B129,MONTH(1&amp;C129),1)</f>
        <v>44197</v>
      </c>
      <c r="E129" s="67">
        <v>8.57</v>
      </c>
      <c r="F129" s="8">
        <f>IFERROR(('Q5 Actual'!W74-'Q5 Actual'!W73)/'Q5 Actual'!W73*100,"NA")</f>
        <v>10.262345679012356</v>
      </c>
      <c r="G129" s="8">
        <f>IFERROR(('Q5 Actual'!Z74-'Q5 Actual'!Z73)/'Q5 Actual'!Z73*100,"NA")</f>
        <v>1.0332103321033252</v>
      </c>
      <c r="H129" s="8">
        <f>IFERROR(('Q5 Actual'!E74-'Q5 Actual'!E73)/'Q5 Actual'!E73*100,"NA")</f>
        <v>-0.67114093959731547</v>
      </c>
      <c r="I129" s="8">
        <f>IFERROR(('Q5 Actual'!F74-'Q5 Actual'!F73)/'Q5 Actual'!F73*100,"NA")</f>
        <v>-0.45988758303524646</v>
      </c>
      <c r="J129" s="8">
        <f>IFERROR(('Q5 Actual'!G74-'Q5 Actual'!G73)/'Q5 Actual'!G73*100,"NA")</f>
        <v>5.6085249579357441E-2</v>
      </c>
      <c r="K129" s="8">
        <f>IFERROR(('Q5 Actual'!H74-'Q5 Actual'!H73)/'Q5 Actual'!H73*100,"NA")</f>
        <v>0.12970168612193067</v>
      </c>
      <c r="L129" s="8">
        <f>IFERROR(('Q5 Actual'!I74-'Q5 Actual'!I73)/'Q5 Actual'!I73*100,"NA")</f>
        <v>2.4164889836531667</v>
      </c>
      <c r="M129" s="8">
        <f>IFERROR(('Q5 Actual'!J74-'Q5 Actual'!J73)/'Q5 Actual'!J73*100,"NA")</f>
        <v>1.9372077488309991</v>
      </c>
      <c r="N129" s="8">
        <f>IFERROR(('Q5 Actual'!K74-'Q5 Actual'!K73)/'Q5 Actual'!K73*100,"NA")</f>
        <v>-14.155251141552508</v>
      </c>
      <c r="O129" s="8">
        <f>IFERROR(('Q5 Actual'!L74-'Q5 Actual'!L73)/'Q5 Actual'!L73*100,"NA")</f>
        <v>0.37151702786377355</v>
      </c>
      <c r="P129" s="8">
        <f>IFERROR(('Q5 Actual'!M74-'Q5 Actual'!M73)/'Q5 Actual'!M73*100,"NA")</f>
        <v>-0.68317677198974991</v>
      </c>
      <c r="Q129" s="8">
        <f>IFERROR(('Q5 Actual'!N74-'Q5 Actual'!N73)/'Q5 Actual'!N73*100,"NA")</f>
        <v>0.67943174799258454</v>
      </c>
      <c r="R129" s="8">
        <f>IFERROR(('Q5 Actual'!O74-'Q5 Actual'!O73)/'Q5 Actual'!O73*100,"NA")</f>
        <v>1.8143754361479372</v>
      </c>
      <c r="S129" s="8">
        <f>IFERROR(('Q5 Actual'!P74-'Q5 Actual'!P73)/'Q5 Actual'!P73*100,"NA")</f>
        <v>0.66225165562913568</v>
      </c>
      <c r="T129" s="8">
        <f>IFERROR(('Q5 Actual'!Q74-'Q5 Actual'!Q73)/'Q5 Actual'!Q73*100,"NA")</f>
        <v>-2.1556886227544876</v>
      </c>
      <c r="U129" s="8">
        <f>IFERROR(('Q5 Actual'!R74-'Q5 Actual'!R73)/'Q5 Actual'!R73*100,"NA")</f>
        <v>0.39499670836075984</v>
      </c>
      <c r="V129" s="8">
        <f>IFERROR(('Q5 Actual'!S74-'Q5 Actual'!S73)/'Q5 Actual'!S73*100,"NA")</f>
        <v>0.43891733723483739</v>
      </c>
      <c r="W129" s="8">
        <f>IFERROR(('Q5 Actual'!T74-'Q5 Actual'!T73)/'Q5 Actual'!T73*100,"NA")</f>
        <v>0.40106951871657376</v>
      </c>
      <c r="X129" s="8">
        <f>IFERROR(('Q5 Actual'!U74-'Q5 Actual'!U73)/'Q5 Actual'!U73*100,"NA")</f>
        <v>-0.44191919191920265</v>
      </c>
      <c r="Y129" s="8">
        <f>IFERROR(('Q5 Actual'!V74-'Q5 Actual'!V73)/'Q5 Actual'!V73*100,"NA")</f>
        <v>0.1374570446735317</v>
      </c>
      <c r="Z129" s="8">
        <f>IFERROR(('Q5 Actual'!X74-'Q5 Actual'!X73)/'Q5 Actual'!X73*100,"NA")</f>
        <v>0.7848266841072522</v>
      </c>
      <c r="AA129" s="8">
        <f>IFERROR(('Q5 Actual'!Y74-'Q5 Actual'!Y73)/'Q5 Actual'!Y73*100,"NA")</f>
        <v>-0.1266624445851913</v>
      </c>
      <c r="AB129" s="8">
        <f>IFERROR(('Q5 Actual'!AA74-'Q5 Actual'!AA73)/'Q5 Actual'!AA73*100,"NA")</f>
        <v>0.76230076230075827</v>
      </c>
      <c r="AC129" s="8">
        <f>IFERROR(('Q5 Actual'!AB74-'Q5 Actual'!AB73)/'Q5 Actual'!AB73*100,"NA")</f>
        <v>-0.50987890376036415</v>
      </c>
      <c r="AD129" s="8">
        <f>IFERROR(('Q5 Actual'!AC74-'Q5 Actual'!AC73)/'Q5 Actual'!AC73*100,"NA")</f>
        <v>0.8412197686645756</v>
      </c>
      <c r="AE129" s="8">
        <f>IFERROR(('Q5 Actual'!AD74-'Q5 Actual'!AD73)/'Q5 Actual'!AD73*100,"NA")</f>
        <v>0.47651463580666342</v>
      </c>
    </row>
    <row r="130" spans="1:31">
      <c r="A130" s="89" t="s">
        <v>33</v>
      </c>
      <c r="B130" s="12">
        <v>2021</v>
      </c>
      <c r="C130" s="12" t="s">
        <v>35</v>
      </c>
      <c r="D130" s="90">
        <f t="shared" si="2"/>
        <v>44228</v>
      </c>
      <c r="E130" s="67">
        <v>13.05</v>
      </c>
      <c r="F130" s="8">
        <f>IFERROR(('Q5 Actual'!W75-'Q5 Actual'!W74)/'Q5 Actual'!W74*100,"NA")</f>
        <v>4.3386983904828469</v>
      </c>
      <c r="G130" s="8">
        <f>IFERROR(('Q5 Actual'!Z75-'Q5 Actual'!Z74)/'Q5 Actual'!Z74*100,"NA")</f>
        <v>2.6296566837107336</v>
      </c>
      <c r="H130" s="8">
        <f>IFERROR(('Q5 Actual'!E75-'Q5 Actual'!E74)/'Q5 Actual'!E74*100,"NA")</f>
        <v>-0.27027027027027412</v>
      </c>
      <c r="I130" s="8">
        <f>IFERROR(('Q5 Actual'!F75-'Q5 Actual'!F74)/'Q5 Actual'!F74*100,"NA")</f>
        <v>-1.8480492813141798</v>
      </c>
      <c r="J130" s="8">
        <f>IFERROR(('Q5 Actual'!G75-'Q5 Actual'!G74)/'Q5 Actual'!G74*100,"NA")</f>
        <v>-4.7645739910313898</v>
      </c>
      <c r="K130" s="8">
        <f>IFERROR(('Q5 Actual'!H75-'Q5 Actual'!H74)/'Q5 Actual'!H74*100,"NA")</f>
        <v>0.45336787564766101</v>
      </c>
      <c r="L130" s="8">
        <f>IFERROR(('Q5 Actual'!I75-'Q5 Actual'!I74)/'Q5 Actual'!I74*100,"NA")</f>
        <v>5.065926439972249</v>
      </c>
      <c r="M130" s="8">
        <f>IFERROR(('Q5 Actual'!J75-'Q5 Actual'!J74)/'Q5 Actual'!J74*100,"NA")</f>
        <v>0.91743119266055417</v>
      </c>
      <c r="N130" s="8">
        <f>IFERROR(('Q5 Actual'!K75-'Q5 Actual'!K74)/'Q5 Actual'!K74*100,"NA")</f>
        <v>-12.862669245647979</v>
      </c>
      <c r="O130" s="8">
        <f>IFERROR(('Q5 Actual'!L75-'Q5 Actual'!L74)/'Q5 Actual'!L74*100,"NA")</f>
        <v>-1.4188772362738946</v>
      </c>
      <c r="P130" s="8">
        <f>IFERROR(('Q5 Actual'!M75-'Q5 Actual'!M74)/'Q5 Actual'!M74*100,"NA")</f>
        <v>-1.2037833190025722</v>
      </c>
      <c r="Q130" s="8">
        <f>IFERROR(('Q5 Actual'!N75-'Q5 Actual'!N74)/'Q5 Actual'!N74*100,"NA")</f>
        <v>-0.30674846625766872</v>
      </c>
      <c r="R130" s="8">
        <f>IFERROR(('Q5 Actual'!O75-'Q5 Actual'!O74)/'Q5 Actual'!O74*100,"NA")</f>
        <v>2.2618231665524213</v>
      </c>
      <c r="S130" s="8">
        <f>IFERROR(('Q5 Actual'!P75-'Q5 Actual'!P74)/'Q5 Actual'!P74*100,"NA")</f>
        <v>1.3157894736842208</v>
      </c>
      <c r="T130" s="8">
        <f>IFERROR(('Q5 Actual'!Q75-'Q5 Actual'!Q74)/'Q5 Actual'!Q74*100,"NA")</f>
        <v>-1.5911872705018326</v>
      </c>
      <c r="U130" s="8">
        <f>IFERROR(('Q5 Actual'!R75-'Q5 Actual'!R74)/'Q5 Actual'!R74*100,"NA")</f>
        <v>1.1147540983606483</v>
      </c>
      <c r="V130" s="8">
        <f>IFERROR(('Q5 Actual'!S75-'Q5 Actual'!S74)/'Q5 Actual'!S74*100,"NA")</f>
        <v>0.65549890750180417</v>
      </c>
      <c r="W130" s="8">
        <f>IFERROR(('Q5 Actual'!T75-'Q5 Actual'!T74)/'Q5 Actual'!T74*100,"NA")</f>
        <v>1.0652463382157276</v>
      </c>
      <c r="X130" s="8">
        <f>IFERROR(('Q5 Actual'!U75-'Q5 Actual'!U74)/'Q5 Actual'!U74*100,"NA")</f>
        <v>1.331642358909336</v>
      </c>
      <c r="Y130" s="8">
        <f>IFERROR(('Q5 Actual'!V75-'Q5 Actual'!V74)/'Q5 Actual'!V74*100,"NA")</f>
        <v>0.54907343857241697</v>
      </c>
      <c r="Z130" s="8">
        <f>IFERROR(('Q5 Actual'!X75-'Q5 Actual'!X74)/'Q5 Actual'!X74*100,"NA")</f>
        <v>1.427644386761854</v>
      </c>
      <c r="AA130" s="8">
        <f>IFERROR(('Q5 Actual'!Y75-'Q5 Actual'!Y74)/'Q5 Actual'!Y74*100,"NA")</f>
        <v>-0.63411540900443886</v>
      </c>
      <c r="AB130" s="8">
        <f>IFERROR(('Q5 Actual'!AA75-'Q5 Actual'!AA74)/'Q5 Actual'!AA74*100,"NA")</f>
        <v>1.3067400275103203</v>
      </c>
      <c r="AC130" s="8">
        <f>IFERROR(('Q5 Actual'!AB75-'Q5 Actual'!AB74)/'Q5 Actual'!AB74*100,"NA")</f>
        <v>0.32030749519538759</v>
      </c>
      <c r="AD130" s="8">
        <f>IFERROR(('Q5 Actual'!AC75-'Q5 Actual'!AC74)/'Q5 Actual'!AC74*100,"NA")</f>
        <v>0.7820646506777893</v>
      </c>
      <c r="AE130" s="8">
        <f>IFERROR(('Q5 Actual'!AD75-'Q5 Actual'!AD74)/'Q5 Actual'!AD74*100,"NA")</f>
        <v>1.1517615176151879</v>
      </c>
    </row>
    <row r="131" spans="1:31">
      <c r="A131" s="89" t="s">
        <v>33</v>
      </c>
      <c r="B131" s="12">
        <v>2021</v>
      </c>
      <c r="C131" s="12" t="s">
        <v>36</v>
      </c>
      <c r="D131" s="90">
        <f t="shared" si="2"/>
        <v>44256</v>
      </c>
      <c r="E131" s="67">
        <v>5.25</v>
      </c>
      <c r="F131" s="8">
        <f>IFERROR(('Q5 Actual'!W76-'Q5 Actual'!W75)/'Q5 Actual'!W75*100,"NA")</f>
        <v>3.8229376257545389</v>
      </c>
      <c r="G131" s="8">
        <f>IFERROR(('Q5 Actual'!Z76-'Q5 Actual'!Z75)/'Q5 Actual'!Z75*100,"NA")</f>
        <v>0.85409252669038338</v>
      </c>
      <c r="H131" s="8">
        <f>IFERROR(('Q5 Actual'!E76-'Q5 Actual'!E75)/'Q5 Actual'!E75*100,"NA")</f>
        <v>-6.7750677506771217E-2</v>
      </c>
      <c r="I131" s="8">
        <f>IFERROR(('Q5 Actual'!F76-'Q5 Actual'!F75)/'Q5 Actual'!F75*100,"NA")</f>
        <v>3.2949790794979137</v>
      </c>
      <c r="J131" s="8">
        <f>IFERROR(('Q5 Actual'!G76-'Q5 Actual'!G75)/'Q5 Actual'!G75*100,"NA")</f>
        <v>-3.0606238964096626</v>
      </c>
      <c r="K131" s="8">
        <f>IFERROR(('Q5 Actual'!H76-'Q5 Actual'!H75)/'Q5 Actual'!H75*100,"NA")</f>
        <v>0.32237266279819476</v>
      </c>
      <c r="L131" s="8">
        <f>IFERROR(('Q5 Actual'!I76-'Q5 Actual'!I75)/'Q5 Actual'!I75*100,"NA")</f>
        <v>3.3025099075297222</v>
      </c>
      <c r="M131" s="8">
        <f>IFERROR(('Q5 Actual'!J76-'Q5 Actual'!J75)/'Q5 Actual'!J75*100,"NA")</f>
        <v>2.1428571428571503</v>
      </c>
      <c r="N131" s="8">
        <f>IFERROR(('Q5 Actual'!K76-'Q5 Actual'!K75)/'Q5 Actual'!K75*100,"NA")</f>
        <v>-7.8246392896781325</v>
      </c>
      <c r="O131" s="8">
        <f>IFERROR(('Q5 Actual'!L76-'Q5 Actual'!L75)/'Q5 Actual'!L75*100,"NA")</f>
        <v>0.81351689612013944</v>
      </c>
      <c r="P131" s="8">
        <f>IFERROR(('Q5 Actual'!M76-'Q5 Actual'!M75)/'Q5 Actual'!M75*100,"NA")</f>
        <v>-0.52219321148825804</v>
      </c>
      <c r="Q131" s="8">
        <f>IFERROR(('Q5 Actual'!N76-'Q5 Actual'!N75)/'Q5 Actual'!N75*100,"NA")</f>
        <v>6.1538461538458038E-2</v>
      </c>
      <c r="R131" s="8">
        <f>IFERROR(('Q5 Actual'!O76-'Q5 Actual'!O75)/'Q5 Actual'!O75*100,"NA")</f>
        <v>1.0053619302949064</v>
      </c>
      <c r="S131" s="8">
        <f>IFERROR(('Q5 Actual'!P76-'Q5 Actual'!P75)/'Q5 Actual'!P75*100,"NA")</f>
        <v>0.53128689492326187</v>
      </c>
      <c r="T131" s="8">
        <f>IFERROR(('Q5 Actual'!Q76-'Q5 Actual'!Q75)/'Q5 Actual'!Q75*100,"NA")</f>
        <v>-0.24875621890547614</v>
      </c>
      <c r="U131" s="8">
        <f>IFERROR(('Q5 Actual'!R76-'Q5 Actual'!R75)/'Q5 Actual'!R75*100,"NA")</f>
        <v>0.58365758754864183</v>
      </c>
      <c r="V131" s="8">
        <f>IFERROR(('Q5 Actual'!S76-'Q5 Actual'!S75)/'Q5 Actual'!S75*100,"NA")</f>
        <v>0.36179450072358904</v>
      </c>
      <c r="W131" s="8">
        <f>IFERROR(('Q5 Actual'!T76-'Q5 Actual'!T75)/'Q5 Actual'!T75*100,"NA")</f>
        <v>0.52700922266138528</v>
      </c>
      <c r="X131" s="8">
        <f>IFERROR(('Q5 Actual'!U76-'Q5 Actual'!U75)/'Q5 Actual'!U75*100,"NA")</f>
        <v>6.2578222778469528E-2</v>
      </c>
      <c r="Y131" s="8">
        <f>IFERROR(('Q5 Actual'!V76-'Q5 Actual'!V75)/'Q5 Actual'!V75*100,"NA")</f>
        <v>0.4778156996586953</v>
      </c>
      <c r="Z131" s="8">
        <f>IFERROR(('Q5 Actual'!X76-'Q5 Actual'!X75)/'Q5 Actual'!X75*100,"NA")</f>
        <v>0.38387715930901745</v>
      </c>
      <c r="AA131" s="8">
        <f>IFERROR(('Q5 Actual'!Y76-'Q5 Actual'!Y75)/'Q5 Actual'!Y75*100,"NA")</f>
        <v>-1.1486917677089874</v>
      </c>
      <c r="AB131" s="8">
        <f>IFERROR(('Q5 Actual'!AA76-'Q5 Actual'!AA75)/'Q5 Actual'!AA75*100,"NA")</f>
        <v>0.88255261371349825</v>
      </c>
      <c r="AC131" s="8">
        <f>IFERROR(('Q5 Actual'!AB76-'Q5 Actual'!AB75)/'Q5 Actual'!AB75*100,"NA")</f>
        <v>0.63856960408684549</v>
      </c>
      <c r="AD131" s="8">
        <f>IFERROR(('Q5 Actual'!AC76-'Q5 Actual'!AC75)/'Q5 Actual'!AC75*100,"NA")</f>
        <v>0.10346611484738161</v>
      </c>
      <c r="AE131" s="8">
        <f>IFERROR(('Q5 Actual'!AD76-'Q5 Actual'!AD75)/'Q5 Actual'!AD75*100,"NA")</f>
        <v>0.46885465505692475</v>
      </c>
    </row>
    <row r="132" spans="1:31">
      <c r="A132" s="89" t="s">
        <v>33</v>
      </c>
      <c r="B132" s="12">
        <v>2021</v>
      </c>
      <c r="C132" s="12" t="s">
        <v>37</v>
      </c>
      <c r="D132" s="90">
        <f t="shared" si="2"/>
        <v>44287</v>
      </c>
      <c r="E132" s="67">
        <v>1.5699999999999998</v>
      </c>
      <c r="F132" s="8">
        <f>IFERROR(('Q5 Actual'!W77-'Q5 Actual'!W76)/'Q5 Actual'!W76*100,"NA")</f>
        <v>6.4599483204130698E-2</v>
      </c>
      <c r="G132" s="8">
        <f>IFERROR(('Q5 Actual'!Z77-'Q5 Actual'!Z76)/'Q5 Actual'!Z76*100,"NA")</f>
        <v>0.28228652081863498</v>
      </c>
      <c r="H132" s="8">
        <f>IFERROR(('Q5 Actual'!E77-'Q5 Actual'!E76)/'Q5 Actual'!E76*100,"NA")</f>
        <v>6.7796610169487667E-2</v>
      </c>
      <c r="I132" s="8">
        <f>IFERROR(('Q5 Actual'!F77-'Q5 Actual'!F76)/'Q5 Actual'!F76*100,"NA")</f>
        <v>2.5316455696202533</v>
      </c>
      <c r="J132" s="8">
        <f>IFERROR(('Q5 Actual'!G77-'Q5 Actual'!G76)/'Q5 Actual'!G76*100,"NA")</f>
        <v>1.0321797207043213</v>
      </c>
      <c r="K132" s="8">
        <f>IFERROR(('Q5 Actual'!H77-'Q5 Actual'!H76)/'Q5 Actual'!H76*100,"NA")</f>
        <v>0.25706940874036355</v>
      </c>
      <c r="L132" s="8">
        <f>IFERROR(('Q5 Actual'!I77-'Q5 Actual'!I76)/'Q5 Actual'!I76*100,"NA")</f>
        <v>3.1969309462915603</v>
      </c>
      <c r="M132" s="8">
        <f>IFERROR(('Q5 Actual'!J77-'Q5 Actual'!J76)/'Q5 Actual'!J76*100,"NA")</f>
        <v>7.3108709472345836</v>
      </c>
      <c r="N132" s="8">
        <f>IFERROR(('Q5 Actual'!K77-'Q5 Actual'!K76)/'Q5 Actual'!K76*100,"NA")</f>
        <v>-2.7092113184828417</v>
      </c>
      <c r="O132" s="8">
        <f>IFERROR(('Q5 Actual'!L77-'Q5 Actual'!L76)/'Q5 Actual'!L76*100,"NA")</f>
        <v>1.0552451893234123</v>
      </c>
      <c r="P132" s="8">
        <f>IFERROR(('Q5 Actual'!M77-'Q5 Actual'!M76)/'Q5 Actual'!M76*100,"NA")</f>
        <v>0.43744531933508313</v>
      </c>
      <c r="Q132" s="8">
        <f>IFERROR(('Q5 Actual'!N77-'Q5 Actual'!N76)/'Q5 Actual'!N76*100,"NA")</f>
        <v>0.12300123001231063</v>
      </c>
      <c r="R132" s="8">
        <f>IFERROR(('Q5 Actual'!O77-'Q5 Actual'!O76)/'Q5 Actual'!O76*100,"NA")</f>
        <v>0.53085600530856758</v>
      </c>
      <c r="S132" s="8">
        <f>IFERROR(('Q5 Actual'!P77-'Q5 Actual'!P76)/'Q5 Actual'!P76*100,"NA")</f>
        <v>0.6459189665296502</v>
      </c>
      <c r="T132" s="8">
        <f>IFERROR(('Q5 Actual'!Q77-'Q5 Actual'!Q76)/'Q5 Actual'!Q76*100,"NA")</f>
        <v>0.99750623441396158</v>
      </c>
      <c r="U132" s="8">
        <f>IFERROR(('Q5 Actual'!R77-'Q5 Actual'!R76)/'Q5 Actual'!R76*100,"NA")</f>
        <v>0.51579626047711891</v>
      </c>
      <c r="V132" s="8">
        <f>IFERROR(('Q5 Actual'!S77-'Q5 Actual'!S76)/'Q5 Actual'!S76*100,"NA")</f>
        <v>0.43258832011537335</v>
      </c>
      <c r="W132" s="8">
        <f>IFERROR(('Q5 Actual'!T77-'Q5 Actual'!T76)/'Q5 Actual'!T76*100,"NA")</f>
        <v>0.52424639580603627</v>
      </c>
      <c r="X132" s="8">
        <f>IFERROR(('Q5 Actual'!U77-'Q5 Actual'!U76)/'Q5 Actual'!U76*100,"NA")</f>
        <v>0.9380863039399624</v>
      </c>
      <c r="Y132" s="8">
        <f>IFERROR(('Q5 Actual'!V77-'Q5 Actual'!V76)/'Q5 Actual'!V76*100,"NA")</f>
        <v>0.27173913043478648</v>
      </c>
      <c r="Z132" s="8">
        <f>IFERROR(('Q5 Actual'!X77-'Q5 Actual'!X76)/'Q5 Actual'!X76*100,"NA")</f>
        <v>0.38240917782026401</v>
      </c>
      <c r="AA132" s="8">
        <f>IFERROR(('Q5 Actual'!Y77-'Q5 Actual'!Y76)/'Q5 Actual'!Y76*100,"NA")</f>
        <v>1.0974822466107093</v>
      </c>
      <c r="AB132" s="8">
        <f>IFERROR(('Q5 Actual'!AA77-'Q5 Actual'!AA76)/'Q5 Actual'!AA76*100,"NA")</f>
        <v>0.3364737550471063</v>
      </c>
      <c r="AC132" s="8">
        <f>IFERROR(('Q5 Actual'!AB77-'Q5 Actual'!AB76)/'Q5 Actual'!AB76*100,"NA")</f>
        <v>0</v>
      </c>
      <c r="AD132" s="8">
        <f>IFERROR(('Q5 Actual'!AC77-'Q5 Actual'!AC76)/'Q5 Actual'!AC76*100,"NA")</f>
        <v>0.46511627906977038</v>
      </c>
      <c r="AE132" s="8">
        <f>IFERROR(('Q5 Actual'!AD77-'Q5 Actual'!AD76)/'Q5 Actual'!AD76*100,"NA")</f>
        <v>0.33333333333333337</v>
      </c>
    </row>
    <row r="133" spans="1:31">
      <c r="A133" s="89" t="s">
        <v>33</v>
      </c>
      <c r="B133" s="12">
        <v>2021</v>
      </c>
      <c r="C133" s="12" t="s">
        <v>38</v>
      </c>
      <c r="D133" s="90">
        <f t="shared" si="2"/>
        <v>44317</v>
      </c>
      <c r="E133" s="67">
        <v>3.55</v>
      </c>
      <c r="F133" s="8">
        <f>IFERROR(('Q5 Actual'!W78-'Q5 Actual'!W77)/'Q5 Actual'!W77*100,"NA")</f>
        <v>0.38734667527436689</v>
      </c>
      <c r="G133" s="8">
        <f>IFERROR(('Q5 Actual'!Z78-'Q5 Actual'!Z77)/'Q5 Actual'!Z77*100,"NA")</f>
        <v>2.0408163265306163</v>
      </c>
      <c r="H133" s="8">
        <f>IFERROR(('Q5 Actual'!E78-'Q5 Actual'!E77)/'Q5 Actual'!E77*100,"NA")</f>
        <v>0.81300813008131234</v>
      </c>
      <c r="I133" s="8">
        <f>IFERROR(('Q5 Actual'!F78-'Q5 Actual'!F77)/'Q5 Actual'!F77*100,"NA")</f>
        <v>0.88888888888889439</v>
      </c>
      <c r="J133" s="8">
        <f>IFERROR(('Q5 Actual'!G78-'Q5 Actual'!G77)/'Q5 Actual'!G77*100,"NA")</f>
        <v>3.9663461538461502</v>
      </c>
      <c r="K133" s="8">
        <f>IFERROR(('Q5 Actual'!H78-'Q5 Actual'!H77)/'Q5 Actual'!H77*100,"NA")</f>
        <v>0.32051282051282048</v>
      </c>
      <c r="L133" s="8">
        <f>IFERROR(('Q5 Actual'!I78-'Q5 Actual'!I77)/'Q5 Actual'!I77*100,"NA")</f>
        <v>4.5848822800495697</v>
      </c>
      <c r="M133" s="8">
        <f>IFERROR(('Q5 Actual'!J78-'Q5 Actual'!J77)/'Q5 Actual'!J77*100,"NA")</f>
        <v>2.1919431279620785</v>
      </c>
      <c r="N133" s="8">
        <f>IFERROR(('Q5 Actual'!K78-'Q5 Actual'!K77)/'Q5 Actual'!K77*100,"NA")</f>
        <v>3.032178217821786</v>
      </c>
      <c r="O133" s="8">
        <f>IFERROR(('Q5 Actual'!L78-'Q5 Actual'!L77)/'Q5 Actual'!L77*100,"NA")</f>
        <v>1.9041769041769006</v>
      </c>
      <c r="P133" s="8">
        <f>IFERROR(('Q5 Actual'!M78-'Q5 Actual'!M77)/'Q5 Actual'!M77*100,"NA")</f>
        <v>0.95818815331011198</v>
      </c>
      <c r="Q133" s="8">
        <f>IFERROR(('Q5 Actual'!N78-'Q5 Actual'!N77)/'Q5 Actual'!N77*100,"NA")</f>
        <v>1.4742014742014602</v>
      </c>
      <c r="R133" s="8">
        <f>IFERROR(('Q5 Actual'!O78-'Q5 Actual'!O77)/'Q5 Actual'!O77*100,"NA")</f>
        <v>0.33003300330033003</v>
      </c>
      <c r="S133" s="8">
        <f>IFERROR(('Q5 Actual'!P78-'Q5 Actual'!P77)/'Q5 Actual'!P77*100,"NA")</f>
        <v>-0.17502917152859471</v>
      </c>
      <c r="T133" s="8">
        <f>IFERROR(('Q5 Actual'!Q78-'Q5 Actual'!Q77)/'Q5 Actual'!Q77*100,"NA")</f>
        <v>1.3580246913580178</v>
      </c>
      <c r="U133" s="8">
        <f>IFERROR(('Q5 Actual'!R78-'Q5 Actual'!R77)/'Q5 Actual'!R77*100,"NA")</f>
        <v>0.38486209108402458</v>
      </c>
      <c r="V133" s="8">
        <f>IFERROR(('Q5 Actual'!S78-'Q5 Actual'!S77)/'Q5 Actual'!S77*100,"NA")</f>
        <v>0.6460875807609312</v>
      </c>
      <c r="W133" s="8">
        <f>IFERROR(('Q5 Actual'!T78-'Q5 Actual'!T77)/'Q5 Actual'!T77*100,"NA")</f>
        <v>0.45632333767926248</v>
      </c>
      <c r="X133" s="8">
        <f>IFERROR(('Q5 Actual'!U78-'Q5 Actual'!U77)/'Q5 Actual'!U77*100,"NA")</f>
        <v>0.12391573729862988</v>
      </c>
      <c r="Y133" s="8">
        <f>IFERROR(('Q5 Actual'!V78-'Q5 Actual'!V77)/'Q5 Actual'!V77*100,"NA")</f>
        <v>1.6937669376693769</v>
      </c>
      <c r="Z133" s="8">
        <f>IFERROR(('Q5 Actual'!X78-'Q5 Actual'!X77)/'Q5 Actual'!X77*100,"NA")</f>
        <v>1.8412698412698449</v>
      </c>
      <c r="AA133" s="8">
        <f>IFERROR(('Q5 Actual'!Y78-'Q5 Actual'!Y77)/'Q5 Actual'!Y77*100,"NA")</f>
        <v>0.57471264367816455</v>
      </c>
      <c r="AB133" s="8">
        <f>IFERROR(('Q5 Actual'!AA78-'Q5 Actual'!AA77)/'Q5 Actual'!AA77*100,"NA")</f>
        <v>2.347417840375587</v>
      </c>
      <c r="AC133" s="8">
        <f>IFERROR(('Q5 Actual'!AB78-'Q5 Actual'!AB77)/'Q5 Actual'!AB77*100,"NA")</f>
        <v>-0.63451776649746194</v>
      </c>
      <c r="AD133" s="8">
        <f>IFERROR(('Q5 Actual'!AC78-'Q5 Actual'!AC77)/'Q5 Actual'!AC77*100,"NA")</f>
        <v>1.9547325102880571</v>
      </c>
      <c r="AE133" s="8">
        <f>IFERROR(('Q5 Actual'!AD78-'Q5 Actual'!AD77)/'Q5 Actual'!AD77*100,"NA")</f>
        <v>1.1960132890365525</v>
      </c>
    </row>
    <row r="134" spans="1:31">
      <c r="A134" s="89" t="s">
        <v>33</v>
      </c>
      <c r="B134" s="12">
        <v>2021</v>
      </c>
      <c r="C134" s="12" t="s">
        <v>39</v>
      </c>
      <c r="D134" s="90">
        <f t="shared" si="2"/>
        <v>44348</v>
      </c>
      <c r="E134" s="67">
        <v>7.6899999999999995</v>
      </c>
      <c r="F134" s="8">
        <f>IFERROR(('Q5 Actual'!W79-'Q5 Actual'!W78)/'Q5 Actual'!W78*100,"NA")</f>
        <v>0.38585209003215071</v>
      </c>
      <c r="G134" s="8">
        <f>IFERROR(('Q5 Actual'!Z79-'Q5 Actual'!Z78)/'Q5 Actual'!Z78*100,"NA")</f>
        <v>1.7241379310344827</v>
      </c>
      <c r="H134" s="8">
        <f>IFERROR(('Q5 Actual'!E79-'Q5 Actual'!E78)/'Q5 Actual'!E78*100,"NA")</f>
        <v>0.26881720430105999</v>
      </c>
      <c r="I134" s="8">
        <f>IFERROR(('Q5 Actual'!F79-'Q5 Actual'!F78)/'Q5 Actual'!F78*100,"NA")</f>
        <v>0.5873715124816391</v>
      </c>
      <c r="J134" s="8">
        <f>IFERROR(('Q5 Actual'!G79-'Q5 Actual'!G78)/'Q5 Actual'!G78*100,"NA")</f>
        <v>5.6647398843930707</v>
      </c>
      <c r="K134" s="8">
        <f>IFERROR(('Q5 Actual'!H79-'Q5 Actual'!H78)/'Q5 Actual'!H78*100,"NA")</f>
        <v>0</v>
      </c>
      <c r="L134" s="8">
        <f>IFERROR(('Q5 Actual'!I79-'Q5 Actual'!I78)/'Q5 Actual'!I78*100,"NA")</f>
        <v>2.0142180094786593</v>
      </c>
      <c r="M134" s="8">
        <f>IFERROR(('Q5 Actual'!J79-'Q5 Actual'!J78)/'Q5 Actual'!J78*100,"NA")</f>
        <v>-0.57971014492753625</v>
      </c>
      <c r="N134" s="8">
        <f>IFERROR(('Q5 Actual'!K79-'Q5 Actual'!K78)/'Q5 Actual'!K78*100,"NA")</f>
        <v>5.8258258258258193</v>
      </c>
      <c r="O134" s="8">
        <f>IFERROR(('Q5 Actual'!L79-'Q5 Actual'!L78)/'Q5 Actual'!L78*100,"NA")</f>
        <v>0.60277275467148883</v>
      </c>
      <c r="P134" s="8">
        <f>IFERROR(('Q5 Actual'!M79-'Q5 Actual'!M78)/'Q5 Actual'!M78*100,"NA")</f>
        <v>0.17256255392578829</v>
      </c>
      <c r="Q134" s="8">
        <f>IFERROR(('Q5 Actual'!N79-'Q5 Actual'!N78)/'Q5 Actual'!N78*100,"NA")</f>
        <v>0.18159806295400205</v>
      </c>
      <c r="R134" s="8">
        <f>IFERROR(('Q5 Actual'!O79-'Q5 Actual'!O78)/'Q5 Actual'!O78*100,"NA")</f>
        <v>0.19736842105263905</v>
      </c>
      <c r="S134" s="8">
        <f>IFERROR(('Q5 Actual'!P79-'Q5 Actual'!P78)/'Q5 Actual'!P78*100,"NA")</f>
        <v>1.2857977790765733</v>
      </c>
      <c r="T134" s="8">
        <f>IFERROR(('Q5 Actual'!Q79-'Q5 Actual'!Q78)/'Q5 Actual'!Q78*100,"NA")</f>
        <v>1.2180267965895251</v>
      </c>
      <c r="U134" s="8">
        <f>IFERROR(('Q5 Actual'!R79-'Q5 Actual'!R78)/'Q5 Actual'!R78*100,"NA")</f>
        <v>0.51118210862620539</v>
      </c>
      <c r="V134" s="8">
        <f>IFERROR(('Q5 Actual'!S79-'Q5 Actual'!S78)/'Q5 Actual'!S78*100,"NA")</f>
        <v>0.2139800285306786</v>
      </c>
      <c r="W134" s="8">
        <f>IFERROR(('Q5 Actual'!T79-'Q5 Actual'!T78)/'Q5 Actual'!T78*100,"NA")</f>
        <v>0.45425048669696111</v>
      </c>
      <c r="X134" s="8">
        <f>IFERROR(('Q5 Actual'!U79-'Q5 Actual'!U78)/'Q5 Actual'!U78*100,"NA")</f>
        <v>-0.68069306930692719</v>
      </c>
      <c r="Y134" s="8">
        <f>IFERROR(('Q5 Actual'!V79-'Q5 Actual'!V78)/'Q5 Actual'!V78*100,"NA")</f>
        <v>-0.19986675549632441</v>
      </c>
      <c r="Z134" s="8">
        <f>IFERROR(('Q5 Actual'!X79-'Q5 Actual'!X78)/'Q5 Actual'!X78*100,"NA")</f>
        <v>0.24937655860349484</v>
      </c>
      <c r="AA134" s="8">
        <f>IFERROR(('Q5 Actual'!Y79-'Q5 Actual'!Y78)/'Q5 Actual'!Y78*100,"NA")</f>
        <v>0.31746031746031744</v>
      </c>
      <c r="AB134" s="8">
        <f>IFERROR(('Q5 Actual'!AA79-'Q5 Actual'!AA78)/'Q5 Actual'!AA78*100,"NA")</f>
        <v>-1.2450851900393223</v>
      </c>
      <c r="AC134" s="8">
        <f>IFERROR(('Q5 Actual'!AB79-'Q5 Actual'!AB78)/'Q5 Actual'!AB78*100,"NA")</f>
        <v>0.95785440613026829</v>
      </c>
      <c r="AD134" s="8">
        <f>IFERROR(('Q5 Actual'!AC79-'Q5 Actual'!AC78)/'Q5 Actual'!AC78*100,"NA")</f>
        <v>-1.3118062563067581</v>
      </c>
      <c r="AE134" s="8">
        <f>IFERROR(('Q5 Actual'!AD79-'Q5 Actual'!AD78)/'Q5 Actual'!AD78*100,"NA")</f>
        <v>0.72225869993433633</v>
      </c>
    </row>
    <row r="135" spans="1:31">
      <c r="A135" s="89" t="s">
        <v>33</v>
      </c>
      <c r="B135" s="12">
        <v>2021</v>
      </c>
      <c r="C135" s="12" t="s">
        <v>40</v>
      </c>
      <c r="D135" s="90">
        <f t="shared" si="2"/>
        <v>44378</v>
      </c>
      <c r="E135" s="67">
        <v>3.1399999999999997</v>
      </c>
      <c r="F135" s="8">
        <f>IFERROR(('Q5 Actual'!W80-'Q5 Actual'!W79)/'Q5 Actual'!W79*100,"NA")</f>
        <v>1.0249839846252367</v>
      </c>
      <c r="G135" s="8">
        <f>IFERROR(('Q5 Actual'!Z80-'Q5 Actual'!Z79)/'Q5 Actual'!Z79*100,"NA")</f>
        <v>1.3559322033898304</v>
      </c>
      <c r="H135" s="8">
        <f>IFERROR(('Q5 Actual'!E80-'Q5 Actual'!E79)/'Q5 Actual'!E79*100,"NA")</f>
        <v>-6.7024128686323278E-2</v>
      </c>
      <c r="I135" s="8">
        <f>IFERROR(('Q5 Actual'!F80-'Q5 Actual'!F79)/'Q5 Actual'!F79*100,"NA")</f>
        <v>2.6277372262773753</v>
      </c>
      <c r="J135" s="8">
        <f>IFERROR(('Q5 Actual'!G80-'Q5 Actual'!G79)/'Q5 Actual'!G79*100,"NA")</f>
        <v>1.2035010940918973</v>
      </c>
      <c r="K135" s="8">
        <f>IFERROR(('Q5 Actual'!H80-'Q5 Actual'!H79)/'Q5 Actual'!H79*100,"NA")</f>
        <v>1.0862619808306637</v>
      </c>
      <c r="L135" s="8">
        <f>IFERROR(('Q5 Actual'!I80-'Q5 Actual'!I79)/'Q5 Actual'!I79*100,"NA")</f>
        <v>-0.92915214866434048</v>
      </c>
      <c r="M135" s="8">
        <f>IFERROR(('Q5 Actual'!J80-'Q5 Actual'!J79)/'Q5 Actual'!J79*100,"NA")</f>
        <v>-0.34985422740524452</v>
      </c>
      <c r="N135" s="8">
        <f>IFERROR(('Q5 Actual'!K80-'Q5 Actual'!K79)/'Q5 Actual'!K79*100,"NA")</f>
        <v>5.7888762769580122</v>
      </c>
      <c r="O135" s="8">
        <f>IFERROR(('Q5 Actual'!L80-'Q5 Actual'!L79)/'Q5 Actual'!L79*100,"NA")</f>
        <v>-1.318154583582994</v>
      </c>
      <c r="P135" s="8">
        <f>IFERROR(('Q5 Actual'!M80-'Q5 Actual'!M79)/'Q5 Actual'!M79*100,"NA")</f>
        <v>-0.34453057708870927</v>
      </c>
      <c r="Q135" s="8">
        <f>IFERROR(('Q5 Actual'!N80-'Q5 Actual'!N79)/'Q5 Actual'!N79*100,"NA")</f>
        <v>0</v>
      </c>
      <c r="R135" s="8">
        <f>IFERROR(('Q5 Actual'!O80-'Q5 Actual'!O79)/'Q5 Actual'!O79*100,"NA")</f>
        <v>0.72225869993433633</v>
      </c>
      <c r="S135" s="8">
        <f>IFERROR(('Q5 Actual'!P80-'Q5 Actual'!P79)/'Q5 Actual'!P79*100,"NA")</f>
        <v>0.11540680900172452</v>
      </c>
      <c r="T135" s="8">
        <f>IFERROR(('Q5 Actual'!Q80-'Q5 Actual'!Q79)/'Q5 Actual'!Q79*100,"NA")</f>
        <v>1.0228640192539213</v>
      </c>
      <c r="U135" s="8">
        <f>IFERROR(('Q5 Actual'!R80-'Q5 Actual'!R79)/'Q5 Actual'!R79*100,"NA")</f>
        <v>0.38143674507310504</v>
      </c>
      <c r="V135" s="8">
        <f>IFERROR(('Q5 Actual'!S80-'Q5 Actual'!S79)/'Q5 Actual'!S79*100,"NA")</f>
        <v>0.99644128113879404</v>
      </c>
      <c r="W135" s="8">
        <f>IFERROR(('Q5 Actual'!T80-'Q5 Actual'!T79)/'Q5 Actual'!T79*100,"NA")</f>
        <v>0.45219638242893317</v>
      </c>
      <c r="X135" s="8">
        <f>IFERROR(('Q5 Actual'!U80-'Q5 Actual'!U79)/'Q5 Actual'!U79*100,"NA")</f>
        <v>0.62305295950155759</v>
      </c>
      <c r="Y135" s="8">
        <f>IFERROR(('Q5 Actual'!V80-'Q5 Actual'!V79)/'Q5 Actual'!V79*100,"NA")</f>
        <v>0.60080106809077249</v>
      </c>
      <c r="Z135" s="8">
        <f>IFERROR(('Q5 Actual'!X80-'Q5 Actual'!X79)/'Q5 Actual'!X79*100,"NA")</f>
        <v>0.43532338308457003</v>
      </c>
      <c r="AA135" s="8">
        <f>IFERROR(('Q5 Actual'!Y80-'Q5 Actual'!Y79)/'Q5 Actual'!Y79*100,"NA")</f>
        <v>1.0126582278480976</v>
      </c>
      <c r="AB135" s="8">
        <f>IFERROR(('Q5 Actual'!AA80-'Q5 Actual'!AA79)/'Q5 Actual'!AA79*100,"NA")</f>
        <v>0.33178500331785005</v>
      </c>
      <c r="AC135" s="8">
        <f>IFERROR(('Q5 Actual'!AB80-'Q5 Actual'!AB79)/'Q5 Actual'!AB79*100,"NA")</f>
        <v>1.3915243516761651</v>
      </c>
      <c r="AD135" s="8">
        <f>IFERROR(('Q5 Actual'!AC80-'Q5 Actual'!AC79)/'Q5 Actual'!AC79*100,"NA")</f>
        <v>-5.1124744376275219E-2</v>
      </c>
      <c r="AE135" s="8">
        <f>IFERROR(('Q5 Actual'!AD80-'Q5 Actual'!AD79)/'Q5 Actual'!AD79*100,"NA")</f>
        <v>1.0430247718383274</v>
      </c>
    </row>
    <row r="136" spans="1:31">
      <c r="A136" s="89" t="s">
        <v>33</v>
      </c>
      <c r="B136" s="12">
        <v>2021</v>
      </c>
      <c r="C136" s="12" t="s">
        <v>41</v>
      </c>
      <c r="D136" s="90">
        <f t="shared" si="2"/>
        <v>44409</v>
      </c>
      <c r="E136" s="67">
        <v>-6.3100000000000005</v>
      </c>
      <c r="F136" s="8">
        <f>IFERROR(('Q5 Actual'!W81-'Q5 Actual'!W80)/'Q5 Actual'!W80*100,"NA")</f>
        <v>1.9023462270133167</v>
      </c>
      <c r="G136" s="8">
        <f>IFERROR(('Q5 Actual'!Z81-'Q5 Actual'!Z80)/'Q5 Actual'!Z80*100,"NA")</f>
        <v>0.60200668896321452</v>
      </c>
      <c r="H136" s="8">
        <f>IFERROR(('Q5 Actual'!E81-'Q5 Actual'!E80)/'Q5 Actual'!E80*100,"NA")</f>
        <v>0.13413816230718784</v>
      </c>
      <c r="I136" s="8">
        <f>IFERROR(('Q5 Actual'!F81-'Q5 Actual'!F80)/'Q5 Actual'!F80*100,"NA")</f>
        <v>-1.6595542911332386</v>
      </c>
      <c r="J136" s="8">
        <f>IFERROR(('Q5 Actual'!G81-'Q5 Actual'!G80)/'Q5 Actual'!G80*100,"NA")</f>
        <v>-5.8918918918918948</v>
      </c>
      <c r="K136" s="8">
        <f>IFERROR(('Q5 Actual'!H81-'Q5 Actual'!H80)/'Q5 Actual'!H80*100,"NA")</f>
        <v>0.63211125158027814</v>
      </c>
      <c r="L136" s="8">
        <f>IFERROR(('Q5 Actual'!I81-'Q5 Actual'!I80)/'Q5 Actual'!I80*100,"NA")</f>
        <v>2.5791324736225123</v>
      </c>
      <c r="M136" s="8">
        <f>IFERROR(('Q5 Actual'!J81-'Q5 Actual'!J80)/'Q5 Actual'!J80*100,"NA")</f>
        <v>-5.6173200702164969</v>
      </c>
      <c r="N136" s="8">
        <f>IFERROR(('Q5 Actual'!K81-'Q5 Actual'!K80)/'Q5 Actual'!K80*100,"NA")</f>
        <v>-1.6630901287553617</v>
      </c>
      <c r="O136" s="8">
        <f>IFERROR(('Q5 Actual'!L81-'Q5 Actual'!L80)/'Q5 Actual'!L80*100,"NA")</f>
        <v>-0.12143290831814733</v>
      </c>
      <c r="P136" s="8">
        <f>IFERROR(('Q5 Actual'!M81-'Q5 Actual'!M80)/'Q5 Actual'!M80*100,"NA")</f>
        <v>4.0622299049265367</v>
      </c>
      <c r="Q136" s="8">
        <f>IFERROR(('Q5 Actual'!N81-'Q5 Actual'!N80)/'Q5 Actual'!N80*100,"NA")</f>
        <v>0.42296072507552185</v>
      </c>
      <c r="R136" s="8">
        <f>IFERROR(('Q5 Actual'!O81-'Q5 Actual'!O80)/'Q5 Actual'!O80*100,"NA")</f>
        <v>0.91264667535854349</v>
      </c>
      <c r="S136" s="8">
        <f>IFERROR(('Q5 Actual'!P81-'Q5 Actual'!P80)/'Q5 Actual'!P80*100,"NA")</f>
        <v>0.92219020172910338</v>
      </c>
      <c r="T136" s="8">
        <f>IFERROR(('Q5 Actual'!Q81-'Q5 Actual'!Q80)/'Q5 Actual'!Q80*100,"NA")</f>
        <v>-0.3573555687909436</v>
      </c>
      <c r="U136" s="8">
        <f>IFERROR(('Q5 Actual'!R81-'Q5 Actual'!R80)/'Q5 Actual'!R80*100,"NA")</f>
        <v>1.2032932235592182</v>
      </c>
      <c r="V136" s="8">
        <f>IFERROR(('Q5 Actual'!S81-'Q5 Actual'!S80)/'Q5 Actual'!S80*100,"NA")</f>
        <v>1.1980267794221202</v>
      </c>
      <c r="W136" s="8">
        <f>IFERROR(('Q5 Actual'!T81-'Q5 Actual'!T80)/'Q5 Actual'!T80*100,"NA")</f>
        <v>1.1575562700964703</v>
      </c>
      <c r="X136" s="8">
        <f>IFERROR(('Q5 Actual'!U81-'Q5 Actual'!U80)/'Q5 Actual'!U80*100,"NA")</f>
        <v>0.37151702786377355</v>
      </c>
      <c r="Y136" s="8">
        <f>IFERROR(('Q5 Actual'!V81-'Q5 Actual'!V80)/'Q5 Actual'!V80*100,"NA")</f>
        <v>1.6589250165892504</v>
      </c>
      <c r="Z136" s="8">
        <f>IFERROR(('Q5 Actual'!X81-'Q5 Actual'!X80)/'Q5 Actual'!X80*100,"NA")</f>
        <v>0.8049535603715241</v>
      </c>
      <c r="AA136" s="8">
        <f>IFERROR(('Q5 Actual'!Y81-'Q5 Actual'!Y80)/'Q5 Actual'!Y80*100,"NA")</f>
        <v>0</v>
      </c>
      <c r="AB136" s="8">
        <f>IFERROR(('Q5 Actual'!AA81-'Q5 Actual'!AA80)/'Q5 Actual'!AA80*100,"NA")</f>
        <v>1.6534391534391537</v>
      </c>
      <c r="AC136" s="8">
        <f>IFERROR(('Q5 Actual'!AB81-'Q5 Actual'!AB80)/'Q5 Actual'!AB80*100,"NA")</f>
        <v>6.2383031815342681E-2</v>
      </c>
      <c r="AD136" s="8">
        <f>IFERROR(('Q5 Actual'!AC81-'Q5 Actual'!AC80)/'Q5 Actual'!AC80*100,"NA")</f>
        <v>0.51150895140664965</v>
      </c>
      <c r="AE136" s="8">
        <f>IFERROR(('Q5 Actual'!AD81-'Q5 Actual'!AD80)/'Q5 Actual'!AD80*100,"NA")</f>
        <v>0.64516129032258063</v>
      </c>
    </row>
    <row r="137" spans="1:31">
      <c r="A137" s="89" t="s">
        <v>33</v>
      </c>
      <c r="B137" s="12">
        <v>2021</v>
      </c>
      <c r="C137" s="12" t="s">
        <v>42</v>
      </c>
      <c r="D137" s="90">
        <f t="shared" si="2"/>
        <v>44440</v>
      </c>
      <c r="E137" s="67">
        <v>5.7299999999999995</v>
      </c>
      <c r="F137" s="8">
        <f>IFERROR(('Q5 Actual'!W82-'Q5 Actual'!W81)/'Q5 Actual'!W81*100,"NA")</f>
        <v>6.222775357810998E-2</v>
      </c>
      <c r="G137" s="8">
        <f>IFERROR(('Q5 Actual'!Z82-'Q5 Actual'!Z81)/'Q5 Actual'!Z81*100,"NA")</f>
        <v>6.648936170212387E-2</v>
      </c>
      <c r="H137" s="8">
        <f>IFERROR(('Q5 Actual'!E82-'Q5 Actual'!E81)/'Q5 Actual'!E81*100,"NA")</f>
        <v>0</v>
      </c>
      <c r="I137" s="8">
        <f>IFERROR(('Q5 Actual'!F82-'Q5 Actual'!F81)/'Q5 Actual'!F81*100,"NA")</f>
        <v>0</v>
      </c>
      <c r="J137" s="8">
        <f>IFERROR(('Q5 Actual'!G82-'Q5 Actual'!G81)/'Q5 Actual'!G81*100,"NA")</f>
        <v>0</v>
      </c>
      <c r="K137" s="8">
        <f>IFERROR(('Q5 Actual'!H82-'Q5 Actual'!H81)/'Q5 Actual'!H81*100,"NA")</f>
        <v>-6.2814070351755222E-2</v>
      </c>
      <c r="L137" s="8">
        <f>IFERROR(('Q5 Actual'!I82-'Q5 Actual'!I81)/'Q5 Actual'!I81*100,"NA")</f>
        <v>0</v>
      </c>
      <c r="M137" s="8">
        <f>IFERROR(('Q5 Actual'!J82-'Q5 Actual'!J81)/'Q5 Actual'!J81*100,"NA")</f>
        <v>-6.1996280223200702E-2</v>
      </c>
      <c r="N137" s="8">
        <f>IFERROR(('Q5 Actual'!K82-'Q5 Actual'!K81)/'Q5 Actual'!K81*100,"NA")</f>
        <v>0.10911074740861354</v>
      </c>
      <c r="O137" s="8">
        <f>IFERROR(('Q5 Actual'!L82-'Q5 Actual'!L81)/'Q5 Actual'!L81*100,"NA")</f>
        <v>0</v>
      </c>
      <c r="P137" s="8">
        <f>IFERROR(('Q5 Actual'!M82-'Q5 Actual'!M81)/'Q5 Actual'!M81*100,"NA")</f>
        <v>0</v>
      </c>
      <c r="Q137" s="8">
        <f>IFERROR(('Q5 Actual'!N82-'Q5 Actual'!N81)/'Q5 Actual'!N81*100,"NA")</f>
        <v>0</v>
      </c>
      <c r="R137" s="8">
        <f>IFERROR(('Q5 Actual'!O82-'Q5 Actual'!O81)/'Q5 Actual'!O81*100,"NA")</f>
        <v>0</v>
      </c>
      <c r="S137" s="8">
        <f>IFERROR(('Q5 Actual'!P82-'Q5 Actual'!P81)/'Q5 Actual'!P81*100,"NA")</f>
        <v>0</v>
      </c>
      <c r="T137" s="8">
        <f>IFERROR(('Q5 Actual'!Q82-'Q5 Actual'!Q81)/'Q5 Actual'!Q81*100,"NA")</f>
        <v>0</v>
      </c>
      <c r="U137" s="8">
        <f>IFERROR(('Q5 Actual'!R82-'Q5 Actual'!R81)/'Q5 Actual'!R81*100,"NA")</f>
        <v>0</v>
      </c>
      <c r="V137" s="8">
        <f>IFERROR(('Q5 Actual'!S82-'Q5 Actual'!S81)/'Q5 Actual'!S81*100,"NA")</f>
        <v>0</v>
      </c>
      <c r="W137" s="8">
        <f>IFERROR(('Q5 Actual'!T82-'Q5 Actual'!T81)/'Q5 Actual'!T81*100,"NA")</f>
        <v>6.3572790845514496E-2</v>
      </c>
      <c r="X137" s="8">
        <f>IFERROR(('Q5 Actual'!U82-'Q5 Actual'!U81)/'Q5 Actual'!U81*100,"NA")</f>
        <v>0</v>
      </c>
      <c r="Y137" s="8">
        <f>IFERROR(('Q5 Actual'!V82-'Q5 Actual'!V81)/'Q5 Actual'!V81*100,"NA")</f>
        <v>6.5274151436046174E-2</v>
      </c>
      <c r="Z137" s="8">
        <f>IFERROR(('Q5 Actual'!X82-'Q5 Actual'!X81)/'Q5 Actual'!X81*100,"NA")</f>
        <v>0</v>
      </c>
      <c r="AA137" s="8">
        <f>IFERROR(('Q5 Actual'!Y82-'Q5 Actual'!Y81)/'Q5 Actual'!Y81*100,"NA")</f>
        <v>0</v>
      </c>
      <c r="AB137" s="8">
        <f>IFERROR(('Q5 Actual'!AA82-'Q5 Actual'!AA81)/'Q5 Actual'!AA81*100,"NA")</f>
        <v>0.13012361743657586</v>
      </c>
      <c r="AC137" s="8">
        <f>IFERROR(('Q5 Actual'!AB82-'Q5 Actual'!AB81)/'Q5 Actual'!AB81*100,"NA")</f>
        <v>-6.2344139650869268E-2</v>
      </c>
      <c r="AD137" s="8">
        <f>IFERROR(('Q5 Actual'!AC82-'Q5 Actual'!AC81)/'Q5 Actual'!AC81*100,"NA")</f>
        <v>0</v>
      </c>
      <c r="AE137" s="8">
        <f>IFERROR(('Q5 Actual'!AD82-'Q5 Actual'!AD81)/'Q5 Actual'!AD81*100,"NA")</f>
        <v>0</v>
      </c>
    </row>
    <row r="138" spans="1:31">
      <c r="A138" s="89" t="s">
        <v>33</v>
      </c>
      <c r="B138" s="12">
        <v>2021</v>
      </c>
      <c r="C138" s="12" t="s">
        <v>43</v>
      </c>
      <c r="D138" s="90">
        <f t="shared" si="2"/>
        <v>44470</v>
      </c>
      <c r="E138" s="67">
        <v>14.09</v>
      </c>
      <c r="F138" s="8">
        <f>IFERROR(('Q5 Actual'!W83-'Q5 Actual'!W82)/'Q5 Actual'!W82*100,"NA")</f>
        <v>0.87064676616914005</v>
      </c>
      <c r="G138" s="8">
        <f>IFERROR(('Q5 Actual'!Z83-'Q5 Actual'!Z82)/'Q5 Actual'!Z82*100,"NA")</f>
        <v>1.1295681063122847</v>
      </c>
      <c r="H138" s="8">
        <f>IFERROR(('Q5 Actual'!E83-'Q5 Actual'!E82)/'Q5 Actual'!E82*100,"NA")</f>
        <v>0.53583389149362548</v>
      </c>
      <c r="I138" s="8">
        <f>IFERROR(('Q5 Actual'!F83-'Q5 Actual'!F82)/'Q5 Actual'!F82*100,"NA")</f>
        <v>0.48216007714561238</v>
      </c>
      <c r="J138" s="8">
        <f>IFERROR(('Q5 Actual'!G83-'Q5 Actual'!G82)/'Q5 Actual'!G82*100,"NA")</f>
        <v>-0.63182079264790025</v>
      </c>
      <c r="K138" s="8">
        <f>IFERROR(('Q5 Actual'!H83-'Q5 Actual'!H82)/'Q5 Actual'!H82*100,"NA")</f>
        <v>6.285355122564068E-2</v>
      </c>
      <c r="L138" s="8">
        <f>IFERROR(('Q5 Actual'!I83-'Q5 Actual'!I82)/'Q5 Actual'!I82*100,"NA")</f>
        <v>0.91428571428571104</v>
      </c>
      <c r="M138" s="8">
        <f>IFERROR(('Q5 Actual'!J83-'Q5 Actual'!J82)/'Q5 Actual'!J82*100,"NA")</f>
        <v>-1.1786600496277775</v>
      </c>
      <c r="N138" s="8">
        <f>IFERROR(('Q5 Actual'!K83-'Q5 Actual'!K82)/'Q5 Actual'!K82*100,"NA")</f>
        <v>16.839237057220714</v>
      </c>
      <c r="O138" s="8">
        <f>IFERROR(('Q5 Actual'!L83-'Q5 Actual'!L82)/'Q5 Actual'!L82*100,"NA")</f>
        <v>0.48632218844985492</v>
      </c>
      <c r="P138" s="8">
        <f>IFERROR(('Q5 Actual'!M83-'Q5 Actual'!M82)/'Q5 Actual'!M82*100,"NA")</f>
        <v>1.744186046511623</v>
      </c>
      <c r="Q138" s="8">
        <f>IFERROR(('Q5 Actual'!N83-'Q5 Actual'!N82)/'Q5 Actual'!N82*100,"NA")</f>
        <v>0.36101083032492348</v>
      </c>
      <c r="R138" s="8">
        <f>IFERROR(('Q5 Actual'!O83-'Q5 Actual'!O82)/'Q5 Actual'!O82*100,"NA")</f>
        <v>0.3875968992248025</v>
      </c>
      <c r="S138" s="8">
        <f>IFERROR(('Q5 Actual'!P83-'Q5 Actual'!P82)/'Q5 Actual'!P82*100,"NA")</f>
        <v>0.45688178183895567</v>
      </c>
      <c r="T138" s="8">
        <f>IFERROR(('Q5 Actual'!Q83-'Q5 Actual'!Q82)/'Q5 Actual'!Q82*100,"NA")</f>
        <v>2.5104602510460183</v>
      </c>
      <c r="U138" s="8">
        <f>IFERROR(('Q5 Actual'!R83-'Q5 Actual'!R82)/'Q5 Actual'!R82*100,"NA")</f>
        <v>0.62578222778473092</v>
      </c>
      <c r="V138" s="8">
        <f>IFERROR(('Q5 Actual'!S83-'Q5 Actual'!S82)/'Q5 Actual'!S82*100,"NA")</f>
        <v>0.55710306406686039</v>
      </c>
      <c r="W138" s="8">
        <f>IFERROR(('Q5 Actual'!T83-'Q5 Actual'!T82)/'Q5 Actual'!T82*100,"NA")</f>
        <v>0.57179161372300236</v>
      </c>
      <c r="X138" s="8">
        <f>IFERROR(('Q5 Actual'!U83-'Q5 Actual'!U82)/'Q5 Actual'!U82*100,"NA")</f>
        <v>0.92535471930906854</v>
      </c>
      <c r="Y138" s="8">
        <f>IFERROR(('Q5 Actual'!V83-'Q5 Actual'!V82)/'Q5 Actual'!V82*100,"NA")</f>
        <v>0.65231572080887146</v>
      </c>
      <c r="Z138" s="8">
        <f>IFERROR(('Q5 Actual'!X83-'Q5 Actual'!X82)/'Q5 Actual'!X82*100,"NA")</f>
        <v>0.42997542997542293</v>
      </c>
      <c r="AA138" s="8">
        <f>IFERROR(('Q5 Actual'!Y83-'Q5 Actual'!Y82)/'Q5 Actual'!Y82*100,"NA")</f>
        <v>0.43859649122808092</v>
      </c>
      <c r="AB138" s="8">
        <f>IFERROR(('Q5 Actual'!AA83-'Q5 Actual'!AA82)/'Q5 Actual'!AA82*100,"NA")</f>
        <v>0.77972709551656183</v>
      </c>
      <c r="AC138" s="8">
        <f>IFERROR(('Q5 Actual'!AB83-'Q5 Actual'!AB82)/'Q5 Actual'!AB82*100,"NA")</f>
        <v>0</v>
      </c>
      <c r="AD138" s="8">
        <f>IFERROR(('Q5 Actual'!AC83-'Q5 Actual'!AC82)/'Q5 Actual'!AC82*100,"NA")</f>
        <v>0.2544529262086514</v>
      </c>
      <c r="AE138" s="8">
        <f>IFERROR(('Q5 Actual'!AD83-'Q5 Actual'!AD82)/'Q5 Actual'!AD82*100,"NA")</f>
        <v>0.64102564102564097</v>
      </c>
    </row>
    <row r="139" spans="1:31">
      <c r="A139" s="89" t="s">
        <v>33</v>
      </c>
      <c r="B139" s="12">
        <v>2021</v>
      </c>
      <c r="C139" s="12" t="s">
        <v>45</v>
      </c>
      <c r="D139" s="90">
        <f t="shared" si="2"/>
        <v>44501</v>
      </c>
      <c r="E139" s="67">
        <v>-3.9800000000000004</v>
      </c>
      <c r="F139" s="8">
        <f>IFERROR(('Q5 Actual'!W84-'Q5 Actual'!W83)/'Q5 Actual'!W83*100,"NA")</f>
        <v>-0.36991368680640835</v>
      </c>
      <c r="G139" s="8">
        <f>IFERROR(('Q5 Actual'!Z84-'Q5 Actual'!Z83)/'Q5 Actual'!Z83*100,"NA")</f>
        <v>-0.65703022339027606</v>
      </c>
      <c r="H139" s="8">
        <f>IFERROR(('Q5 Actual'!E84-'Q5 Actual'!E83)/'Q5 Actual'!E83*100,"NA")</f>
        <v>0.5996002664890111</v>
      </c>
      <c r="I139" s="8">
        <f>IFERROR(('Q5 Actual'!F84-'Q5 Actual'!F83)/'Q5 Actual'!F83*100,"NA")</f>
        <v>-1.6794625719769676</v>
      </c>
      <c r="J139" s="8">
        <f>IFERROR(('Q5 Actual'!G84-'Q5 Actual'!G83)/'Q5 Actual'!G83*100,"NA")</f>
        <v>1.387283236994223</v>
      </c>
      <c r="K139" s="8">
        <f>IFERROR(('Q5 Actual'!H84-'Q5 Actual'!H83)/'Q5 Actual'!H83*100,"NA")</f>
        <v>0.25125628140703876</v>
      </c>
      <c r="L139" s="8">
        <f>IFERROR(('Q5 Actual'!I84-'Q5 Actual'!I83)/'Q5 Actual'!I83*100,"NA")</f>
        <v>-0.45300113250282159</v>
      </c>
      <c r="M139" s="8">
        <f>IFERROR(('Q5 Actual'!J84-'Q5 Actual'!J83)/'Q5 Actual'!J83*100,"NA")</f>
        <v>0.62774639045825487</v>
      </c>
      <c r="N139" s="8">
        <f>IFERROR(('Q5 Actual'!K84-'Q5 Actual'!K83)/'Q5 Actual'!K83*100,"NA")</f>
        <v>6.8563432835820839</v>
      </c>
      <c r="O139" s="8">
        <f>IFERROR(('Q5 Actual'!L84-'Q5 Actual'!L83)/'Q5 Actual'!L83*100,"NA")</f>
        <v>-0.12099213551120208</v>
      </c>
      <c r="P139" s="8">
        <f>IFERROR(('Q5 Actual'!M84-'Q5 Actual'!M83)/'Q5 Actual'!M83*100,"NA")</f>
        <v>0.48979591836734232</v>
      </c>
      <c r="Q139" s="8">
        <f>IFERROR(('Q5 Actual'!N84-'Q5 Actual'!N83)/'Q5 Actual'!N83*100,"NA")</f>
        <v>0.23980815347720458</v>
      </c>
      <c r="R139" s="8">
        <f>IFERROR(('Q5 Actual'!O84-'Q5 Actual'!O83)/'Q5 Actual'!O83*100,"NA")</f>
        <v>0.45045045045044318</v>
      </c>
      <c r="S139" s="8">
        <f>IFERROR(('Q5 Actual'!P84-'Q5 Actual'!P83)/'Q5 Actual'!P83*100,"NA")</f>
        <v>0.51165434906197027</v>
      </c>
      <c r="T139" s="8">
        <f>IFERROR(('Q5 Actual'!Q84-'Q5 Actual'!Q83)/'Q5 Actual'!Q83*100,"NA")</f>
        <v>1.1661807580174928</v>
      </c>
      <c r="U139" s="8">
        <f>IFERROR(('Q5 Actual'!R84-'Q5 Actual'!R83)/'Q5 Actual'!R83*100,"NA")</f>
        <v>0.93283582089552231</v>
      </c>
      <c r="V139" s="8">
        <f>IFERROR(('Q5 Actual'!S84-'Q5 Actual'!S83)/'Q5 Actual'!S83*100,"NA")</f>
        <v>0.62326869806094576</v>
      </c>
      <c r="W139" s="8">
        <f>IFERROR(('Q5 Actual'!T84-'Q5 Actual'!T83)/'Q5 Actual'!T83*100,"NA")</f>
        <v>0.88439671509790097</v>
      </c>
      <c r="X139" s="8">
        <f>IFERROR(('Q5 Actual'!U84-'Q5 Actual'!U83)/'Q5 Actual'!U83*100,"NA")</f>
        <v>0.36674816625916523</v>
      </c>
      <c r="Y139" s="8">
        <f>IFERROR(('Q5 Actual'!V84-'Q5 Actual'!V83)/'Q5 Actual'!V83*100,"NA")</f>
        <v>0.58327932598831966</v>
      </c>
      <c r="Z139" s="8">
        <f>IFERROR(('Q5 Actual'!X84-'Q5 Actual'!X83)/'Q5 Actual'!X83*100,"NA")</f>
        <v>0.42813455657491661</v>
      </c>
      <c r="AA139" s="8">
        <f>IFERROR(('Q5 Actual'!Y84-'Q5 Actual'!Y83)/'Q5 Actual'!Y83*100,"NA")</f>
        <v>0.93574547723019341</v>
      </c>
      <c r="AB139" s="8">
        <f>IFERROR(('Q5 Actual'!AA84-'Q5 Actual'!AA83)/'Q5 Actual'!AA83*100,"NA")</f>
        <v>1.0315925209542194</v>
      </c>
      <c r="AC139" s="8">
        <f>IFERROR(('Q5 Actual'!AB84-'Q5 Actual'!AB83)/'Q5 Actual'!AB83*100,"NA")</f>
        <v>0.31191515907673112</v>
      </c>
      <c r="AD139" s="8">
        <f>IFERROR(('Q5 Actual'!AC84-'Q5 Actual'!AC83)/'Q5 Actual'!AC83*100,"NA")</f>
        <v>0</v>
      </c>
      <c r="AE139" s="8">
        <f>IFERROR(('Q5 Actual'!AD84-'Q5 Actual'!AD83)/'Q5 Actual'!AD83*100,"NA")</f>
        <v>0.19108280254777793</v>
      </c>
    </row>
    <row r="140" spans="1:31">
      <c r="A140" s="89" t="s">
        <v>33</v>
      </c>
      <c r="B140" s="12">
        <v>2021</v>
      </c>
      <c r="C140" s="12" t="s">
        <v>46</v>
      </c>
      <c r="D140" s="90">
        <f t="shared" si="2"/>
        <v>44531</v>
      </c>
      <c r="E140" s="67">
        <v>-6.69</v>
      </c>
      <c r="F140" s="8">
        <f>IFERROR(('Q5 Actual'!W85-'Q5 Actual'!W84)/'Q5 Actual'!W84*100,"NA")</f>
        <v>6.188118811880837E-2</v>
      </c>
      <c r="G140" s="8">
        <f>IFERROR(('Q5 Actual'!Z85-'Q5 Actual'!Z84)/'Q5 Actual'!Z84*100,"NA")</f>
        <v>0.3968253968254119</v>
      </c>
      <c r="H140" s="8">
        <f>IFERROR(('Q5 Actual'!E85-'Q5 Actual'!E84)/'Q5 Actual'!E84*100,"NA")</f>
        <v>0.3973509933774797</v>
      </c>
      <c r="I140" s="8">
        <f>IFERROR(('Q5 Actual'!F85-'Q5 Actual'!F84)/'Q5 Actual'!F84*100,"NA")</f>
        <v>-1.3177159590044007</v>
      </c>
      <c r="J140" s="8">
        <f>IFERROR(('Q5 Actual'!G85-'Q5 Actual'!G84)/'Q5 Actual'!G84*100,"NA")</f>
        <v>2.6225769669327219</v>
      </c>
      <c r="K140" s="8">
        <f>IFERROR(('Q5 Actual'!H85-'Q5 Actual'!H84)/'Q5 Actual'!H84*100,"NA")</f>
        <v>0.25062656641604369</v>
      </c>
      <c r="L140" s="8">
        <f>IFERROR(('Q5 Actual'!I85-'Q5 Actual'!I84)/'Q5 Actual'!I84*100,"NA")</f>
        <v>-1.3083048919226457</v>
      </c>
      <c r="M140" s="8">
        <f>IFERROR(('Q5 Actual'!J85-'Q5 Actual'!J84)/'Q5 Actual'!J84*100,"NA")</f>
        <v>-1.2476606363069245</v>
      </c>
      <c r="N140" s="8">
        <f>IFERROR(('Q5 Actual'!K85-'Q5 Actual'!K84)/'Q5 Actual'!K84*100,"NA")</f>
        <v>-4.1903099083369684</v>
      </c>
      <c r="O140" s="8">
        <f>IFERROR(('Q5 Actual'!L85-'Q5 Actual'!L84)/'Q5 Actual'!L84*100,"NA")</f>
        <v>-0.54512416717141465</v>
      </c>
      <c r="P140" s="8">
        <f>IFERROR(('Q5 Actual'!M85-'Q5 Actual'!M84)/'Q5 Actual'!M84*100,"NA")</f>
        <v>-0.97481722177090879</v>
      </c>
      <c r="Q140" s="8">
        <f>IFERROR(('Q5 Actual'!N85-'Q5 Actual'!N84)/'Q5 Actual'!N84*100,"NA")</f>
        <v>0.59808612440191389</v>
      </c>
      <c r="R140" s="8">
        <f>IFERROR(('Q5 Actual'!O85-'Q5 Actual'!O84)/'Q5 Actual'!O84*100,"NA")</f>
        <v>0.25624599615631372</v>
      </c>
      <c r="S140" s="8">
        <f>IFERROR(('Q5 Actual'!P85-'Q5 Actual'!P84)/'Q5 Actual'!P84*100,"NA")</f>
        <v>0.79185520361989659</v>
      </c>
      <c r="T140" s="8">
        <f>IFERROR(('Q5 Actual'!Q85-'Q5 Actual'!Q84)/'Q5 Actual'!Q84*100,"NA")</f>
        <v>-0.74927953890490573</v>
      </c>
      <c r="U140" s="8">
        <f>IFERROR(('Q5 Actual'!R85-'Q5 Actual'!R84)/'Q5 Actual'!R84*100,"NA")</f>
        <v>0.61614294516327783</v>
      </c>
      <c r="V140" s="8">
        <f>IFERROR(('Q5 Actual'!S85-'Q5 Actual'!S84)/'Q5 Actual'!S84*100,"NA")</f>
        <v>0.96352374397796081</v>
      </c>
      <c r="W140" s="8">
        <f>IFERROR(('Q5 Actual'!T85-'Q5 Actual'!T84)/'Q5 Actual'!T84*100,"NA")</f>
        <v>0.62617407639323741</v>
      </c>
      <c r="X140" s="8">
        <f>IFERROR(('Q5 Actual'!U85-'Q5 Actual'!U84)/'Q5 Actual'!U84*100,"NA")</f>
        <v>-0.48721071863579962</v>
      </c>
      <c r="Y140" s="8">
        <f>IFERROR(('Q5 Actual'!V85-'Q5 Actual'!V84)/'Q5 Actual'!V84*100,"NA")</f>
        <v>0.51546391752578058</v>
      </c>
      <c r="Z140" s="8">
        <f>IFERROR(('Q5 Actual'!X85-'Q5 Actual'!X84)/'Q5 Actual'!X84*100,"NA")</f>
        <v>0.54811205846528976</v>
      </c>
      <c r="AA140" s="8">
        <f>IFERROR(('Q5 Actual'!Y85-'Q5 Actual'!Y84)/'Q5 Actual'!Y84*100,"NA")</f>
        <v>0.37082818294190006</v>
      </c>
      <c r="AB140" s="8">
        <f>IFERROR(('Q5 Actual'!AA85-'Q5 Actual'!AA84)/'Q5 Actual'!AA84*100,"NA")</f>
        <v>0.57434588385450269</v>
      </c>
      <c r="AC140" s="8">
        <f>IFERROR(('Q5 Actual'!AB85-'Q5 Actual'!AB84)/'Q5 Actual'!AB84*100,"NA")</f>
        <v>-0.12437810945274692</v>
      </c>
      <c r="AD140" s="8">
        <f>IFERROR(('Q5 Actual'!AC85-'Q5 Actual'!AC84)/'Q5 Actual'!AC84*100,"NA")</f>
        <v>-0.10152284263958815</v>
      </c>
      <c r="AE140" s="8">
        <f>IFERROR(('Q5 Actual'!AD85-'Q5 Actual'!AD84)/'Q5 Actual'!AD84*100,"NA")</f>
        <v>0.31786395422759056</v>
      </c>
    </row>
    <row r="141" spans="1:31">
      <c r="A141" s="89" t="s">
        <v>33</v>
      </c>
      <c r="B141" s="12">
        <v>2022</v>
      </c>
      <c r="C141" s="12" t="s">
        <v>31</v>
      </c>
      <c r="D141" s="90">
        <f t="shared" si="2"/>
        <v>44562</v>
      </c>
      <c r="E141" s="67">
        <v>13.44</v>
      </c>
      <c r="F141" s="8">
        <f>IFERROR(('Q5 Actual'!W86-'Q5 Actual'!W85)/'Q5 Actual'!W85*100,"NA")</f>
        <v>-6.184291898577262E-2</v>
      </c>
      <c r="G141" s="8">
        <f>IFERROR(('Q5 Actual'!Z86-'Q5 Actual'!Z85)/'Q5 Actual'!Z85*100,"NA")</f>
        <v>0.59288537549405607</v>
      </c>
      <c r="H141" s="8">
        <f>IFERROR(('Q5 Actual'!E86-'Q5 Actual'!E85)/'Q5 Actual'!E85*100,"NA")</f>
        <v>0.3957783641160913</v>
      </c>
      <c r="I141" s="8">
        <f>IFERROR(('Q5 Actual'!F86-'Q5 Actual'!F85)/'Q5 Actual'!F85*100,"NA")</f>
        <v>-4.9455984174082257E-2</v>
      </c>
      <c r="J141" s="8">
        <f>IFERROR(('Q5 Actual'!G86-'Q5 Actual'!G85)/'Q5 Actual'!G85*100,"NA")</f>
        <v>5.5555555555552402E-2</v>
      </c>
      <c r="K141" s="8">
        <f>IFERROR(('Q5 Actual'!H86-'Q5 Actual'!H85)/'Q5 Actual'!H85*100,"NA")</f>
        <v>0.25000000000000355</v>
      </c>
      <c r="L141" s="8">
        <f>IFERROR(('Q5 Actual'!I86-'Q5 Actual'!I85)/'Q5 Actual'!I85*100,"NA")</f>
        <v>-1.4409221902017291</v>
      </c>
      <c r="M141" s="8">
        <f>IFERROR(('Q5 Actual'!J86-'Q5 Actual'!J85)/'Q5 Actual'!J85*100,"NA")</f>
        <v>-1.1370814908401841</v>
      </c>
      <c r="N141" s="8">
        <f>IFERROR(('Q5 Actual'!K86-'Q5 Actual'!K85)/'Q5 Actual'!K85*100,"NA")</f>
        <v>-7.2437357630979529</v>
      </c>
      <c r="O141" s="8">
        <f>IFERROR(('Q5 Actual'!L86-'Q5 Actual'!L85)/'Q5 Actual'!L85*100,"NA")</f>
        <v>-0.24360535931789115</v>
      </c>
      <c r="P141" s="8">
        <f>IFERROR(('Q5 Actual'!M86-'Q5 Actual'!M85)/'Q5 Actual'!M85*100,"NA")</f>
        <v>-0.49220672682527356</v>
      </c>
      <c r="Q141" s="8">
        <f>IFERROR(('Q5 Actual'!N86-'Q5 Actual'!N85)/'Q5 Actual'!N85*100,"NA")</f>
        <v>0.95124851367421104</v>
      </c>
      <c r="R141" s="8">
        <f>IFERROR(('Q5 Actual'!O86-'Q5 Actual'!O85)/'Q5 Actual'!O85*100,"NA")</f>
        <v>6.3897763578271136E-2</v>
      </c>
      <c r="S141" s="8">
        <f>IFERROR(('Q5 Actual'!P86-'Q5 Actual'!P85)/'Q5 Actual'!P85*100,"NA")</f>
        <v>0.44893378226712199</v>
      </c>
      <c r="T141" s="8">
        <f>IFERROR(('Q5 Actual'!Q86-'Q5 Actual'!Q85)/'Q5 Actual'!Q85*100,"NA")</f>
        <v>-1.1033681765388952</v>
      </c>
      <c r="U141" s="8">
        <f>IFERROR(('Q5 Actual'!R86-'Q5 Actual'!R85)/'Q5 Actual'!R85*100,"NA")</f>
        <v>0.85731781996324385</v>
      </c>
      <c r="V141" s="8">
        <f>IFERROR(('Q5 Actual'!S86-'Q5 Actual'!S85)/'Q5 Actual'!S85*100,"NA")</f>
        <v>1.2269938650306826</v>
      </c>
      <c r="W141" s="8">
        <f>IFERROR(('Q5 Actual'!T86-'Q5 Actual'!T85)/'Q5 Actual'!T85*100,"NA")</f>
        <v>0.93341630367143757</v>
      </c>
      <c r="X141" s="8">
        <f>IFERROR(('Q5 Actual'!U86-'Q5 Actual'!U85)/'Q5 Actual'!U85*100,"NA")</f>
        <v>0.67319461444308093</v>
      </c>
      <c r="Y141" s="8">
        <f>IFERROR(('Q5 Actual'!V86-'Q5 Actual'!V85)/'Q5 Actual'!V85*100,"NA")</f>
        <v>0.5128205128205201</v>
      </c>
      <c r="Z141" s="8">
        <f>IFERROR(('Q5 Actual'!X86-'Q5 Actual'!X85)/'Q5 Actual'!X85*100,"NA")</f>
        <v>0.60569351907934588</v>
      </c>
      <c r="AA141" s="8">
        <f>IFERROR(('Q5 Actual'!Y86-'Q5 Actual'!Y85)/'Q5 Actual'!Y85*100,"NA")</f>
        <v>0.2463054187192153</v>
      </c>
      <c r="AB141" s="8">
        <f>IFERROR(('Q5 Actual'!AA86-'Q5 Actual'!AA85)/'Q5 Actual'!AA85*100,"NA")</f>
        <v>0.50761421319797684</v>
      </c>
      <c r="AC141" s="8">
        <f>IFERROR(('Q5 Actual'!AB86-'Q5 Actual'!AB85)/'Q5 Actual'!AB85*100,"NA")</f>
        <v>0.24906600249066357</v>
      </c>
      <c r="AD141" s="8">
        <f>IFERROR(('Q5 Actual'!AC86-'Q5 Actual'!AC85)/'Q5 Actual'!AC85*100,"NA")</f>
        <v>-0.20325203252032809</v>
      </c>
      <c r="AE141" s="8">
        <f>IFERROR(('Q5 Actual'!AD86-'Q5 Actual'!AD85)/'Q5 Actual'!AD85*100,"NA")</f>
        <v>0.50697084917616153</v>
      </c>
    </row>
    <row r="142" spans="1:31">
      <c r="A142" s="89" t="s">
        <v>33</v>
      </c>
      <c r="B142" s="12">
        <v>2022</v>
      </c>
      <c r="C142" s="12" t="s">
        <v>35</v>
      </c>
      <c r="D142" s="90">
        <f t="shared" si="2"/>
        <v>44593</v>
      </c>
      <c r="E142" s="67">
        <v>12.839999999999998</v>
      </c>
      <c r="F142" s="8">
        <f>IFERROR(('Q5 Actual'!W87-'Q5 Actual'!W86)/'Q5 Actual'!W86*100,"NA")</f>
        <v>0.86633663366336988</v>
      </c>
      <c r="G142" s="8">
        <f>IFERROR(('Q5 Actual'!Z87-'Q5 Actual'!Z86)/'Q5 Actual'!Z86*100,"NA")</f>
        <v>0.26195153896529516</v>
      </c>
      <c r="H142" s="8">
        <f>IFERROR(('Q5 Actual'!E87-'Q5 Actual'!E86)/'Q5 Actual'!E86*100,"NA")</f>
        <v>0.19710906701709027</v>
      </c>
      <c r="I142" s="8">
        <f>IFERROR(('Q5 Actual'!F87-'Q5 Actual'!F86)/'Q5 Actual'!F86*100,"NA")</f>
        <v>1.533894111825826</v>
      </c>
      <c r="J142" s="8">
        <f>IFERROR(('Q5 Actual'!G87-'Q5 Actual'!G86)/'Q5 Actual'!G86*100,"NA")</f>
        <v>-2.0544142143253685</v>
      </c>
      <c r="K142" s="8">
        <f>IFERROR(('Q5 Actual'!H87-'Q5 Actual'!H86)/'Q5 Actual'!H86*100,"NA")</f>
        <v>0.12468827930173854</v>
      </c>
      <c r="L142" s="8">
        <f>IFERROR(('Q5 Actual'!I87-'Q5 Actual'!I86)/'Q5 Actual'!I86*100,"NA")</f>
        <v>0.29239766081871343</v>
      </c>
      <c r="M142" s="8">
        <f>IFERROR(('Q5 Actual'!J87-'Q5 Actual'!J86)/'Q5 Actual'!J86*100,"NA")</f>
        <v>-6.3897763578271136E-2</v>
      </c>
      <c r="N142" s="8">
        <f>IFERROR(('Q5 Actual'!K87-'Q5 Actual'!K86)/'Q5 Actual'!K86*100,"NA")</f>
        <v>-2.7504911591355574</v>
      </c>
      <c r="O142" s="8">
        <f>IFERROR(('Q5 Actual'!L87-'Q5 Actual'!L86)/'Q5 Actual'!L86*100,"NA")</f>
        <v>-0.36630036630038015</v>
      </c>
      <c r="P142" s="8">
        <f>IFERROR(('Q5 Actual'!M87-'Q5 Actual'!M86)/'Q5 Actual'!M86*100,"NA")</f>
        <v>-0.57708161582852668</v>
      </c>
      <c r="Q142" s="8">
        <f>IFERROR(('Q5 Actual'!N87-'Q5 Actual'!N86)/'Q5 Actual'!N86*100,"NA")</f>
        <v>1.4134275618374423</v>
      </c>
      <c r="R142" s="8">
        <f>IFERROR(('Q5 Actual'!O87-'Q5 Actual'!O86)/'Q5 Actual'!O86*100,"NA")</f>
        <v>6.3856960408680913E-2</v>
      </c>
      <c r="S142" s="8">
        <f>IFERROR(('Q5 Actual'!P87-'Q5 Actual'!P86)/'Q5 Actual'!P86*100,"NA")</f>
        <v>0.55865921787709494</v>
      </c>
      <c r="T142" s="8">
        <f>IFERROR(('Q5 Actual'!Q87-'Q5 Actual'!Q86)/'Q5 Actual'!Q86*100,"NA")</f>
        <v>-5.871990604816367E-2</v>
      </c>
      <c r="U142" s="8">
        <f>IFERROR(('Q5 Actual'!R87-'Q5 Actual'!R86)/'Q5 Actual'!R86*100,"NA")</f>
        <v>0.60716454159077116</v>
      </c>
      <c r="V142" s="8">
        <f>IFERROR(('Q5 Actual'!S87-'Q5 Actual'!S86)/'Q5 Actual'!S86*100,"NA")</f>
        <v>1.2794612794612832</v>
      </c>
      <c r="W142" s="8">
        <f>IFERROR(('Q5 Actual'!T87-'Q5 Actual'!T86)/'Q5 Actual'!T86*100,"NA")</f>
        <v>0.73982737361283424</v>
      </c>
      <c r="X142" s="8">
        <f>IFERROR(('Q5 Actual'!U87-'Q5 Actual'!U86)/'Q5 Actual'!U86*100,"NA")</f>
        <v>0.60790273556231</v>
      </c>
      <c r="Y142" s="8">
        <f>IFERROR(('Q5 Actual'!V87-'Q5 Actual'!V86)/'Q5 Actual'!V86*100,"NA")</f>
        <v>0.38265306122448617</v>
      </c>
      <c r="Z142" s="8">
        <f>IFERROR(('Q5 Actual'!X87-'Q5 Actual'!X86)/'Q5 Actual'!X86*100,"NA")</f>
        <v>0.66225165562913568</v>
      </c>
      <c r="AA142" s="8">
        <f>IFERROR(('Q5 Actual'!Y87-'Q5 Actual'!Y86)/'Q5 Actual'!Y86*100,"NA")</f>
        <v>0.85995085995084586</v>
      </c>
      <c r="AB142" s="8">
        <f>IFERROR(('Q5 Actual'!AA87-'Q5 Actual'!AA86)/'Q5 Actual'!AA86*100,"NA")</f>
        <v>0.69444444444444087</v>
      </c>
      <c r="AC142" s="8">
        <f>IFERROR(('Q5 Actual'!AB87-'Q5 Actual'!AB86)/'Q5 Actual'!AB86*100,"NA")</f>
        <v>0.6211180124223602</v>
      </c>
      <c r="AD142" s="8">
        <f>IFERROR(('Q5 Actual'!AC87-'Q5 Actual'!AC86)/'Q5 Actual'!AC86*100,"NA")</f>
        <v>5.0916496945007286E-2</v>
      </c>
      <c r="AE142" s="8">
        <f>IFERROR(('Q5 Actual'!AD87-'Q5 Actual'!AD86)/'Q5 Actual'!AD86*100,"NA")</f>
        <v>0.50441361916772476</v>
      </c>
    </row>
    <row r="143" spans="1:31">
      <c r="A143" s="89" t="s">
        <v>33</v>
      </c>
      <c r="B143" s="12">
        <v>2022</v>
      </c>
      <c r="C143" s="12" t="s">
        <v>36</v>
      </c>
      <c r="D143" s="90">
        <f t="shared" si="2"/>
        <v>44621</v>
      </c>
      <c r="E143" s="67">
        <v>22.66</v>
      </c>
      <c r="F143" s="8">
        <f>IFERROR(('Q5 Actual'!W88-'Q5 Actual'!W87)/'Q5 Actual'!W87*100,"NA")</f>
        <v>0.92024539877300615</v>
      </c>
      <c r="G143" s="8">
        <f>IFERROR(('Q5 Actual'!Z88-'Q5 Actual'!Z87)/'Q5 Actual'!Z87*100,"NA")</f>
        <v>0.71848465055518906</v>
      </c>
      <c r="H143" s="8">
        <f>IFERROR(('Q5 Actual'!E88-'Q5 Actual'!E87)/'Q5 Actual'!E87*100,"NA")</f>
        <v>0.78688524590163189</v>
      </c>
      <c r="I143" s="8">
        <f>IFERROR(('Q5 Actual'!F88-'Q5 Actual'!F87)/'Q5 Actual'!F87*100,"NA")</f>
        <v>5.1656920077972828</v>
      </c>
      <c r="J143" s="8">
        <f>IFERROR(('Q5 Actual'!G88-'Q5 Actual'!G87)/'Q5 Actual'!G87*100,"NA")</f>
        <v>-4.9319727891156555</v>
      </c>
      <c r="K143" s="8">
        <f>IFERROR(('Q5 Actual'!H88-'Q5 Actual'!H87)/'Q5 Actual'!H87*100,"NA")</f>
        <v>1.2453300124533002</v>
      </c>
      <c r="L143" s="8">
        <f>IFERROR(('Q5 Actual'!I88-'Q5 Actual'!I87)/'Q5 Actual'!I87*100,"NA")</f>
        <v>4.9562682215743443</v>
      </c>
      <c r="M143" s="8">
        <f>IFERROR(('Q5 Actual'!J88-'Q5 Actual'!J87)/'Q5 Actual'!J87*100,"NA")</f>
        <v>2.046035805626591</v>
      </c>
      <c r="N143" s="8">
        <f>IFERROR(('Q5 Actual'!K88-'Q5 Actual'!K87)/'Q5 Actual'!K87*100,"NA")</f>
        <v>-4.848484848484846</v>
      </c>
      <c r="O143" s="8">
        <f>IFERROR(('Q5 Actual'!L88-'Q5 Actual'!L87)/'Q5 Actual'!L87*100,"NA")</f>
        <v>0.12254901960785358</v>
      </c>
      <c r="P143" s="8">
        <f>IFERROR(('Q5 Actual'!M88-'Q5 Actual'!M87)/'Q5 Actual'!M87*100,"NA")</f>
        <v>-0.24875621890547028</v>
      </c>
      <c r="Q143" s="8">
        <f>IFERROR(('Q5 Actual'!N88-'Q5 Actual'!N87)/'Q5 Actual'!N87*100,"NA")</f>
        <v>1.4518002322880372</v>
      </c>
      <c r="R143" s="8">
        <f>IFERROR(('Q5 Actual'!O88-'Q5 Actual'!O87)/'Q5 Actual'!O87*100,"NA")</f>
        <v>0.25526483726866989</v>
      </c>
      <c r="S143" s="8">
        <f>IFERROR(('Q5 Actual'!P88-'Q5 Actual'!P87)/'Q5 Actual'!P87*100,"NA")</f>
        <v>0.83333333333333337</v>
      </c>
      <c r="T143" s="8">
        <f>IFERROR(('Q5 Actual'!Q88-'Q5 Actual'!Q87)/'Q5 Actual'!Q87*100,"NA")</f>
        <v>0.76380728554642274</v>
      </c>
      <c r="U143" s="8">
        <f>IFERROR(('Q5 Actual'!R88-'Q5 Actual'!R87)/'Q5 Actual'!R87*100,"NA")</f>
        <v>0.84490042245021468</v>
      </c>
      <c r="V143" s="8">
        <f>IFERROR(('Q5 Actual'!S88-'Q5 Actual'!S87)/'Q5 Actual'!S87*100,"NA")</f>
        <v>1.4627659574468008</v>
      </c>
      <c r="W143" s="8">
        <f>IFERROR(('Q5 Actual'!T88-'Q5 Actual'!T87)/'Q5 Actual'!T87*100,"NA")</f>
        <v>0.91799265605875158</v>
      </c>
      <c r="X143" s="8">
        <f>IFERROR(('Q5 Actual'!U88-'Q5 Actual'!U87)/'Q5 Actual'!U87*100,"NA")</f>
        <v>-0.12084592145014418</v>
      </c>
      <c r="Y143" s="8">
        <f>IFERROR(('Q5 Actual'!V88-'Q5 Actual'!V87)/'Q5 Actual'!V87*100,"NA")</f>
        <v>0.76238881829732441</v>
      </c>
      <c r="Z143" s="8">
        <f>IFERROR(('Q5 Actual'!X88-'Q5 Actual'!X87)/'Q5 Actual'!X87*100,"NA")</f>
        <v>0.59808612440191389</v>
      </c>
      <c r="AA143" s="8">
        <f>IFERROR(('Q5 Actual'!Y88-'Q5 Actual'!Y87)/'Q5 Actual'!Y87*100,"NA")</f>
        <v>1.5834348355663965</v>
      </c>
      <c r="AB143" s="8">
        <f>IFERROR(('Q5 Actual'!AA88-'Q5 Actual'!AA87)/'Q5 Actual'!AA87*100,"NA")</f>
        <v>0.81504702194358081</v>
      </c>
      <c r="AC143" s="8">
        <f>IFERROR(('Q5 Actual'!AB88-'Q5 Actual'!AB87)/'Q5 Actual'!AB87*100,"NA")</f>
        <v>0.4320987654320918</v>
      </c>
      <c r="AD143" s="8">
        <f>IFERROR(('Q5 Actual'!AC88-'Q5 Actual'!AC87)/'Q5 Actual'!AC87*100,"NA")</f>
        <v>0.5089058524173028</v>
      </c>
      <c r="AE143" s="8">
        <f>IFERROR(('Q5 Actual'!AD88-'Q5 Actual'!AD87)/'Q5 Actual'!AD87*100,"NA")</f>
        <v>0.7528230865746478</v>
      </c>
    </row>
    <row r="144" spans="1:31">
      <c r="A144" s="89" t="s">
        <v>33</v>
      </c>
      <c r="B144" s="12">
        <v>2022</v>
      </c>
      <c r="C144" s="12" t="s">
        <v>37</v>
      </c>
      <c r="D144" s="90">
        <f t="shared" si="2"/>
        <v>44652</v>
      </c>
      <c r="E144" s="67">
        <v>-8.5599999999999987</v>
      </c>
      <c r="F144" s="8">
        <f>IFERROR(('Q5 Actual'!W89-'Q5 Actual'!W88)/'Q5 Actual'!W88*100,"NA")</f>
        <v>3.6474164133738598</v>
      </c>
      <c r="G144" s="8">
        <f>IFERROR(('Q5 Actual'!Z89-'Q5 Actual'!Z88)/'Q5 Actual'!Z88*100,"NA")</f>
        <v>3.3073929961089648</v>
      </c>
      <c r="H144" s="8">
        <f>IFERROR(('Q5 Actual'!E89-'Q5 Actual'!E88)/'Q5 Actual'!E88*100,"NA")</f>
        <v>1.1060507482108115</v>
      </c>
      <c r="I144" s="8">
        <f>IFERROR(('Q5 Actual'!F89-'Q5 Actual'!F88)/'Q5 Actual'!F88*100,"NA")</f>
        <v>0</v>
      </c>
      <c r="J144" s="8">
        <f>IFERROR(('Q5 Actual'!G89-'Q5 Actual'!G88)/'Q5 Actual'!G88*100,"NA")</f>
        <v>-1.8485390578413801</v>
      </c>
      <c r="K144" s="8">
        <f>IFERROR(('Q5 Actual'!H89-'Q5 Actual'!H88)/'Q5 Actual'!H88*100,"NA")</f>
        <v>0.98400984009839754</v>
      </c>
      <c r="L144" s="8">
        <f>IFERROR(('Q5 Actual'!I89-'Q5 Actual'!I88)/'Q5 Actual'!I88*100,"NA")</f>
        <v>3.3333333333333335</v>
      </c>
      <c r="M144" s="8">
        <f>IFERROR(('Q5 Actual'!J89-'Q5 Actual'!J88)/'Q5 Actual'!J88*100,"NA")</f>
        <v>10.213032581453643</v>
      </c>
      <c r="N144" s="8">
        <f>IFERROR(('Q5 Actual'!K89-'Q5 Actual'!K88)/'Q5 Actual'!K88*100,"NA")</f>
        <v>1.2208067940551925</v>
      </c>
      <c r="O144" s="8">
        <f>IFERROR(('Q5 Actual'!L89-'Q5 Actual'!L88)/'Q5 Actual'!L88*100,"NA")</f>
        <v>0.36719706242349709</v>
      </c>
      <c r="P144" s="8">
        <f>IFERROR(('Q5 Actual'!M89-'Q5 Actual'!M88)/'Q5 Actual'!M88*100,"NA")</f>
        <v>0.16625103906899655</v>
      </c>
      <c r="Q144" s="8">
        <f>IFERROR(('Q5 Actual'!N89-'Q5 Actual'!N88)/'Q5 Actual'!N88*100,"NA")</f>
        <v>1.8889524899828345</v>
      </c>
      <c r="R144" s="8">
        <f>IFERROR(('Q5 Actual'!O89-'Q5 Actual'!O88)/'Q5 Actual'!O88*100,"NA")</f>
        <v>0.25461489497135947</v>
      </c>
      <c r="S144" s="8">
        <f>IFERROR(('Q5 Actual'!P89-'Q5 Actual'!P88)/'Q5 Actual'!P88*100,"NA")</f>
        <v>0.991735537190089</v>
      </c>
      <c r="T144" s="8">
        <f>IFERROR(('Q5 Actual'!Q89-'Q5 Actual'!Q88)/'Q5 Actual'!Q88*100,"NA")</f>
        <v>1.749271137026239</v>
      </c>
      <c r="U144" s="8">
        <f>IFERROR(('Q5 Actual'!R89-'Q5 Actual'!R88)/'Q5 Actual'!R88*100,"NA")</f>
        <v>0.77797725912627846</v>
      </c>
      <c r="V144" s="8">
        <f>IFERROR(('Q5 Actual'!S89-'Q5 Actual'!S88)/'Q5 Actual'!S88*100,"NA")</f>
        <v>1.2450851900393223</v>
      </c>
      <c r="W144" s="8">
        <f>IFERROR(('Q5 Actual'!T89-'Q5 Actual'!T88)/'Q5 Actual'!T88*100,"NA")</f>
        <v>0.84899939357186516</v>
      </c>
      <c r="X144" s="8">
        <f>IFERROR(('Q5 Actual'!U89-'Q5 Actual'!U88)/'Q5 Actual'!U88*100,"NA")</f>
        <v>1.0284331518451231</v>
      </c>
      <c r="Y144" s="8">
        <f>IFERROR(('Q5 Actual'!V89-'Q5 Actual'!V88)/'Q5 Actual'!V88*100,"NA")</f>
        <v>0.75662042875158708</v>
      </c>
      <c r="Z144" s="8">
        <f>IFERROR(('Q5 Actual'!X89-'Q5 Actual'!X88)/'Q5 Actual'!X88*100,"NA")</f>
        <v>0.47562425683710552</v>
      </c>
      <c r="AA144" s="8">
        <f>IFERROR(('Q5 Actual'!Y89-'Q5 Actual'!Y88)/'Q5 Actual'!Y88*100,"NA")</f>
        <v>0.95923261390886938</v>
      </c>
      <c r="AB144" s="8">
        <f>IFERROR(('Q5 Actual'!AA89-'Q5 Actual'!AA88)/'Q5 Actual'!AA88*100,"NA")</f>
        <v>0.87064676616914005</v>
      </c>
      <c r="AC144" s="8">
        <f>IFERROR(('Q5 Actual'!AB89-'Q5 Actual'!AB88)/'Q5 Actual'!AB88*100,"NA")</f>
        <v>0.79901659496005617</v>
      </c>
      <c r="AD144" s="8">
        <f>IFERROR(('Q5 Actual'!AC89-'Q5 Actual'!AC88)/'Q5 Actual'!AC88*100,"NA")</f>
        <v>-0.20253164556962314</v>
      </c>
      <c r="AE144" s="8">
        <f>IFERROR(('Q5 Actual'!AD89-'Q5 Actual'!AD88)/'Q5 Actual'!AD88*100,"NA")</f>
        <v>1.5566625155666252</v>
      </c>
    </row>
    <row r="145" spans="1:31">
      <c r="A145" s="89" t="s">
        <v>33</v>
      </c>
      <c r="B145" s="12">
        <v>2022</v>
      </c>
      <c r="C145" s="12" t="s">
        <v>38</v>
      </c>
      <c r="D145" s="90">
        <f t="shared" si="2"/>
        <v>44682</v>
      </c>
      <c r="E145" s="67">
        <v>7.8</v>
      </c>
      <c r="F145" s="8">
        <f>IFERROR(('Q5 Actual'!W90-'Q5 Actual'!W89)/'Q5 Actual'!W89*100,"NA")</f>
        <v>1.7595307917888565</v>
      </c>
      <c r="G145" s="8">
        <f>IFERROR(('Q5 Actual'!Z90-'Q5 Actual'!Z89)/'Q5 Actual'!Z89*100,"NA")</f>
        <v>6.2774639045821909E-2</v>
      </c>
      <c r="H145" s="8">
        <f>IFERROR(('Q5 Actual'!E90-'Q5 Actual'!E89)/'Q5 Actual'!E89*100,"NA")</f>
        <v>0.83655083655082563</v>
      </c>
      <c r="I145" s="8">
        <f>IFERROR(('Q5 Actual'!F90-'Q5 Actual'!F89)/'Q5 Actual'!F89*100,"NA")</f>
        <v>2.5023169601482746</v>
      </c>
      <c r="J145" s="8">
        <f>IFERROR(('Q5 Actual'!G90-'Q5 Actual'!G89)/'Q5 Actual'!G89*100,"NA")</f>
        <v>-0.30376670716889431</v>
      </c>
      <c r="K145" s="8">
        <f>IFERROR(('Q5 Actual'!H90-'Q5 Actual'!H89)/'Q5 Actual'!H89*100,"NA")</f>
        <v>0.73081607795372538</v>
      </c>
      <c r="L145" s="8">
        <f>IFERROR(('Q5 Actual'!I90-'Q5 Actual'!I89)/'Q5 Actual'!I89*100,"NA")</f>
        <v>1.881720430107527</v>
      </c>
      <c r="M145" s="8">
        <f>IFERROR(('Q5 Actual'!J90-'Q5 Actual'!J89)/'Q5 Actual'!J89*100,"NA")</f>
        <v>-0.79590676520750747</v>
      </c>
      <c r="N145" s="8">
        <f>IFERROR(('Q5 Actual'!K90-'Q5 Actual'!K89)/'Q5 Actual'!K89*100,"NA")</f>
        <v>6.554798112218144</v>
      </c>
      <c r="O145" s="8">
        <f>IFERROR(('Q5 Actual'!L90-'Q5 Actual'!L89)/'Q5 Actual'!L89*100,"NA")</f>
        <v>6.097560975609409E-2</v>
      </c>
      <c r="P145" s="8">
        <f>IFERROR(('Q5 Actual'!M90-'Q5 Actual'!M89)/'Q5 Actual'!M89*100,"NA")</f>
        <v>0.5809128630705418</v>
      </c>
      <c r="Q145" s="8">
        <f>IFERROR(('Q5 Actual'!N90-'Q5 Actual'!N89)/'Q5 Actual'!N89*100,"NA")</f>
        <v>1.9101123595505649</v>
      </c>
      <c r="R145" s="8">
        <f>IFERROR(('Q5 Actual'!O90-'Q5 Actual'!O89)/'Q5 Actual'!O89*100,"NA")</f>
        <v>0.63492063492063489</v>
      </c>
      <c r="S145" s="8">
        <f>IFERROR(('Q5 Actual'!P90-'Q5 Actual'!P89)/'Q5 Actual'!P89*100,"NA")</f>
        <v>0.87288597926895484</v>
      </c>
      <c r="T145" s="8">
        <f>IFERROR(('Q5 Actual'!Q90-'Q5 Actual'!Q89)/'Q5 Actual'!Q89*100,"NA")</f>
        <v>1.7191977077363898</v>
      </c>
      <c r="U145" s="8">
        <f>IFERROR(('Q5 Actual'!R90-'Q5 Actual'!R89)/'Q5 Actual'!R89*100,"NA")</f>
        <v>0.95011876484560231</v>
      </c>
      <c r="V145" s="8">
        <f>IFERROR(('Q5 Actual'!S90-'Q5 Actual'!S89)/'Q5 Actual'!S89*100,"NA")</f>
        <v>0.90614886731391953</v>
      </c>
      <c r="W145" s="8">
        <f>IFERROR(('Q5 Actual'!T90-'Q5 Actual'!T89)/'Q5 Actual'!T89*100,"NA")</f>
        <v>0.90198436560432937</v>
      </c>
      <c r="X145" s="8">
        <f>IFERROR(('Q5 Actual'!U90-'Q5 Actual'!U89)/'Q5 Actual'!U89*100,"NA")</f>
        <v>0.29940119760479045</v>
      </c>
      <c r="Y145" s="8">
        <f>IFERROR(('Q5 Actual'!V90-'Q5 Actual'!V89)/'Q5 Actual'!V89*100,"NA")</f>
        <v>0.81351689612013944</v>
      </c>
      <c r="Z145" s="8">
        <f>IFERROR(('Q5 Actual'!X90-'Q5 Actual'!X89)/'Q5 Actual'!X89*100,"NA")</f>
        <v>0.65088757396449359</v>
      </c>
      <c r="AA145" s="8">
        <f>IFERROR(('Q5 Actual'!Y90-'Q5 Actual'!Y89)/'Q5 Actual'!Y89*100,"NA")</f>
        <v>-0.11876484560571085</v>
      </c>
      <c r="AB145" s="8">
        <f>IFERROR(('Q5 Actual'!AA90-'Q5 Actual'!AA89)/'Q5 Actual'!AA89*100,"NA")</f>
        <v>0.61652281134401976</v>
      </c>
      <c r="AC145" s="8">
        <f>IFERROR(('Q5 Actual'!AB90-'Q5 Actual'!AB89)/'Q5 Actual'!AB89*100,"NA")</f>
        <v>0.73170731707316383</v>
      </c>
      <c r="AD145" s="8">
        <f>IFERROR(('Q5 Actual'!AC90-'Q5 Actual'!AC89)/'Q5 Actual'!AC89*100,"NA")</f>
        <v>0.20294266869609626</v>
      </c>
      <c r="AE145" s="8">
        <f>IFERROR(('Q5 Actual'!AD90-'Q5 Actual'!AD89)/'Q5 Actual'!AD89*100,"NA")</f>
        <v>0.42918454935623368</v>
      </c>
    </row>
    <row r="146" spans="1:31">
      <c r="A146" s="89" t="s">
        <v>33</v>
      </c>
      <c r="B146" s="12">
        <v>2022</v>
      </c>
      <c r="C146" s="12" t="s">
        <v>39</v>
      </c>
      <c r="D146" s="90">
        <f t="shared" si="2"/>
        <v>44713</v>
      </c>
      <c r="E146" s="67">
        <v>7.9200000000000008</v>
      </c>
      <c r="F146" s="8">
        <f>IFERROR(('Q5 Actual'!W91-'Q5 Actual'!W90)/'Q5 Actual'!W90*100,"NA")</f>
        <v>0.80691642651297157</v>
      </c>
      <c r="G146" s="8">
        <f>IFERROR(('Q5 Actual'!Z91-'Q5 Actual'!Z90)/'Q5 Actual'!Z90*100,"NA")</f>
        <v>-1.3801756587202114</v>
      </c>
      <c r="H146" s="8">
        <f>IFERROR(('Q5 Actual'!E91-'Q5 Actual'!E90)/'Q5 Actual'!E90*100,"NA")</f>
        <v>0.51052967453733977</v>
      </c>
      <c r="I146" s="8">
        <f>IFERROR(('Q5 Actual'!F91-'Q5 Actual'!F90)/'Q5 Actual'!F90*100,"NA")</f>
        <v>0.99457504520796447</v>
      </c>
      <c r="J146" s="8">
        <f>IFERROR(('Q5 Actual'!G91-'Q5 Actual'!G90)/'Q5 Actual'!G90*100,"NA")</f>
        <v>5.3016453382084201</v>
      </c>
      <c r="K146" s="8">
        <f>IFERROR(('Q5 Actual'!H91-'Q5 Actual'!H90)/'Q5 Actual'!H90*100,"NA")</f>
        <v>0.60459492140266025</v>
      </c>
      <c r="L146" s="8">
        <f>IFERROR(('Q5 Actual'!I91-'Q5 Actual'!I90)/'Q5 Actual'!I90*100,"NA")</f>
        <v>-0.47493403693931702</v>
      </c>
      <c r="M146" s="8">
        <f>IFERROR(('Q5 Actual'!J91-'Q5 Actual'!J90)/'Q5 Actual'!J90*100,"NA")</f>
        <v>-0.22922636103152186</v>
      </c>
      <c r="N146" s="8">
        <f>IFERROR(('Q5 Actual'!K91-'Q5 Actual'!K90)/'Q5 Actual'!K90*100,"NA")</f>
        <v>4.0846456692913442</v>
      </c>
      <c r="O146" s="8">
        <f>IFERROR(('Q5 Actual'!L91-'Q5 Actual'!L90)/'Q5 Actual'!L90*100,"NA")</f>
        <v>-0.30469226081657524</v>
      </c>
      <c r="P146" s="8">
        <f>IFERROR(('Q5 Actual'!M91-'Q5 Actual'!M90)/'Q5 Actual'!M90*100,"NA")</f>
        <v>0.16501650165016735</v>
      </c>
      <c r="Q146" s="8">
        <f>IFERROR(('Q5 Actual'!N91-'Q5 Actual'!N90)/'Q5 Actual'!N90*100,"NA")</f>
        <v>1.1576626240352779</v>
      </c>
      <c r="R146" s="8">
        <f>IFERROR(('Q5 Actual'!O91-'Q5 Actual'!O90)/'Q5 Actual'!O90*100,"NA")</f>
        <v>0.37854889589905005</v>
      </c>
      <c r="S146" s="8">
        <f>IFERROR(('Q5 Actual'!P91-'Q5 Actual'!P90)/'Q5 Actual'!P90*100,"NA")</f>
        <v>0.75716603569497332</v>
      </c>
      <c r="T146" s="8">
        <f>IFERROR(('Q5 Actual'!Q91-'Q5 Actual'!Q90)/'Q5 Actual'!Q90*100,"NA")</f>
        <v>1.0140845070422599</v>
      </c>
      <c r="U146" s="8">
        <f>IFERROR(('Q5 Actual'!R91-'Q5 Actual'!R90)/'Q5 Actual'!R90*100,"NA")</f>
        <v>0.94117647058823195</v>
      </c>
      <c r="V146" s="8">
        <f>IFERROR(('Q5 Actual'!S91-'Q5 Actual'!S90)/'Q5 Actual'!S90*100,"NA")</f>
        <v>0.96215522771007056</v>
      </c>
      <c r="W146" s="8">
        <f>IFERROR(('Q5 Actual'!T91-'Q5 Actual'!T90)/'Q5 Actual'!T90*100,"NA")</f>
        <v>0.95351609058402509</v>
      </c>
      <c r="X146" s="8">
        <f>IFERROR(('Q5 Actual'!U91-'Q5 Actual'!U90)/'Q5 Actual'!U90*100,"NA")</f>
        <v>-0.41791044776118724</v>
      </c>
      <c r="Y146" s="8">
        <f>IFERROR(('Q5 Actual'!V91-'Q5 Actual'!V90)/'Q5 Actual'!V90*100,"NA")</f>
        <v>0.62073246430788331</v>
      </c>
      <c r="Z146" s="8">
        <f>IFERROR(('Q5 Actual'!X91-'Q5 Actual'!X90)/'Q5 Actual'!X90*100,"NA")</f>
        <v>0.47031158142269924</v>
      </c>
      <c r="AA146" s="8">
        <f>IFERROR(('Q5 Actual'!Y91-'Q5 Actual'!Y90)/'Q5 Actual'!Y90*100,"NA")</f>
        <v>0.59453032104637338</v>
      </c>
      <c r="AB146" s="8">
        <f>IFERROR(('Q5 Actual'!AA91-'Q5 Actual'!AA90)/'Q5 Actual'!AA90*100,"NA")</f>
        <v>0.5514705882352976</v>
      </c>
      <c r="AC146" s="8">
        <f>IFERROR(('Q5 Actual'!AB91-'Q5 Actual'!AB90)/'Q5 Actual'!AB90*100,"NA")</f>
        <v>0.78692493946731934</v>
      </c>
      <c r="AD146" s="8">
        <f>IFERROR(('Q5 Actual'!AC91-'Q5 Actual'!AC90)/'Q5 Actual'!AC90*100,"NA")</f>
        <v>0.40506329113924627</v>
      </c>
      <c r="AE146" s="8">
        <f>IFERROR(('Q5 Actual'!AD91-'Q5 Actual'!AD90)/'Q5 Actual'!AD90*100,"NA")</f>
        <v>0</v>
      </c>
    </row>
    <row r="147" spans="1:31">
      <c r="A147" s="89" t="s">
        <v>33</v>
      </c>
      <c r="B147" s="12">
        <v>2022</v>
      </c>
      <c r="C147" s="12" t="s">
        <v>40</v>
      </c>
      <c r="D147" s="90">
        <f t="shared" si="2"/>
        <v>44743</v>
      </c>
      <c r="E147" s="67">
        <v>-7.5</v>
      </c>
      <c r="F147" s="8">
        <f>IFERROR(('Q5 Actual'!W92-'Q5 Actual'!W91)/'Q5 Actual'!W91*100,"NA")</f>
        <v>2.6300743281875323</v>
      </c>
      <c r="G147" s="8">
        <f>IFERROR(('Q5 Actual'!Z92-'Q5 Actual'!Z91)/'Q5 Actual'!Z91*100,"NA")</f>
        <v>0.12722646310433655</v>
      </c>
      <c r="H147" s="8">
        <f>IFERROR(('Q5 Actual'!E92-'Q5 Actual'!E91)/'Q5 Actual'!E91*100,"NA")</f>
        <v>1.1428571428571501</v>
      </c>
      <c r="I147" s="8">
        <f>IFERROR(('Q5 Actual'!F92-'Q5 Actual'!F91)/'Q5 Actual'!F91*100,"NA")</f>
        <v>-2.8200537153088683</v>
      </c>
      <c r="J147" s="8">
        <f>IFERROR(('Q5 Actual'!G92-'Q5 Actual'!G91)/'Q5 Actual'!G91*100,"NA")</f>
        <v>2.1990740740740642</v>
      </c>
      <c r="K147" s="8">
        <f>IFERROR(('Q5 Actual'!H92-'Q5 Actual'!H91)/'Q5 Actual'!H91*100,"NA")</f>
        <v>0.42067307692307004</v>
      </c>
      <c r="L147" s="8">
        <f>IFERROR(('Q5 Actual'!I92-'Q5 Actual'!I91)/'Q5 Actual'!I91*100,"NA")</f>
        <v>-2.014846235418867</v>
      </c>
      <c r="M147" s="8">
        <f>IFERROR(('Q5 Actual'!J92-'Q5 Actual'!J91)/'Q5 Actual'!J91*100,"NA")</f>
        <v>3.1016657093624387</v>
      </c>
      <c r="N147" s="8">
        <f>IFERROR(('Q5 Actual'!K92-'Q5 Actual'!K91)/'Q5 Actual'!K91*100,"NA")</f>
        <v>-1.4184397163120568</v>
      </c>
      <c r="O147" s="8">
        <f>IFERROR(('Q5 Actual'!L92-'Q5 Actual'!L91)/'Q5 Actual'!L91*100,"NA")</f>
        <v>0.24449877750611593</v>
      </c>
      <c r="P147" s="8">
        <f>IFERROR(('Q5 Actual'!M92-'Q5 Actual'!M91)/'Q5 Actual'!M91*100,"NA")</f>
        <v>8.2372322899501083E-2</v>
      </c>
      <c r="Q147" s="8">
        <f>IFERROR(('Q5 Actual'!N92-'Q5 Actual'!N91)/'Q5 Actual'!N91*100,"NA")</f>
        <v>1.5258855585831126</v>
      </c>
      <c r="R147" s="8">
        <f>IFERROR(('Q5 Actual'!O92-'Q5 Actual'!O91)/'Q5 Actual'!O91*100,"NA")</f>
        <v>0.43997485857952051</v>
      </c>
      <c r="S147" s="8">
        <f>IFERROR(('Q5 Actual'!P92-'Q5 Actual'!P91)/'Q5 Actual'!P91*100,"NA")</f>
        <v>0.75147611379494206</v>
      </c>
      <c r="T147" s="8">
        <f>IFERROR(('Q5 Actual'!Q92-'Q5 Actual'!Q91)/'Q5 Actual'!Q91*100,"NA")</f>
        <v>5.5772448410482046E-2</v>
      </c>
      <c r="U147" s="8">
        <f>IFERROR(('Q5 Actual'!R92-'Q5 Actual'!R91)/'Q5 Actual'!R91*100,"NA")</f>
        <v>0.64102564102563775</v>
      </c>
      <c r="V147" s="8">
        <f>IFERROR(('Q5 Actual'!S92-'Q5 Actual'!S91)/'Q5 Actual'!S91*100,"NA")</f>
        <v>0.82592121982209854</v>
      </c>
      <c r="W147" s="8">
        <f>IFERROR(('Q5 Actual'!T92-'Q5 Actual'!T91)/'Q5 Actual'!T91*100,"NA")</f>
        <v>0.70838252656433798</v>
      </c>
      <c r="X147" s="8">
        <f>IFERROR(('Q5 Actual'!U92-'Q5 Actual'!U91)/'Q5 Actual'!U91*100,"NA")</f>
        <v>0.59952038369304561</v>
      </c>
      <c r="Y147" s="8">
        <f>IFERROR(('Q5 Actual'!V92-'Q5 Actual'!V91)/'Q5 Actual'!V91*100,"NA")</f>
        <v>0.61690314620604569</v>
      </c>
      <c r="Z147" s="8">
        <f>IFERROR(('Q5 Actual'!X92-'Q5 Actual'!X91)/'Q5 Actual'!X91*100,"NA")</f>
        <v>0.46811000585136509</v>
      </c>
      <c r="AA147" s="8">
        <f>IFERROR(('Q5 Actual'!Y92-'Q5 Actual'!Y91)/'Q5 Actual'!Y91*100,"NA")</f>
        <v>0.35460992907802769</v>
      </c>
      <c r="AB147" s="8">
        <f>IFERROR(('Q5 Actual'!AA92-'Q5 Actual'!AA91)/'Q5 Actual'!AA91*100,"NA")</f>
        <v>0.30469226081657524</v>
      </c>
      <c r="AC147" s="8">
        <f>IFERROR(('Q5 Actual'!AB92-'Q5 Actual'!AB91)/'Q5 Actual'!AB91*100,"NA")</f>
        <v>1.5615615615615581</v>
      </c>
      <c r="AD147" s="8">
        <f>IFERROR(('Q5 Actual'!AC92-'Q5 Actual'!AC91)/'Q5 Actual'!AC91*100,"NA")</f>
        <v>0.15128593040846341</v>
      </c>
      <c r="AE147" s="8">
        <f>IFERROR(('Q5 Actual'!AD92-'Q5 Actual'!AD91)/'Q5 Actual'!AD91*100,"NA")</f>
        <v>0.54945054945053551</v>
      </c>
    </row>
    <row r="148" spans="1:31">
      <c r="A148" s="89" t="s">
        <v>33</v>
      </c>
      <c r="B148" s="12">
        <v>2022</v>
      </c>
      <c r="C148" s="12" t="s">
        <v>41</v>
      </c>
      <c r="D148" s="90">
        <f t="shared" si="2"/>
        <v>44774</v>
      </c>
      <c r="E148" s="67">
        <v>-9.5500000000000007</v>
      </c>
      <c r="F148" s="8">
        <f>IFERROR(('Q5 Actual'!W93-'Q5 Actual'!W92)/'Q5 Actual'!W92*100,"NA")</f>
        <v>-0.61281337047353446</v>
      </c>
      <c r="G148" s="8">
        <f>IFERROR(('Q5 Actual'!Z93-'Q5 Actual'!Z92)/'Q5 Actual'!Z92*100,"NA")</f>
        <v>0.19059720457432208</v>
      </c>
      <c r="H148" s="8">
        <f>IFERROR(('Q5 Actual'!E93-'Q5 Actual'!E92)/'Q5 Actual'!E92*100,"NA")</f>
        <v>1.7576898932831029</v>
      </c>
      <c r="I148" s="8">
        <f>IFERROR(('Q5 Actual'!F93-'Q5 Actual'!F92)/'Q5 Actual'!F92*100,"NA")</f>
        <v>-2.8558268079226115</v>
      </c>
      <c r="J148" s="8">
        <f>IFERROR(('Q5 Actual'!G93-'Q5 Actual'!G92)/'Q5 Actual'!G92*100,"NA")</f>
        <v>-3.3975084937712348</v>
      </c>
      <c r="K148" s="8">
        <f>IFERROR(('Q5 Actual'!H93-'Q5 Actual'!H92)/'Q5 Actual'!H92*100,"NA")</f>
        <v>0.77797725912627846</v>
      </c>
      <c r="L148" s="8">
        <f>IFERROR(('Q5 Actual'!I93-'Q5 Actual'!I92)/'Q5 Actual'!I92*100,"NA")</f>
        <v>-1.2445887445887507</v>
      </c>
      <c r="M148" s="8">
        <f>IFERROR(('Q5 Actual'!J93-'Q5 Actual'!J92)/'Q5 Actual'!J92*100,"NA")</f>
        <v>-1.3370473537604488</v>
      </c>
      <c r="N148" s="8">
        <f>IFERROR(('Q5 Actual'!K93-'Q5 Actual'!K92)/'Q5 Actual'!K92*100,"NA")</f>
        <v>2.2062350119904051</v>
      </c>
      <c r="O148" s="8">
        <f>IFERROR(('Q5 Actual'!L93-'Q5 Actual'!L92)/'Q5 Actual'!L92*100,"NA")</f>
        <v>2.0121951219512266</v>
      </c>
      <c r="P148" s="8">
        <f>IFERROR(('Q5 Actual'!M93-'Q5 Actual'!M92)/'Q5 Actual'!M92*100,"NA")</f>
        <v>0.57613168724280073</v>
      </c>
      <c r="Q148" s="8">
        <f>IFERROR(('Q5 Actual'!N93-'Q5 Actual'!N92)/'Q5 Actual'!N92*100,"NA")</f>
        <v>1.8250134192163054</v>
      </c>
      <c r="R148" s="8">
        <f>IFERROR(('Q5 Actual'!O93-'Q5 Actual'!O92)/'Q5 Actual'!O92*100,"NA")</f>
        <v>0.43804755944930451</v>
      </c>
      <c r="S148" s="8">
        <f>IFERROR(('Q5 Actual'!P93-'Q5 Actual'!P92)/'Q5 Actual'!P92*100,"NA")</f>
        <v>0.6393180607352249</v>
      </c>
      <c r="T148" s="8">
        <f>IFERROR(('Q5 Actual'!Q93-'Q5 Actual'!Q92)/'Q5 Actual'!Q92*100,"NA")</f>
        <v>0.55741360089186176</v>
      </c>
      <c r="U148" s="8">
        <f>IFERROR(('Q5 Actual'!R93-'Q5 Actual'!R92)/'Q5 Actual'!R92*100,"NA")</f>
        <v>0.57903879559930527</v>
      </c>
      <c r="V148" s="8">
        <f>IFERROR(('Q5 Actual'!S93-'Q5 Actual'!S92)/'Q5 Actual'!S92*100,"NA")</f>
        <v>0.81915563957152582</v>
      </c>
      <c r="W148" s="8">
        <f>IFERROR(('Q5 Actual'!T93-'Q5 Actual'!T92)/'Q5 Actual'!T92*100,"NA")</f>
        <v>0.58616647127784294</v>
      </c>
      <c r="X148" s="8">
        <f>IFERROR(('Q5 Actual'!U93-'Q5 Actual'!U92)/'Q5 Actual'!U92*100,"NA")</f>
        <v>0.71513706793801468</v>
      </c>
      <c r="Y148" s="8">
        <f>IFERROR(('Q5 Actual'!V93-'Q5 Actual'!V92)/'Q5 Actual'!V92*100,"NA")</f>
        <v>0.67443286327406149</v>
      </c>
      <c r="Z148" s="8">
        <f>IFERROR(('Q5 Actual'!X93-'Q5 Actual'!X92)/'Q5 Actual'!X92*100,"NA")</f>
        <v>0.52417006406523348</v>
      </c>
      <c r="AA148" s="8">
        <f>IFERROR(('Q5 Actual'!Y93-'Q5 Actual'!Y92)/'Q5 Actual'!Y92*100,"NA")</f>
        <v>0.94228504122496715</v>
      </c>
      <c r="AB148" s="8">
        <f>IFERROR(('Q5 Actual'!AA93-'Q5 Actual'!AA92)/'Q5 Actual'!AA92*100,"NA")</f>
        <v>0.30376670716889431</v>
      </c>
      <c r="AC148" s="8">
        <f>IFERROR(('Q5 Actual'!AB93-'Q5 Actual'!AB92)/'Q5 Actual'!AB92*100,"NA")</f>
        <v>0.47309284447073408</v>
      </c>
      <c r="AD148" s="8">
        <f>IFERROR(('Q5 Actual'!AC93-'Q5 Actual'!AC92)/'Q5 Actual'!AC92*100,"NA")</f>
        <v>5.035246727089341E-2</v>
      </c>
      <c r="AE148" s="8">
        <f>IFERROR(('Q5 Actual'!AD93-'Q5 Actual'!AD92)/'Q5 Actual'!AD92*100,"NA")</f>
        <v>0.42501517911355013</v>
      </c>
    </row>
    <row r="149" spans="1:31">
      <c r="A149" s="89" t="s">
        <v>33</v>
      </c>
      <c r="B149" s="12">
        <v>2022</v>
      </c>
      <c r="C149" s="12" t="s">
        <v>42</v>
      </c>
      <c r="D149" s="90">
        <f t="shared" si="2"/>
        <v>44805</v>
      </c>
      <c r="E149" s="67">
        <v>-7.76</v>
      </c>
      <c r="F149" s="8">
        <f>IFERROR(('Q5 Actual'!W94-'Q5 Actual'!W93)/'Q5 Actual'!W93*100,"NA")</f>
        <v>0.44843049327353307</v>
      </c>
      <c r="G149" s="8">
        <f>IFERROR(('Q5 Actual'!Z94-'Q5 Actual'!Z93)/'Q5 Actual'!Z93*100,"NA")</f>
        <v>0.31705770450221943</v>
      </c>
      <c r="H149" s="8">
        <f>IFERROR(('Q5 Actual'!E94-'Q5 Actual'!E93)/'Q5 Actual'!E93*100,"NA")</f>
        <v>1.7273288093769348</v>
      </c>
      <c r="I149" s="8">
        <f>IFERROR(('Q5 Actual'!F94-'Q5 Actual'!F93)/'Q5 Actual'!F93*100,"NA")</f>
        <v>1.3276434329065827</v>
      </c>
      <c r="J149" s="8">
        <f>IFERROR(('Q5 Actual'!G94-'Q5 Actual'!G93)/'Q5 Actual'!G93*100,"NA")</f>
        <v>0.17584994138335955</v>
      </c>
      <c r="K149" s="8">
        <f>IFERROR(('Q5 Actual'!H94-'Q5 Actual'!H93)/'Q5 Actual'!H93*100,"NA")</f>
        <v>1.0095011876484494</v>
      </c>
      <c r="L149" s="8">
        <f>IFERROR(('Q5 Actual'!I94-'Q5 Actual'!I93)/'Q5 Actual'!I93*100,"NA")</f>
        <v>-1.7534246575342403</v>
      </c>
      <c r="M149" s="8">
        <f>IFERROR(('Q5 Actual'!J94-'Q5 Actual'!J93)/'Q5 Actual'!J93*100,"NA")</f>
        <v>-5.4206662902315044</v>
      </c>
      <c r="N149" s="8">
        <f>IFERROR(('Q5 Actual'!K94-'Q5 Actual'!K93)/'Q5 Actual'!K93*100,"NA")</f>
        <v>3.6133270764899188</v>
      </c>
      <c r="O149" s="8">
        <f>IFERROR(('Q5 Actual'!L94-'Q5 Actual'!L93)/'Q5 Actual'!L93*100,"NA")</f>
        <v>1.1356843992827119</v>
      </c>
      <c r="P149" s="8">
        <f>IFERROR(('Q5 Actual'!M94-'Q5 Actual'!M93)/'Q5 Actual'!M93*100,"NA")</f>
        <v>0.73649754500817632</v>
      </c>
      <c r="Q149" s="8">
        <f>IFERROR(('Q5 Actual'!N94-'Q5 Actual'!N93)/'Q5 Actual'!N93*100,"NA")</f>
        <v>2.0558777016341621</v>
      </c>
      <c r="R149" s="8">
        <f>IFERROR(('Q5 Actual'!O94-'Q5 Actual'!O93)/'Q5 Actual'!O93*100,"NA")</f>
        <v>0.37383177570093101</v>
      </c>
      <c r="S149" s="8">
        <f>IFERROR(('Q5 Actual'!P94-'Q5 Actual'!P93)/'Q5 Actual'!P93*100,"NA")</f>
        <v>0.79407093700370568</v>
      </c>
      <c r="T149" s="8">
        <f>IFERROR(('Q5 Actual'!Q94-'Q5 Actual'!Q93)/'Q5 Actual'!Q93*100,"NA")</f>
        <v>0.77605321507760849</v>
      </c>
      <c r="U149" s="8">
        <f>IFERROR(('Q5 Actual'!R94-'Q5 Actual'!R93)/'Q5 Actual'!R93*100,"NA")</f>
        <v>0.74841681059298304</v>
      </c>
      <c r="V149" s="8">
        <f>IFERROR(('Q5 Actual'!S94-'Q5 Actual'!S93)/'Q5 Actual'!S93*100,"NA")</f>
        <v>1.0624999999999929</v>
      </c>
      <c r="W149" s="8">
        <f>IFERROR(('Q5 Actual'!T94-'Q5 Actual'!T93)/'Q5 Actual'!T93*100,"NA")</f>
        <v>0.81585081585081931</v>
      </c>
      <c r="X149" s="8">
        <f>IFERROR(('Q5 Actual'!U94-'Q5 Actual'!U93)/'Q5 Actual'!U93*100,"NA")</f>
        <v>0.29585798816568049</v>
      </c>
      <c r="Y149" s="8">
        <f>IFERROR(('Q5 Actual'!V94-'Q5 Actual'!V93)/'Q5 Actual'!V93*100,"NA")</f>
        <v>0.487210718635817</v>
      </c>
      <c r="Z149" s="8">
        <f>IFERROR(('Q5 Actual'!X94-'Q5 Actual'!X93)/'Q5 Actual'!X93*100,"NA")</f>
        <v>0.69524913093859619</v>
      </c>
      <c r="AA149" s="8">
        <f>IFERROR(('Q5 Actual'!Y94-'Q5 Actual'!Y93)/'Q5 Actual'!Y93*100,"NA")</f>
        <v>-0.17502917152859471</v>
      </c>
      <c r="AB149" s="8">
        <f>IFERROR(('Q5 Actual'!AA94-'Q5 Actual'!AA93)/'Q5 Actual'!AA93*100,"NA")</f>
        <v>0.42398546335555243</v>
      </c>
      <c r="AC149" s="8">
        <f>IFERROR(('Q5 Actual'!AB94-'Q5 Actual'!AB93)/'Q5 Actual'!AB93*100,"NA")</f>
        <v>0.58858151854031782</v>
      </c>
      <c r="AD149" s="8">
        <f>IFERROR(('Q5 Actual'!AC94-'Q5 Actual'!AC93)/'Q5 Actual'!AC93*100,"NA")</f>
        <v>0.50327126321087068</v>
      </c>
      <c r="AE149" s="8">
        <f>IFERROR(('Q5 Actual'!AD94-'Q5 Actual'!AD93)/'Q5 Actual'!AD93*100,"NA")</f>
        <v>0.42321644498185523</v>
      </c>
    </row>
    <row r="150" spans="1:31">
      <c r="A150" s="89" t="s">
        <v>33</v>
      </c>
      <c r="B150" s="12">
        <v>2022</v>
      </c>
      <c r="C150" s="12" t="s">
        <v>43</v>
      </c>
      <c r="D150" s="90">
        <f t="shared" si="2"/>
        <v>44835</v>
      </c>
      <c r="E150" s="67">
        <v>5.9799999999999995</v>
      </c>
      <c r="F150" s="8">
        <f>IFERROR(('Q5 Actual'!W95-'Q5 Actual'!W94)/'Q5 Actual'!W94*100,"NA")</f>
        <v>0.44642857142857784</v>
      </c>
      <c r="G150" s="8">
        <f>IFERROR(('Q5 Actual'!Z95-'Q5 Actual'!Z94)/'Q5 Actual'!Z94*100,"NA")</f>
        <v>0.37926675094818124</v>
      </c>
      <c r="H150" s="8">
        <f>IFERROR(('Q5 Actual'!E95-'Q5 Actual'!E94)/'Q5 Actual'!E94*100,"NA")</f>
        <v>0.90964220739842316</v>
      </c>
      <c r="I150" s="8">
        <f>IFERROR(('Q5 Actual'!F95-'Q5 Actual'!F94)/'Q5 Actual'!F94*100,"NA")</f>
        <v>0.56153486195602109</v>
      </c>
      <c r="J150" s="8">
        <f>IFERROR(('Q5 Actual'!G95-'Q5 Actual'!G94)/'Q5 Actual'!G94*100,"NA")</f>
        <v>0.58513750731421887</v>
      </c>
      <c r="K150" s="8">
        <f>IFERROR(('Q5 Actual'!H95-'Q5 Actual'!H94)/'Q5 Actual'!H94*100,"NA")</f>
        <v>0.5291005291005324</v>
      </c>
      <c r="L150" s="8">
        <f>IFERROR(('Q5 Actual'!I95-'Q5 Actual'!I94)/'Q5 Actual'!I94*100,"NA")</f>
        <v>-0.89235917456777603</v>
      </c>
      <c r="M150" s="8">
        <f>IFERROR(('Q5 Actual'!J95-'Q5 Actual'!J94)/'Q5 Actual'!J94*100,"NA")</f>
        <v>-1.0746268656716487</v>
      </c>
      <c r="N150" s="8">
        <f>IFERROR(('Q5 Actual'!K95-'Q5 Actual'!K94)/'Q5 Actual'!K94*100,"NA")</f>
        <v>3.5326086956521658</v>
      </c>
      <c r="O150" s="8">
        <f>IFERROR(('Q5 Actual'!L95-'Q5 Actual'!L94)/'Q5 Actual'!L94*100,"NA")</f>
        <v>0.41371158392436003</v>
      </c>
      <c r="P150" s="8">
        <f>IFERROR(('Q5 Actual'!M95-'Q5 Actual'!M94)/'Q5 Actual'!M94*100,"NA")</f>
        <v>0.24370430544273874</v>
      </c>
      <c r="Q150" s="8">
        <f>IFERROR(('Q5 Actual'!N95-'Q5 Actual'!N94)/'Q5 Actual'!N94*100,"NA")</f>
        <v>1.446280991735543</v>
      </c>
      <c r="R150" s="8">
        <f>IFERROR(('Q5 Actual'!O95-'Q5 Actual'!O94)/'Q5 Actual'!O94*100,"NA")</f>
        <v>0.31036623215394166</v>
      </c>
      <c r="S150" s="8">
        <f>IFERROR(('Q5 Actual'!P95-'Q5 Actual'!P94)/'Q5 Actual'!P94*100,"NA")</f>
        <v>0.57773109243697174</v>
      </c>
      <c r="T150" s="8">
        <f>IFERROR(('Q5 Actual'!Q95-'Q5 Actual'!Q94)/'Q5 Actual'!Q94*100,"NA")</f>
        <v>0.82508250825082496</v>
      </c>
      <c r="U150" s="8">
        <f>IFERROR(('Q5 Actual'!R95-'Q5 Actual'!R94)/'Q5 Actual'!R94*100,"NA")</f>
        <v>0.2857142857142857</v>
      </c>
      <c r="V150" s="8">
        <f>IFERROR(('Q5 Actual'!S95-'Q5 Actual'!S94)/'Q5 Actual'!S94*100,"NA")</f>
        <v>0.55658627087198875</v>
      </c>
      <c r="W150" s="8">
        <f>IFERROR(('Q5 Actual'!T95-'Q5 Actual'!T94)/'Q5 Actual'!T94*100,"NA")</f>
        <v>0.34682080924855163</v>
      </c>
      <c r="X150" s="8">
        <f>IFERROR(('Q5 Actual'!U95-'Q5 Actual'!U94)/'Q5 Actual'!U94*100,"NA")</f>
        <v>1.0029498525073679</v>
      </c>
      <c r="Y150" s="8">
        <f>IFERROR(('Q5 Actual'!V95-'Q5 Actual'!V94)/'Q5 Actual'!V94*100,"NA")</f>
        <v>0.60606060606060608</v>
      </c>
      <c r="Z150" s="8">
        <f>IFERROR(('Q5 Actual'!X95-'Q5 Actual'!X94)/'Q5 Actual'!X94*100,"NA")</f>
        <v>0.51783659378594771</v>
      </c>
      <c r="AA150" s="8">
        <f>IFERROR(('Q5 Actual'!Y95-'Q5 Actual'!Y94)/'Q5 Actual'!Y94*100,"NA")</f>
        <v>0.70134424313268096</v>
      </c>
      <c r="AB150" s="8">
        <f>IFERROR(('Q5 Actual'!AA95-'Q5 Actual'!AA94)/'Q5 Actual'!AA94*100,"NA")</f>
        <v>0.30156815440289503</v>
      </c>
      <c r="AC150" s="8">
        <f>IFERROR(('Q5 Actual'!AB95-'Q5 Actual'!AB94)/'Q5 Actual'!AB94*100,"NA")</f>
        <v>0.17554125219425568</v>
      </c>
      <c r="AD150" s="8">
        <f>IFERROR(('Q5 Actual'!AC95-'Q5 Actual'!AC94)/'Q5 Actual'!AC94*100,"NA")</f>
        <v>0.20030045067601687</v>
      </c>
      <c r="AE150" s="8">
        <f>IFERROR(('Q5 Actual'!AD95-'Q5 Actual'!AD94)/'Q5 Actual'!AD94*100,"NA")</f>
        <v>0.4214328717640079</v>
      </c>
    </row>
    <row r="151" spans="1:31">
      <c r="A151" s="89" t="s">
        <v>33</v>
      </c>
      <c r="B151" s="12">
        <v>2022</v>
      </c>
      <c r="C151" s="12" t="s">
        <v>45</v>
      </c>
      <c r="D151" s="90">
        <f t="shared" si="2"/>
        <v>44866</v>
      </c>
      <c r="E151" s="67">
        <v>-2.81</v>
      </c>
      <c r="F151" s="8">
        <f>IFERROR(('Q5 Actual'!W96-'Q5 Actual'!W95)/'Q5 Actual'!W95*100,"NA")</f>
        <v>0.16666666666667299</v>
      </c>
      <c r="G151" s="8">
        <f>IFERROR(('Q5 Actual'!Z96-'Q5 Actual'!Z95)/'Q5 Actual'!Z95*100,"NA")</f>
        <v>6.2972292191432189E-2</v>
      </c>
      <c r="H151" s="8">
        <f>IFERROR(('Q5 Actual'!E96-'Q5 Actual'!E95)/'Q5 Actual'!E95*100,"NA")</f>
        <v>1.2019230769230769</v>
      </c>
      <c r="I151" s="8">
        <f>IFERROR(('Q5 Actual'!F96-'Q5 Actual'!F95)/'Q5 Actual'!F95*100,"NA")</f>
        <v>-0.69799906933457423</v>
      </c>
      <c r="J151" s="8">
        <f>IFERROR(('Q5 Actual'!G96-'Q5 Actual'!G95)/'Q5 Actual'!G95*100,"NA")</f>
        <v>6.5735892961023747</v>
      </c>
      <c r="K151" s="8">
        <f>IFERROR(('Q5 Actual'!H96-'Q5 Actual'!H95)/'Q5 Actual'!H95*100,"NA")</f>
        <v>0.76023391812866159</v>
      </c>
      <c r="L151" s="8">
        <f>IFERROR(('Q5 Actual'!I96-'Q5 Actual'!I95)/'Q5 Actual'!I95*100,"NA")</f>
        <v>1.2943162633652288</v>
      </c>
      <c r="M151" s="8">
        <f>IFERROR(('Q5 Actual'!J96-'Q5 Actual'!J95)/'Q5 Actual'!J95*100,"NA")</f>
        <v>-1.8708509354254645</v>
      </c>
      <c r="N151" s="8">
        <f>IFERROR(('Q5 Actual'!K96-'Q5 Actual'!K95)/'Q5 Actual'!K95*100,"NA")</f>
        <v>-10.104986876640417</v>
      </c>
      <c r="O151" s="8">
        <f>IFERROR(('Q5 Actual'!L96-'Q5 Actual'!L95)/'Q5 Actual'!L95*100,"NA")</f>
        <v>0.64743967039434624</v>
      </c>
      <c r="P151" s="8">
        <f>IFERROR(('Q5 Actual'!M96-'Q5 Actual'!M95)/'Q5 Actual'!M95*100,"NA")</f>
        <v>0</v>
      </c>
      <c r="Q151" s="8">
        <f>IFERROR(('Q5 Actual'!N96-'Q5 Actual'!N95)/'Q5 Actual'!N95*100,"NA")</f>
        <v>1.2219959266802474</v>
      </c>
      <c r="R151" s="8">
        <f>IFERROR(('Q5 Actual'!O96-'Q5 Actual'!O95)/'Q5 Actual'!O95*100,"NA")</f>
        <v>0.3094059405940594</v>
      </c>
      <c r="S151" s="8">
        <f>IFERROR(('Q5 Actual'!P96-'Q5 Actual'!P95)/'Q5 Actual'!P95*100,"NA")</f>
        <v>0.4699738903394286</v>
      </c>
      <c r="T151" s="8">
        <f>IFERROR(('Q5 Actual'!Q96-'Q5 Actual'!Q95)/'Q5 Actual'!Q95*100,"NA")</f>
        <v>-1.0911074740861975</v>
      </c>
      <c r="U151" s="8">
        <f>IFERROR(('Q5 Actual'!R96-'Q5 Actual'!R95)/'Q5 Actual'!R95*100,"NA")</f>
        <v>0.68376068376067722</v>
      </c>
      <c r="V151" s="8">
        <f>IFERROR(('Q5 Actual'!S96-'Q5 Actual'!S95)/'Q5 Actual'!S95*100,"NA")</f>
        <v>0.55350553505535405</v>
      </c>
      <c r="W151" s="8">
        <f>IFERROR(('Q5 Actual'!T96-'Q5 Actual'!T95)/'Q5 Actual'!T95*100,"NA")</f>
        <v>0.63364055299538846</v>
      </c>
      <c r="X151" s="8">
        <f>IFERROR(('Q5 Actual'!U96-'Q5 Actual'!U95)/'Q5 Actual'!U95*100,"NA")</f>
        <v>0.35046728971963947</v>
      </c>
      <c r="Y151" s="8">
        <f>IFERROR(('Q5 Actual'!V96-'Q5 Actual'!V95)/'Q5 Actual'!V95*100,"NA")</f>
        <v>0.54216867469879859</v>
      </c>
      <c r="Z151" s="8">
        <f>IFERROR(('Q5 Actual'!X96-'Q5 Actual'!X95)/'Q5 Actual'!X95*100,"NA")</f>
        <v>0.6296508299942889</v>
      </c>
      <c r="AA151" s="8">
        <f>IFERROR(('Q5 Actual'!Y96-'Q5 Actual'!Y95)/'Q5 Actual'!Y95*100,"NA")</f>
        <v>0.87057457922228665</v>
      </c>
      <c r="AB151" s="8">
        <f>IFERROR(('Q5 Actual'!AA96-'Q5 Actual'!AA95)/'Q5 Actual'!AA95*100,"NA")</f>
        <v>0.24052916416114084</v>
      </c>
      <c r="AC151" s="8">
        <f>IFERROR(('Q5 Actual'!AB96-'Q5 Actual'!AB95)/'Q5 Actual'!AB95*100,"NA")</f>
        <v>0.17523364485981974</v>
      </c>
      <c r="AD151" s="8">
        <f>IFERROR(('Q5 Actual'!AC96-'Q5 Actual'!AC95)/'Q5 Actual'!AC95*100,"NA")</f>
        <v>0.24987506246876562</v>
      </c>
      <c r="AE151" s="8">
        <f>IFERROR(('Q5 Actual'!AD96-'Q5 Actual'!AD95)/'Q5 Actual'!AD95*100,"NA")</f>
        <v>0.35971223021582388</v>
      </c>
    </row>
    <row r="152" spans="1:31">
      <c r="A152" s="89" t="s">
        <v>33</v>
      </c>
      <c r="B152" s="12">
        <v>2022</v>
      </c>
      <c r="C152" s="12" t="s">
        <v>46</v>
      </c>
      <c r="D152" s="90">
        <f t="shared" si="2"/>
        <v>44896</v>
      </c>
      <c r="E152" s="67">
        <v>-10.59</v>
      </c>
      <c r="F152" s="8">
        <f>IFERROR(('Q5 Actual'!W97-'Q5 Actual'!W96)/'Q5 Actual'!W96*100,"NA")</f>
        <v>0.16638935108152131</v>
      </c>
      <c r="G152" s="8">
        <f>IFERROR(('Q5 Actual'!Z97-'Q5 Actual'!Z96)/'Q5 Actual'!Z96*100,"NA")</f>
        <v>0.31466331025802385</v>
      </c>
      <c r="H152" s="8">
        <f>IFERROR(('Q5 Actual'!E97-'Q5 Actual'!E96)/'Q5 Actual'!E96*100,"NA")</f>
        <v>1.0688836104512962</v>
      </c>
      <c r="I152" s="8">
        <f>IFERROR(('Q5 Actual'!F97-'Q5 Actual'!F96)/'Q5 Actual'!F96*100,"NA")</f>
        <v>-0.23430178069353325</v>
      </c>
      <c r="J152" s="8">
        <f>IFERROR(('Q5 Actual'!G97-'Q5 Actual'!G96)/'Q5 Actual'!G96*100,"NA")</f>
        <v>4.7489082969432408</v>
      </c>
      <c r="K152" s="8">
        <f>IFERROR(('Q5 Actual'!H97-'Q5 Actual'!H96)/'Q5 Actual'!H96*100,"NA")</f>
        <v>0.92861288450376922</v>
      </c>
      <c r="L152" s="8">
        <f>IFERROR(('Q5 Actual'!I97-'Q5 Actual'!I96)/'Q5 Actual'!I96*100,"NA")</f>
        <v>-0.50000000000000311</v>
      </c>
      <c r="M152" s="8">
        <f>IFERROR(('Q5 Actual'!J97-'Q5 Actual'!J96)/'Q5 Actual'!J96*100,"NA")</f>
        <v>-1.9065190651906487</v>
      </c>
      <c r="N152" s="8">
        <f>IFERROR(('Q5 Actual'!K97-'Q5 Actual'!K96)/'Q5 Actual'!K96*100,"NA")</f>
        <v>-13.041362530413631</v>
      </c>
      <c r="O152" s="8">
        <f>IFERROR(('Q5 Actual'!L97-'Q5 Actual'!L96)/'Q5 Actual'!L96*100,"NA")</f>
        <v>0.17543859649123472</v>
      </c>
      <c r="P152" s="8">
        <f>IFERROR(('Q5 Actual'!M97-'Q5 Actual'!M96)/'Q5 Actual'!M96*100,"NA")</f>
        <v>-0.24311183144247275</v>
      </c>
      <c r="Q152" s="8">
        <f>IFERROR(('Q5 Actual'!N97-'Q5 Actual'!N96)/'Q5 Actual'!N96*100,"NA")</f>
        <v>0.85513078470824366</v>
      </c>
      <c r="R152" s="8">
        <f>IFERROR(('Q5 Actual'!O97-'Q5 Actual'!O96)/'Q5 Actual'!O96*100,"NA")</f>
        <v>0.43183220234424247</v>
      </c>
      <c r="S152" s="8">
        <f>IFERROR(('Q5 Actual'!P97-'Q5 Actual'!P96)/'Q5 Actual'!P96*100,"NA")</f>
        <v>0.46777546777547074</v>
      </c>
      <c r="T152" s="8">
        <f>IFERROR(('Q5 Actual'!Q97-'Q5 Actual'!Q96)/'Q5 Actual'!Q96*100,"NA")</f>
        <v>-1.4892443463872129</v>
      </c>
      <c r="U152" s="8">
        <f>IFERROR(('Q5 Actual'!R97-'Q5 Actual'!R96)/'Q5 Actual'!R96*100,"NA")</f>
        <v>0.56593095642331637</v>
      </c>
      <c r="V152" s="8">
        <f>IFERROR(('Q5 Actual'!S97-'Q5 Actual'!S96)/'Q5 Actual'!S96*100,"NA")</f>
        <v>0.6116207951070336</v>
      </c>
      <c r="W152" s="8">
        <f>IFERROR(('Q5 Actual'!T97-'Q5 Actual'!T96)/'Q5 Actual'!T96*100,"NA")</f>
        <v>0.5724098454493417</v>
      </c>
      <c r="X152" s="8">
        <f>IFERROR(('Q5 Actual'!U97-'Q5 Actual'!U96)/'Q5 Actual'!U96*100,"NA")</f>
        <v>-0.64027939464494921</v>
      </c>
      <c r="Y152" s="8">
        <f>IFERROR(('Q5 Actual'!V97-'Q5 Actual'!V96)/'Q5 Actual'!V96*100,"NA")</f>
        <v>0.23966446974236408</v>
      </c>
      <c r="Z152" s="8">
        <f>IFERROR(('Q5 Actual'!X97-'Q5 Actual'!X96)/'Q5 Actual'!X96*100,"NA")</f>
        <v>0.79635949943115891</v>
      </c>
      <c r="AA152" s="8">
        <f>IFERROR(('Q5 Actual'!Y97-'Q5 Actual'!Y96)/'Q5 Actual'!Y96*100,"NA")</f>
        <v>1.26582278481012</v>
      </c>
      <c r="AB152" s="8">
        <f>IFERROR(('Q5 Actual'!AA97-'Q5 Actual'!AA96)/'Q5 Actual'!AA96*100,"NA")</f>
        <v>0.2399520095980838</v>
      </c>
      <c r="AC152" s="8">
        <f>IFERROR(('Q5 Actual'!AB97-'Q5 Actual'!AB96)/'Q5 Actual'!AB96*100,"NA")</f>
        <v>0.17492711370263053</v>
      </c>
      <c r="AD152" s="8">
        <f>IFERROR(('Q5 Actual'!AC97-'Q5 Actual'!AC96)/'Q5 Actual'!AC96*100,"NA")</f>
        <v>0.24925224327018944</v>
      </c>
      <c r="AE152" s="8">
        <f>IFERROR(('Q5 Actual'!AD97-'Q5 Actual'!AD96)/'Q5 Actual'!AD96*100,"NA")</f>
        <v>0.47789725209079031</v>
      </c>
    </row>
    <row r="153" spans="1:31">
      <c r="A153" s="89" t="s">
        <v>33</v>
      </c>
      <c r="B153" s="12">
        <v>2023</v>
      </c>
      <c r="C153" s="12" t="s">
        <v>31</v>
      </c>
      <c r="D153" s="90">
        <f t="shared" si="2"/>
        <v>44927</v>
      </c>
      <c r="E153" s="67">
        <v>2.12</v>
      </c>
      <c r="F153" s="8">
        <f>IFERROR(('Q5 Actual'!W98-'Q5 Actual'!W97)/'Q5 Actual'!W97*100,"NA")</f>
        <v>-0.27685492801771872</v>
      </c>
      <c r="G153" s="8">
        <f>IFERROR(('Q5 Actual'!Z98-'Q5 Actual'!Z97)/'Q5 Actual'!Z97*100,"NA")</f>
        <v>6.2735257214551005E-2</v>
      </c>
      <c r="H153" s="8">
        <f>IFERROR(('Q5 Actual'!E98-'Q5 Actual'!E97)/'Q5 Actual'!E97*100,"NA")</f>
        <v>1.821386603995313</v>
      </c>
      <c r="I153" s="8">
        <f>IFERROR(('Q5 Actual'!F98-'Q5 Actual'!F97)/'Q5 Actual'!F97*100,"NA")</f>
        <v>1.0803193987787614</v>
      </c>
      <c r="J153" s="8">
        <f>IFERROR(('Q5 Actual'!G98-'Q5 Actual'!G97)/'Q5 Actual'!G97*100,"NA")</f>
        <v>2.6576341844710756</v>
      </c>
      <c r="K153" s="8">
        <f>IFERROR(('Q5 Actual'!H98-'Q5 Actual'!H97)/'Q5 Actual'!H97*100,"NA")</f>
        <v>0.74755606670499297</v>
      </c>
      <c r="L153" s="8">
        <f>IFERROR(('Q5 Actual'!I98-'Q5 Actual'!I97)/'Q5 Actual'!I97*100,"NA")</f>
        <v>-0.61418202121719401</v>
      </c>
      <c r="M153" s="8">
        <f>IFERROR(('Q5 Actual'!J98-'Q5 Actual'!J97)/'Q5 Actual'!J97*100,"NA")</f>
        <v>0.62695924764890276</v>
      </c>
      <c r="N153" s="8">
        <f>IFERROR(('Q5 Actual'!K98-'Q5 Actual'!K97)/'Q5 Actual'!K97*100,"NA")</f>
        <v>-1.9026301063234343</v>
      </c>
      <c r="O153" s="8">
        <f>IFERROR(('Q5 Actual'!L98-'Q5 Actual'!L97)/'Q5 Actual'!L97*100,"NA")</f>
        <v>-5.8377116170474447E-2</v>
      </c>
      <c r="P153" s="8">
        <f>IFERROR(('Q5 Actual'!M98-'Q5 Actual'!M97)/'Q5 Actual'!M97*100,"NA")</f>
        <v>-0.32493907392363242</v>
      </c>
      <c r="Q153" s="8">
        <f>IFERROR(('Q5 Actual'!N98-'Q5 Actual'!N97)/'Q5 Actual'!N97*100,"NA")</f>
        <v>1.8952618453865395</v>
      </c>
      <c r="R153" s="8">
        <f>IFERROR(('Q5 Actual'!O98-'Q5 Actual'!O97)/'Q5 Actual'!O97*100,"NA")</f>
        <v>0.5528255528255388</v>
      </c>
      <c r="S153" s="8">
        <f>IFERROR(('Q5 Actual'!P98-'Q5 Actual'!P97)/'Q5 Actual'!P97*100,"NA")</f>
        <v>0.5173305742369374</v>
      </c>
      <c r="T153" s="8">
        <f>IFERROR(('Q5 Actual'!Q98-'Q5 Actual'!Q97)/'Q5 Actual'!Q97*100,"NA")</f>
        <v>0.50391937290033917</v>
      </c>
      <c r="U153" s="8">
        <f>IFERROR(('Q5 Actual'!R98-'Q5 Actual'!R97)/'Q5 Actual'!R97*100,"NA")</f>
        <v>0.56274620146314014</v>
      </c>
      <c r="V153" s="8">
        <f>IFERROR(('Q5 Actual'!S98-'Q5 Actual'!S97)/'Q5 Actual'!S97*100,"NA")</f>
        <v>0.48632218844985492</v>
      </c>
      <c r="W153" s="8">
        <f>IFERROR(('Q5 Actual'!T98-'Q5 Actual'!T97)/'Q5 Actual'!T97*100,"NA")</f>
        <v>0.51223676721685019</v>
      </c>
      <c r="X153" s="8">
        <f>IFERROR(('Q5 Actual'!U98-'Q5 Actual'!U97)/'Q5 Actual'!U97*100,"NA")</f>
        <v>0.82015231400117505</v>
      </c>
      <c r="Y153" s="8">
        <f>IFERROR(('Q5 Actual'!V98-'Q5 Actual'!V97)/'Q5 Actual'!V97*100,"NA")</f>
        <v>0.41841004184099739</v>
      </c>
      <c r="Z153" s="8">
        <f>IFERROR(('Q5 Actual'!X98-'Q5 Actual'!X97)/'Q5 Actual'!X97*100,"NA")</f>
        <v>0.73363431151242176</v>
      </c>
      <c r="AA153" s="8">
        <f>IFERROR(('Q5 Actual'!Y98-'Q5 Actual'!Y97)/'Q5 Actual'!Y97*100,"NA")</f>
        <v>1.5909090909090973</v>
      </c>
      <c r="AB153" s="8">
        <f>IFERROR(('Q5 Actual'!AA98-'Q5 Actual'!AA97)/'Q5 Actual'!AA97*100,"NA")</f>
        <v>0.41891083183723343</v>
      </c>
      <c r="AC153" s="8">
        <f>IFERROR(('Q5 Actual'!AB98-'Q5 Actual'!AB97)/'Q5 Actual'!AB97*100,"NA")</f>
        <v>0</v>
      </c>
      <c r="AD153" s="8">
        <f>IFERROR(('Q5 Actual'!AC98-'Q5 Actual'!AC97)/'Q5 Actual'!AC97*100,"NA")</f>
        <v>0.24863252113376427</v>
      </c>
      <c r="AE153" s="8">
        <f>IFERROR(('Q5 Actual'!AD98-'Q5 Actual'!AD97)/'Q5 Actual'!AD97*100,"NA")</f>
        <v>0.41617122473247153</v>
      </c>
    </row>
    <row r="154" spans="1:31">
      <c r="A154" s="89" t="s">
        <v>33</v>
      </c>
      <c r="B154" s="12">
        <v>2023</v>
      </c>
      <c r="C154" s="12" t="s">
        <v>35</v>
      </c>
      <c r="D154" s="90">
        <f t="shared" si="2"/>
        <v>44958</v>
      </c>
      <c r="E154" s="67">
        <v>0.41000000000000003</v>
      </c>
      <c r="F154" s="8">
        <f>IFERROR(('Q5 Actual'!W99-'Q5 Actual'!W98)/'Q5 Actual'!W98*100,"NA")</f>
        <v>1.4991671293725803</v>
      </c>
      <c r="G154" s="8">
        <f>IFERROR(('Q5 Actual'!Z99-'Q5 Actual'!Z98)/'Q5 Actual'!Z98*100,"NA")</f>
        <v>0.18808777429467799</v>
      </c>
      <c r="H154" s="8">
        <f>IFERROR(('Q5 Actual'!E99-'Q5 Actual'!E98)/'Q5 Actual'!E98*100,"NA")</f>
        <v>0.80784766301210453</v>
      </c>
      <c r="I154" s="8">
        <f>IFERROR(('Q5 Actual'!F99-'Q5 Actual'!F98)/'Q5 Actual'!F98*100,"NA")</f>
        <v>-1.3940520446096656</v>
      </c>
      <c r="J154" s="8">
        <f>IFERROR(('Q5 Actual'!G99-'Q5 Actual'!G98)/'Q5 Actual'!G98*100,"NA")</f>
        <v>-10.050761421319802</v>
      </c>
      <c r="K154" s="8">
        <f>IFERROR(('Q5 Actual'!H99-'Q5 Actual'!H98)/'Q5 Actual'!H98*100,"NA")</f>
        <v>1.5410958904109686</v>
      </c>
      <c r="L154" s="8">
        <f>IFERROR(('Q5 Actual'!I99-'Q5 Actual'!I98)/'Q5 Actual'!I98*100,"NA")</f>
        <v>-3.258426966292141</v>
      </c>
      <c r="M154" s="8">
        <f>IFERROR(('Q5 Actual'!J99-'Q5 Actual'!J98)/'Q5 Actual'!J98*100,"NA")</f>
        <v>7.2274143302180658</v>
      </c>
      <c r="N154" s="8">
        <f>IFERROR(('Q5 Actual'!K99-'Q5 Actual'!K98)/'Q5 Actual'!K98*100,"NA")</f>
        <v>0.2852253280091272</v>
      </c>
      <c r="O154" s="8">
        <f>IFERROR(('Q5 Actual'!L99-'Q5 Actual'!L98)/'Q5 Actual'!L98*100,"NA")</f>
        <v>0.5841121495327104</v>
      </c>
      <c r="P154" s="8">
        <f>IFERROR(('Q5 Actual'!M99-'Q5 Actual'!M98)/'Q5 Actual'!M98*100,"NA")</f>
        <v>-0.65199674001629759</v>
      </c>
      <c r="Q154" s="8">
        <f>IFERROR(('Q5 Actual'!N99-'Q5 Actual'!N98)/'Q5 Actual'!N98*100,"NA")</f>
        <v>0.24473813020068524</v>
      </c>
      <c r="R154" s="8">
        <f>IFERROR(('Q5 Actual'!O99-'Q5 Actual'!O98)/'Q5 Actual'!O98*100,"NA")</f>
        <v>0.73304825901039528</v>
      </c>
      <c r="S154" s="8">
        <f>IFERROR(('Q5 Actual'!P99-'Q5 Actual'!P98)/'Q5 Actual'!P98*100,"NA")</f>
        <v>1.1837364899639644</v>
      </c>
      <c r="T154" s="8">
        <f>IFERROR(('Q5 Actual'!Q99-'Q5 Actual'!Q98)/'Q5 Actual'!Q98*100,"NA")</f>
        <v>0.66852367688021652</v>
      </c>
      <c r="U154" s="8">
        <f>IFERROR(('Q5 Actual'!R99-'Q5 Actual'!R98)/'Q5 Actual'!R98*100,"NA")</f>
        <v>0.89535534415222318</v>
      </c>
      <c r="V154" s="8">
        <f>IFERROR(('Q5 Actual'!S99-'Q5 Actual'!S98)/'Q5 Actual'!S98*100,"NA")</f>
        <v>1.0284331518451231</v>
      </c>
      <c r="W154" s="8">
        <f>IFERROR(('Q5 Actual'!T99-'Q5 Actual'!T98)/'Q5 Actual'!T98*100,"NA")</f>
        <v>0.90600226500565928</v>
      </c>
      <c r="X154" s="8">
        <f>IFERROR(('Q5 Actual'!U99-'Q5 Actual'!U98)/'Q5 Actual'!U98*100,"NA")</f>
        <v>0.81348053457292613</v>
      </c>
      <c r="Y154" s="8">
        <f>IFERROR(('Q5 Actual'!V99-'Q5 Actual'!V98)/'Q5 Actual'!V98*100,"NA")</f>
        <v>0.71428571428570753</v>
      </c>
      <c r="Z154" s="8">
        <f>IFERROR(('Q5 Actual'!X99-'Q5 Actual'!X98)/'Q5 Actual'!X98*100,"NA")</f>
        <v>1.2885154061624713</v>
      </c>
      <c r="AA154" s="8">
        <f>IFERROR(('Q5 Actual'!Y99-'Q5 Actual'!Y98)/'Q5 Actual'!Y98*100,"NA")</f>
        <v>1.454138702460847</v>
      </c>
      <c r="AB154" s="8">
        <f>IFERROR(('Q5 Actual'!AA99-'Q5 Actual'!AA98)/'Q5 Actual'!AA98*100,"NA")</f>
        <v>0.35756853396900734</v>
      </c>
      <c r="AC154" s="8">
        <f>IFERROR(('Q5 Actual'!AB99-'Q5 Actual'!AB98)/'Q5 Actual'!AB98*100,"NA")</f>
        <v>0.40745052386495262</v>
      </c>
      <c r="AD154" s="8">
        <f>IFERROR(('Q5 Actual'!AC99-'Q5 Actual'!AC98)/'Q5 Actual'!AC98*100,"NA")</f>
        <v>0.54563492063491781</v>
      </c>
      <c r="AE154" s="8">
        <f>IFERROR(('Q5 Actual'!AD99-'Q5 Actual'!AD98)/'Q5 Actual'!AD98*100,"NA")</f>
        <v>0.65127294256956436</v>
      </c>
    </row>
    <row r="155" spans="1:31">
      <c r="A155" s="89" t="s">
        <v>33</v>
      </c>
      <c r="B155" s="12">
        <v>2023</v>
      </c>
      <c r="C155" s="12" t="s">
        <v>36</v>
      </c>
      <c r="D155" s="90">
        <f t="shared" si="2"/>
        <v>44986</v>
      </c>
      <c r="E155" s="67">
        <v>-5.41</v>
      </c>
      <c r="F155" s="8">
        <f>IFERROR(('Q5 Actual'!W100-'Q5 Actual'!W99)/'Q5 Actual'!W99*100,"NA")</f>
        <v>-0.10940919037200057</v>
      </c>
      <c r="G155" s="8">
        <f>IFERROR(('Q5 Actual'!Z100-'Q5 Actual'!Z99)/'Q5 Actual'!Z99*100,"NA")</f>
        <v>0</v>
      </c>
      <c r="H155" s="8">
        <f>IFERROR(('Q5 Actual'!E100-'Q5 Actual'!E99)/'Q5 Actual'!E99*100,"NA")</f>
        <v>0</v>
      </c>
      <c r="I155" s="8">
        <f>IFERROR(('Q5 Actual'!F100-'Q5 Actual'!F99)/'Q5 Actual'!F99*100,"NA")</f>
        <v>0</v>
      </c>
      <c r="J155" s="8">
        <f>IFERROR(('Q5 Actual'!G100-'Q5 Actual'!G99)/'Q5 Actual'!G99*100,"NA")</f>
        <v>0</v>
      </c>
      <c r="K155" s="8">
        <f>IFERROR(('Q5 Actual'!H100-'Q5 Actual'!H99)/'Q5 Actual'!H99*100,"NA")</f>
        <v>0</v>
      </c>
      <c r="L155" s="8">
        <f>IFERROR(('Q5 Actual'!I100-'Q5 Actual'!I99)/'Q5 Actual'!I99*100,"NA")</f>
        <v>0</v>
      </c>
      <c r="M155" s="8">
        <f>IFERROR(('Q5 Actual'!J100-'Q5 Actual'!J99)/'Q5 Actual'!J99*100,"NA")</f>
        <v>0</v>
      </c>
      <c r="N155" s="8">
        <f>IFERROR(('Q5 Actual'!K100-'Q5 Actual'!K99)/'Q5 Actual'!K99*100,"NA")</f>
        <v>5.6882821387937606E-2</v>
      </c>
      <c r="O155" s="8">
        <f>IFERROR(('Q5 Actual'!L100-'Q5 Actual'!L99)/'Q5 Actual'!L99*100,"NA")</f>
        <v>0</v>
      </c>
      <c r="P155" s="8">
        <f>IFERROR(('Q5 Actual'!M100-'Q5 Actual'!M99)/'Q5 Actual'!M99*100,"NA")</f>
        <v>0</v>
      </c>
      <c r="Q155" s="8">
        <f>IFERROR(('Q5 Actual'!N100-'Q5 Actual'!N99)/'Q5 Actual'!N99*100,"NA")</f>
        <v>0</v>
      </c>
      <c r="R155" s="8">
        <f>IFERROR(('Q5 Actual'!O100-'Q5 Actual'!O99)/'Q5 Actual'!O99*100,"NA")</f>
        <v>0</v>
      </c>
      <c r="S155" s="8">
        <f>IFERROR(('Q5 Actual'!P100-'Q5 Actual'!P99)/'Q5 Actual'!P99*100,"NA")</f>
        <v>0</v>
      </c>
      <c r="T155" s="8">
        <f>IFERROR(('Q5 Actual'!Q100-'Q5 Actual'!Q99)/'Q5 Actual'!Q99*100,"NA")</f>
        <v>5.534034311013987E-2</v>
      </c>
      <c r="U155" s="8">
        <f>IFERROR(('Q5 Actual'!R100-'Q5 Actual'!R99)/'Q5 Actual'!R99*100,"NA")</f>
        <v>-5.5463117027189528E-2</v>
      </c>
      <c r="V155" s="8">
        <f>IFERROR(('Q5 Actual'!S100-'Q5 Actual'!S99)/'Q5 Actual'!S99*100,"NA")</f>
        <v>0</v>
      </c>
      <c r="W155" s="8">
        <f>IFERROR(('Q5 Actual'!T100-'Q5 Actual'!T99)/'Q5 Actual'!T99*100,"NA")</f>
        <v>0</v>
      </c>
      <c r="X155" s="8">
        <f>IFERROR(('Q5 Actual'!U100-'Q5 Actual'!U99)/'Q5 Actual'!U99*100,"NA")</f>
        <v>0</v>
      </c>
      <c r="Y155" s="8">
        <f>IFERROR(('Q5 Actual'!V100-'Q5 Actual'!V99)/'Q5 Actual'!V99*100,"NA")</f>
        <v>0</v>
      </c>
      <c r="Z155" s="8">
        <f>IFERROR(('Q5 Actual'!X100-'Q5 Actual'!X99)/'Q5 Actual'!X99*100,"NA")</f>
        <v>0</v>
      </c>
      <c r="AA155" s="8">
        <f>IFERROR(('Q5 Actual'!Y100-'Q5 Actual'!Y99)/'Q5 Actual'!Y99*100,"NA")</f>
        <v>5.5126791620724543E-2</v>
      </c>
      <c r="AB155" s="8">
        <f>IFERROR(('Q5 Actual'!AA100-'Q5 Actual'!AA99)/'Q5 Actual'!AA99*100,"NA")</f>
        <v>0</v>
      </c>
      <c r="AC155" s="8">
        <f>IFERROR(('Q5 Actual'!AB100-'Q5 Actual'!AB99)/'Q5 Actual'!AB99*100,"NA")</f>
        <v>0</v>
      </c>
      <c r="AD155" s="8">
        <f>IFERROR(('Q5 Actual'!AC100-'Q5 Actual'!AC99)/'Q5 Actual'!AC99*100,"NA")</f>
        <v>0</v>
      </c>
      <c r="AE155" s="8">
        <f>IFERROR(('Q5 Actual'!AD100-'Q5 Actual'!AD99)/'Q5 Actual'!AD99*100,"NA")</f>
        <v>0</v>
      </c>
    </row>
    <row r="156" spans="1:31">
      <c r="A156" s="89" t="s">
        <v>33</v>
      </c>
      <c r="B156" s="12">
        <v>2023</v>
      </c>
      <c r="C156" s="12" t="s">
        <v>37</v>
      </c>
      <c r="D156" s="90">
        <f t="shared" si="2"/>
        <v>45017</v>
      </c>
      <c r="E156" s="67">
        <v>6.75</v>
      </c>
      <c r="F156" s="8">
        <f>IFERROR(('Q5 Actual'!W101-'Q5 Actual'!W100)/'Q5 Actual'!W100*100,"NA")</f>
        <v>-0.2738225629791895</v>
      </c>
      <c r="G156" s="8">
        <f>IFERROR(('Q5 Actual'!Z101-'Q5 Actual'!Z100)/'Q5 Actual'!Z100*100,"NA")</f>
        <v>0.18773466833540861</v>
      </c>
      <c r="H156" s="8">
        <f>IFERROR(('Q5 Actual'!E101-'Q5 Actual'!E100)/'Q5 Actual'!E100*100,"NA")</f>
        <v>5.7240984544947186E-2</v>
      </c>
      <c r="I156" s="8">
        <f>IFERROR(('Q5 Actual'!F101-'Q5 Actual'!F100)/'Q5 Actual'!F100*100,"NA")</f>
        <v>0.70688030160226212</v>
      </c>
      <c r="J156" s="8">
        <f>IFERROR(('Q5 Actual'!G101-'Q5 Actual'!G100)/'Q5 Actual'!G100*100,"NA")</f>
        <v>-2.7088036117381398</v>
      </c>
      <c r="K156" s="8">
        <f>IFERROR(('Q5 Actual'!H101-'Q5 Actual'!H100)/'Q5 Actual'!H100*100,"NA")</f>
        <v>0.50590219224283628</v>
      </c>
      <c r="L156" s="8">
        <f>IFERROR(('Q5 Actual'!I101-'Q5 Actual'!I100)/'Q5 Actual'!I100*100,"NA")</f>
        <v>-2.0325203252032522</v>
      </c>
      <c r="M156" s="8">
        <f>IFERROR(('Q5 Actual'!J101-'Q5 Actual'!J100)/'Q5 Actual'!J100*100,"NA")</f>
        <v>4.1255084253341048</v>
      </c>
      <c r="N156" s="8">
        <f>IFERROR(('Q5 Actual'!K101-'Q5 Actual'!K100)/'Q5 Actual'!K100*100,"NA")</f>
        <v>2.2740193291642981</v>
      </c>
      <c r="O156" s="8">
        <f>IFERROR(('Q5 Actual'!L101-'Q5 Actual'!L100)/'Q5 Actual'!L100*100,"NA")</f>
        <v>1.4518002322880372</v>
      </c>
      <c r="P156" s="8">
        <f>IFERROR(('Q5 Actual'!M101-'Q5 Actual'!M100)/'Q5 Actual'!M100*100,"NA")</f>
        <v>0.98441345365052391</v>
      </c>
      <c r="Q156" s="8">
        <f>IFERROR(('Q5 Actual'!N101-'Q5 Actual'!N100)/'Q5 Actual'!N100*100,"NA")</f>
        <v>1.46484375</v>
      </c>
      <c r="R156" s="8">
        <f>IFERROR(('Q5 Actual'!O101-'Q5 Actual'!O100)/'Q5 Actual'!O100*100,"NA")</f>
        <v>0.36385688295936586</v>
      </c>
      <c r="S156" s="8">
        <f>IFERROR(('Q5 Actual'!P101-'Q5 Actual'!P100)/'Q5 Actual'!P100*100,"NA")</f>
        <v>0.2034587995930853</v>
      </c>
      <c r="T156" s="8">
        <f>IFERROR(('Q5 Actual'!Q101-'Q5 Actual'!Q100)/'Q5 Actual'!Q100*100,"NA")</f>
        <v>0.71902654867255689</v>
      </c>
      <c r="U156" s="8">
        <f>IFERROR(('Q5 Actual'!R101-'Q5 Actual'!R100)/'Q5 Actual'!R100*100,"NA")</f>
        <v>0.44395116537181545</v>
      </c>
      <c r="V156" s="8">
        <f>IFERROR(('Q5 Actual'!S101-'Q5 Actual'!S100)/'Q5 Actual'!S100*100,"NA")</f>
        <v>0.41916167664669979</v>
      </c>
      <c r="W156" s="8">
        <f>IFERROR(('Q5 Actual'!T101-'Q5 Actual'!T100)/'Q5 Actual'!T100*100,"NA")</f>
        <v>0.39281705948373574</v>
      </c>
      <c r="X156" s="8">
        <f>IFERROR(('Q5 Actual'!U101-'Q5 Actual'!U100)/'Q5 Actual'!U100*100,"NA")</f>
        <v>0.97982708933716922</v>
      </c>
      <c r="Y156" s="8">
        <f>IFERROR(('Q5 Actual'!V101-'Q5 Actual'!V100)/'Q5 Actual'!V100*100,"NA")</f>
        <v>0.23640661938534616</v>
      </c>
      <c r="Z156" s="8">
        <f>IFERROR(('Q5 Actual'!X101-'Q5 Actual'!X100)/'Q5 Actual'!X100*100,"NA")</f>
        <v>0.38716814159291407</v>
      </c>
      <c r="AA156" s="8">
        <f>IFERROR(('Q5 Actual'!Y101-'Q5 Actual'!Y100)/'Q5 Actual'!Y100*100,"NA")</f>
        <v>1.5977961432506917</v>
      </c>
      <c r="AB156" s="8">
        <f>IFERROR(('Q5 Actual'!AA101-'Q5 Actual'!AA100)/'Q5 Actual'!AA100*100,"NA")</f>
        <v>0.23752969121140477</v>
      </c>
      <c r="AC156" s="8">
        <f>IFERROR(('Q5 Actual'!AB101-'Q5 Actual'!AB100)/'Q5 Actual'!AB100*100,"NA")</f>
        <v>0.98550724637680498</v>
      </c>
      <c r="AD156" s="8">
        <f>IFERROR(('Q5 Actual'!AC101-'Q5 Actual'!AC100)/'Q5 Actual'!AC100*100,"NA")</f>
        <v>0.39467192895905845</v>
      </c>
      <c r="AE156" s="8">
        <f>IFERROR(('Q5 Actual'!AD101-'Q5 Actual'!AD100)/'Q5 Actual'!AD100*100,"NA")</f>
        <v>0.52941176470588569</v>
      </c>
    </row>
    <row r="157" spans="1:31">
      <c r="A157" s="89" t="s">
        <v>33</v>
      </c>
      <c r="B157" s="12">
        <v>2023</v>
      </c>
      <c r="C157" s="12" t="s">
        <v>38</v>
      </c>
      <c r="D157" s="90">
        <f t="shared" si="2"/>
        <v>45047</v>
      </c>
      <c r="E157" s="67">
        <v>-9.66</v>
      </c>
      <c r="F157" s="8">
        <f>IFERROR(('Q5 Actual'!W102-'Q5 Actual'!W101)/'Q5 Actual'!W101*100,"NA")</f>
        <v>0.71389346512905627</v>
      </c>
      <c r="G157" s="8">
        <f>IFERROR(('Q5 Actual'!Z102-'Q5 Actual'!Z101)/'Q5 Actual'!Z101*100,"NA")</f>
        <v>0.18738288569644682</v>
      </c>
      <c r="H157" s="8">
        <f>IFERROR(('Q5 Actual'!E102-'Q5 Actual'!E101)/'Q5 Actual'!E101*100,"NA")</f>
        <v>-5.7208237986283023E-2</v>
      </c>
      <c r="I157" s="8">
        <f>IFERROR(('Q5 Actual'!F102-'Q5 Actual'!F101)/'Q5 Actual'!F101*100,"NA")</f>
        <v>2.6672905942910705</v>
      </c>
      <c r="J157" s="8">
        <f>IFERROR(('Q5 Actual'!G102-'Q5 Actual'!G101)/'Q5 Actual'!G101*100,"NA")</f>
        <v>2.494199535962867</v>
      </c>
      <c r="K157" s="8">
        <f>IFERROR(('Q5 Actual'!H102-'Q5 Actual'!H101)/'Q5 Actual'!H101*100,"NA")</f>
        <v>0.33557046979865451</v>
      </c>
      <c r="L157" s="8">
        <f>IFERROR(('Q5 Actual'!I102-'Q5 Actual'!I101)/'Q5 Actual'!I101*100,"NA")</f>
        <v>-2.5489033787788875</v>
      </c>
      <c r="M157" s="8">
        <f>IFERROR(('Q5 Actual'!J102-'Q5 Actual'!J101)/'Q5 Actual'!J101*100,"NA")</f>
        <v>-1.8973214285714159</v>
      </c>
      <c r="N157" s="8">
        <f>IFERROR(('Q5 Actual'!K102-'Q5 Actual'!K101)/'Q5 Actual'!K101*100,"NA")</f>
        <v>2.8349082823790965</v>
      </c>
      <c r="O157" s="8">
        <f>IFERROR(('Q5 Actual'!L102-'Q5 Actual'!L101)/'Q5 Actual'!L101*100,"NA")</f>
        <v>1.2593016599885618</v>
      </c>
      <c r="P157" s="8">
        <f>IFERROR(('Q5 Actual'!M102-'Q5 Actual'!M101)/'Q5 Actual'!M101*100,"NA")</f>
        <v>0.89358245329001518</v>
      </c>
      <c r="Q157" s="8">
        <f>IFERROR(('Q5 Actual'!N102-'Q5 Actual'!N101)/'Q5 Actual'!N101*100,"NA")</f>
        <v>1.9730510105871002</v>
      </c>
      <c r="R157" s="8">
        <f>IFERROR(('Q5 Actual'!O102-'Q5 Actual'!O101)/'Q5 Actual'!O101*100,"NA")</f>
        <v>0.24169184290030554</v>
      </c>
      <c r="S157" s="8">
        <f>IFERROR(('Q5 Actual'!P102-'Q5 Actual'!P101)/'Q5 Actual'!P101*100,"NA")</f>
        <v>0.35532994923857292</v>
      </c>
      <c r="T157" s="8">
        <f>IFERROR(('Q5 Actual'!Q102-'Q5 Actual'!Q101)/'Q5 Actual'!Q101*100,"NA")</f>
        <v>0.54914881933003845</v>
      </c>
      <c r="U157" s="8">
        <f>IFERROR(('Q5 Actual'!R102-'Q5 Actual'!R101)/'Q5 Actual'!R101*100,"NA")</f>
        <v>0.16574585635359745</v>
      </c>
      <c r="V157" s="8">
        <f>IFERROR(('Q5 Actual'!S102-'Q5 Actual'!S101)/'Q5 Actual'!S101*100,"NA")</f>
        <v>0.23852116875373031</v>
      </c>
      <c r="W157" s="8">
        <f>IFERROR(('Q5 Actual'!T102-'Q5 Actual'!T101)/'Q5 Actual'!T101*100,"NA")</f>
        <v>0.22358859698155711</v>
      </c>
      <c r="X157" s="8">
        <f>IFERROR(('Q5 Actual'!U102-'Q5 Actual'!U101)/'Q5 Actual'!U101*100,"NA")</f>
        <v>0.22831050228310826</v>
      </c>
      <c r="Y157" s="8">
        <f>IFERROR(('Q5 Actual'!V102-'Q5 Actual'!V101)/'Q5 Actual'!V101*100,"NA")</f>
        <v>0.294811320754717</v>
      </c>
      <c r="Z157" s="8">
        <f>IFERROR(('Q5 Actual'!X102-'Q5 Actual'!X101)/'Q5 Actual'!X101*100,"NA")</f>
        <v>0.38567493112947032</v>
      </c>
      <c r="AA157" s="8">
        <f>IFERROR(('Q5 Actual'!Y102-'Q5 Actual'!Y101)/'Q5 Actual'!Y101*100,"NA")</f>
        <v>0.65075921908893086</v>
      </c>
      <c r="AB157" s="8">
        <f>IFERROR(('Q5 Actual'!AA102-'Q5 Actual'!AA101)/'Q5 Actual'!AA101*100,"NA")</f>
        <v>0.23696682464453631</v>
      </c>
      <c r="AC157" s="8">
        <f>IFERROR(('Q5 Actual'!AB102-'Q5 Actual'!AB101)/'Q5 Actual'!AB101*100,"NA")</f>
        <v>0.34443168771528287</v>
      </c>
      <c r="AD157" s="8">
        <f>IFERROR(('Q5 Actual'!AC102-'Q5 Actual'!AC101)/'Q5 Actual'!AC101*100,"NA")</f>
        <v>0.34398034398033839</v>
      </c>
      <c r="AE157" s="8">
        <f>IFERROR(('Q5 Actual'!AD102-'Q5 Actual'!AD101)/'Q5 Actual'!AD101*100,"NA")</f>
        <v>0.40959625511994652</v>
      </c>
    </row>
    <row r="159" spans="1:31">
      <c r="A159" s="34" t="s">
        <v>127</v>
      </c>
      <c r="B159" s="12" t="s">
        <v>129</v>
      </c>
      <c r="C159" s="12" t="s">
        <v>130</v>
      </c>
      <c r="D159" s="12" t="s">
        <v>131</v>
      </c>
      <c r="E159" s="12" t="s">
        <v>4</v>
      </c>
      <c r="F159" s="12" t="s">
        <v>5</v>
      </c>
      <c r="G159" s="12" t="s">
        <v>6</v>
      </c>
      <c r="H159" s="12" t="s">
        <v>7</v>
      </c>
      <c r="I159" s="12" t="s">
        <v>8</v>
      </c>
      <c r="J159" s="12" t="s">
        <v>9</v>
      </c>
      <c r="K159" s="12" t="s">
        <v>10</v>
      </c>
      <c r="L159" s="12" t="s">
        <v>11</v>
      </c>
      <c r="M159" s="12" t="s">
        <v>12</v>
      </c>
      <c r="N159" s="12" t="s">
        <v>13</v>
      </c>
      <c r="O159" s="12" t="s">
        <v>14</v>
      </c>
      <c r="P159" s="12" t="s">
        <v>15</v>
      </c>
      <c r="Q159" s="12" t="s">
        <v>17</v>
      </c>
      <c r="R159" s="12" t="s">
        <v>18</v>
      </c>
      <c r="S159" s="12" t="s">
        <v>19</v>
      </c>
      <c r="T159" s="12" t="s">
        <v>20</v>
      </c>
      <c r="U159" s="12" t="s">
        <v>22</v>
      </c>
      <c r="V159" s="12" t="s">
        <v>23</v>
      </c>
      <c r="W159" s="12" t="s">
        <v>27</v>
      </c>
      <c r="X159" s="12" t="s">
        <v>25</v>
      </c>
      <c r="Y159" s="12" t="s">
        <v>26</v>
      </c>
      <c r="Z159" s="12" t="s">
        <v>16</v>
      </c>
      <c r="AA159" s="12" t="s">
        <v>28</v>
      </c>
    </row>
    <row r="160" spans="1:31">
      <c r="A160" s="34" t="s">
        <v>132</v>
      </c>
      <c r="B160" s="12">
        <f>CORREL(E129:E157,F129:F157)</f>
        <v>0.17201782322286507</v>
      </c>
      <c r="C160" s="12">
        <f t="shared" ref="C160:AA160" si="3">CORREL(F129:F157,G129:G157)</f>
        <v>0.39998265286372109</v>
      </c>
      <c r="D160" s="12">
        <f t="shared" si="3"/>
        <v>-0.15034012828651605</v>
      </c>
      <c r="E160" s="12">
        <f t="shared" si="3"/>
        <v>-0.16714357322639678</v>
      </c>
      <c r="F160" s="12">
        <f t="shared" si="3"/>
        <v>5.3502206340981961E-2</v>
      </c>
      <c r="G160" s="12">
        <f t="shared" si="3"/>
        <v>-0.34815785059091325</v>
      </c>
      <c r="H160" s="12">
        <f t="shared" si="3"/>
        <v>-0.11571291295589958</v>
      </c>
      <c r="I160" s="12">
        <f t="shared" si="3"/>
        <v>0.20663552708362928</v>
      </c>
      <c r="J160" s="12">
        <f t="shared" si="3"/>
        <v>-6.2515883815650111E-2</v>
      </c>
      <c r="K160" s="12">
        <f t="shared" si="3"/>
        <v>0.20433911033316191</v>
      </c>
      <c r="L160" s="12">
        <f t="shared" si="3"/>
        <v>0.33608486146428423</v>
      </c>
      <c r="M160" s="12">
        <f t="shared" si="3"/>
        <v>0.13831125345891968</v>
      </c>
      <c r="N160" s="12">
        <f t="shared" si="3"/>
        <v>-0.33612371343839043</v>
      </c>
      <c r="O160" s="12">
        <f t="shared" si="3"/>
        <v>0.40506861814486578</v>
      </c>
      <c r="P160" s="12">
        <f t="shared" si="3"/>
        <v>-5.5239998673338682E-2</v>
      </c>
      <c r="Q160" s="12">
        <f t="shared" si="3"/>
        <v>-2.3277327554620475E-2</v>
      </c>
      <c r="R160" s="12">
        <f t="shared" si="3"/>
        <v>0.68868184638983232</v>
      </c>
      <c r="S160" s="12">
        <f t="shared" si="3"/>
        <v>0.789176670806087</v>
      </c>
      <c r="T160" s="12">
        <f t="shared" si="3"/>
        <v>0.19893778292263881</v>
      </c>
      <c r="U160" s="12">
        <f t="shared" si="3"/>
        <v>0.22362153316156053</v>
      </c>
      <c r="V160" s="12">
        <f t="shared" si="3"/>
        <v>0.61508443177207439</v>
      </c>
      <c r="W160" s="12">
        <f t="shared" si="3"/>
        <v>2.2372129596494372E-2</v>
      </c>
      <c r="X160" s="12">
        <f t="shared" si="3"/>
        <v>-0.16641716890544389</v>
      </c>
      <c r="Y160" s="12">
        <f t="shared" si="3"/>
        <v>-0.39856580783869755</v>
      </c>
      <c r="Z160" s="12">
        <f t="shared" si="3"/>
        <v>-0.48005437890837244</v>
      </c>
      <c r="AA160" s="12">
        <f t="shared" si="3"/>
        <v>0.1911699512967247</v>
      </c>
    </row>
    <row r="161" spans="1:27">
      <c r="B161">
        <v>0.17201782322286507</v>
      </c>
      <c r="C161">
        <v>0.39998265286372109</v>
      </c>
      <c r="D161">
        <v>-0.15034012828651605</v>
      </c>
      <c r="E161">
        <v>-0.16714357322639678</v>
      </c>
      <c r="F161">
        <v>5.3502206340981961E-2</v>
      </c>
      <c r="G161">
        <v>-0.34815785059091325</v>
      </c>
      <c r="H161">
        <v>-0.11571291295589958</v>
      </c>
      <c r="I161">
        <v>0.20663552708362928</v>
      </c>
      <c r="J161">
        <v>-6.2515883815650111E-2</v>
      </c>
      <c r="K161">
        <v>0.20433911033316191</v>
      </c>
      <c r="L161">
        <v>0.33608486146428423</v>
      </c>
      <c r="M161">
        <v>0.13831125345891968</v>
      </c>
      <c r="N161">
        <v>-0.33612371343839043</v>
      </c>
      <c r="O161">
        <v>0.40506861814486578</v>
      </c>
      <c r="P161">
        <v>-5.5239998673338682E-2</v>
      </c>
      <c r="Q161">
        <v>-2.3277327554620475E-2</v>
      </c>
      <c r="R161">
        <v>0.68868184638983232</v>
      </c>
      <c r="S161">
        <v>0.789176670806087</v>
      </c>
      <c r="T161">
        <v>0.19893778292263881</v>
      </c>
      <c r="U161">
        <v>0.22362153316156053</v>
      </c>
      <c r="V161">
        <v>0.61508443177207439</v>
      </c>
      <c r="W161">
        <v>2.2372129596494372E-2</v>
      </c>
      <c r="X161">
        <v>-0.16641716890544389</v>
      </c>
      <c r="Y161">
        <v>-0.39856580783869755</v>
      </c>
      <c r="Z161">
        <v>-0.48005437890837244</v>
      </c>
      <c r="AA161">
        <v>0.1911699512967247</v>
      </c>
    </row>
    <row r="162" spans="1:27" ht="28.8">
      <c r="A162" s="38" t="s">
        <v>127</v>
      </c>
      <c r="B162" s="38" t="s">
        <v>132</v>
      </c>
    </row>
    <row r="163" spans="1:27">
      <c r="A163" s="70" t="s">
        <v>19</v>
      </c>
      <c r="B163" s="33">
        <v>0.789176670806087</v>
      </c>
    </row>
    <row r="164" spans="1:27">
      <c r="A164" s="70" t="s">
        <v>18</v>
      </c>
      <c r="B164" s="33">
        <v>0.68868184638983232</v>
      </c>
    </row>
    <row r="165" spans="1:27">
      <c r="A165" s="70" t="s">
        <v>23</v>
      </c>
      <c r="B165" s="33">
        <v>0.61508443177207439</v>
      </c>
    </row>
    <row r="166" spans="1:27">
      <c r="A166" s="70" t="s">
        <v>14</v>
      </c>
      <c r="B166" s="33">
        <v>0.40506861814486578</v>
      </c>
    </row>
    <row r="167" spans="1:27">
      <c r="A167" s="70" t="s">
        <v>130</v>
      </c>
      <c r="B167" s="33">
        <v>0.39998265286372109</v>
      </c>
    </row>
    <row r="168" spans="1:27">
      <c r="A168" s="70" t="s">
        <v>11</v>
      </c>
      <c r="B168" s="33">
        <v>0.33608486146428423</v>
      </c>
    </row>
    <row r="169" spans="1:27">
      <c r="A169" s="70" t="s">
        <v>22</v>
      </c>
      <c r="B169" s="33">
        <v>0.22362153316156053</v>
      </c>
    </row>
    <row r="170" spans="1:27">
      <c r="A170" s="70" t="s">
        <v>8</v>
      </c>
      <c r="B170" s="33">
        <v>0.20663552708362928</v>
      </c>
    </row>
    <row r="171" spans="1:27">
      <c r="A171" s="70" t="s">
        <v>10</v>
      </c>
      <c r="B171" s="33">
        <v>0.20433911033316191</v>
      </c>
    </row>
    <row r="172" spans="1:27">
      <c r="A172" s="70" t="s">
        <v>20</v>
      </c>
      <c r="B172" s="33">
        <v>0.19893778292263881</v>
      </c>
    </row>
    <row r="173" spans="1:27">
      <c r="A173" s="70" t="s">
        <v>28</v>
      </c>
      <c r="B173" s="33">
        <v>0.1911699512967247</v>
      </c>
    </row>
    <row r="174" spans="1:27">
      <c r="A174" s="70" t="s">
        <v>129</v>
      </c>
      <c r="B174" s="33">
        <v>0.17201782322286507</v>
      </c>
    </row>
    <row r="175" spans="1:27">
      <c r="A175" s="70" t="s">
        <v>12</v>
      </c>
      <c r="B175" s="33">
        <v>0.13831125345891968</v>
      </c>
    </row>
    <row r="176" spans="1:27">
      <c r="A176" s="70" t="s">
        <v>5</v>
      </c>
      <c r="B176" s="33">
        <v>5.3502206340981961E-2</v>
      </c>
    </row>
    <row r="177" spans="1:2">
      <c r="A177" s="70" t="s">
        <v>27</v>
      </c>
      <c r="B177" s="33">
        <v>2.2372129596494372E-2</v>
      </c>
    </row>
    <row r="178" spans="1:2">
      <c r="A178" s="70" t="s">
        <v>17</v>
      </c>
      <c r="B178" s="33">
        <v>-2.3277327554620475E-2</v>
      </c>
    </row>
    <row r="179" spans="1:2">
      <c r="A179" s="70" t="s">
        <v>15</v>
      </c>
      <c r="B179" s="33">
        <v>-5.5239998673338682E-2</v>
      </c>
    </row>
    <row r="180" spans="1:2">
      <c r="A180" s="70" t="s">
        <v>9</v>
      </c>
      <c r="B180" s="33">
        <v>-6.2515883815650111E-2</v>
      </c>
    </row>
    <row r="181" spans="1:2">
      <c r="A181" s="70" t="s">
        <v>7</v>
      </c>
      <c r="B181" s="33">
        <v>-0.11571291295589958</v>
      </c>
    </row>
    <row r="182" spans="1:2">
      <c r="A182" s="70" t="s">
        <v>131</v>
      </c>
      <c r="B182" s="33">
        <v>-0.15034012828651605</v>
      </c>
    </row>
    <row r="183" spans="1:2">
      <c r="A183" s="70" t="s">
        <v>25</v>
      </c>
      <c r="B183" s="33">
        <v>-0.16641716890544389</v>
      </c>
    </row>
    <row r="184" spans="1:2">
      <c r="A184" s="70" t="s">
        <v>4</v>
      </c>
      <c r="B184" s="33">
        <v>-0.16714357322639678</v>
      </c>
    </row>
    <row r="185" spans="1:2">
      <c r="A185" s="70" t="s">
        <v>13</v>
      </c>
      <c r="B185" s="33">
        <v>-0.33612371343839043</v>
      </c>
    </row>
    <row r="186" spans="1:2">
      <c r="A186" s="70" t="s">
        <v>6</v>
      </c>
      <c r="B186" s="33">
        <v>-0.34815785059091325</v>
      </c>
    </row>
    <row r="187" spans="1:2">
      <c r="A187" s="70" t="s">
        <v>26</v>
      </c>
      <c r="B187" s="33">
        <v>-0.39856580783869755</v>
      </c>
    </row>
    <row r="188" spans="1:2">
      <c r="A188" s="70" t="s">
        <v>16</v>
      </c>
      <c r="B188" s="33">
        <v>-0.48005437890837244</v>
      </c>
    </row>
  </sheetData>
  <autoFilter ref="A162:B188" xr:uid="{00000000-0009-0000-0000-000002000000}">
    <sortState xmlns:xlrd2="http://schemas.microsoft.com/office/spreadsheetml/2017/richdata2" ref="A163:B188">
      <sortCondition descending="1" ref="B162:B188"/>
    </sortState>
  </autoFilter>
  <pageMargins left="0.7" right="0.7" top="0.75" bottom="0.75" header="0.3" footer="0.3"/>
  <pageSetup paperSize="9" orientation="portrait"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2"/>
  <sheetViews>
    <sheetView topLeftCell="G1" zoomScaleNormal="100" workbookViewId="0">
      <selection activeCell="Y78" sqref="Y78"/>
    </sheetView>
  </sheetViews>
  <sheetFormatPr defaultRowHeight="14.4"/>
  <cols>
    <col min="1" max="1" width="13.44140625" bestFit="1" customWidth="1"/>
    <col min="2" max="2" width="5" bestFit="1" customWidth="1"/>
    <col min="3" max="3" width="10.88671875" bestFit="1" customWidth="1"/>
    <col min="4" max="4" width="10.44140625" style="93" bestFit="1" customWidth="1"/>
    <col min="5" max="5" width="19.6640625" bestFit="1" customWidth="1"/>
    <col min="6" max="6" width="13.109375" bestFit="1" customWidth="1"/>
    <col min="7" max="7" width="6" bestFit="1" customWidth="1"/>
    <col min="8" max="8" width="16.88671875" bestFit="1" customWidth="1"/>
    <col min="9" max="9" width="11.88671875" bestFit="1" customWidth="1"/>
    <col min="10" max="10" width="6" bestFit="1" customWidth="1"/>
    <col min="11" max="11" width="11" bestFit="1" customWidth="1"/>
    <col min="12" max="12" width="18.88671875" bestFit="1" customWidth="1"/>
    <col min="13" max="13" width="23" bestFit="1" customWidth="1"/>
    <col min="14" max="14" width="6.5546875" bestFit="1" customWidth="1"/>
    <col min="15" max="15" width="23.33203125" bestFit="1" customWidth="1"/>
    <col min="16" max="16" width="33.33203125" bestFit="1" customWidth="1"/>
    <col min="17" max="17" width="19" bestFit="1" customWidth="1"/>
    <col min="18" max="18" width="8.44140625" bestFit="1" customWidth="1"/>
    <col min="19" max="19" width="9.44140625" bestFit="1" customWidth="1"/>
    <col min="20" max="20" width="21" bestFit="1" customWidth="1"/>
    <col min="21" max="21" width="8.109375" bestFit="1" customWidth="1"/>
    <col min="22" max="22" width="28.109375" bestFit="1" customWidth="1"/>
    <col min="23" max="23" width="13.109375" bestFit="1" customWidth="1"/>
    <col min="24" max="24" width="6.88671875" bestFit="1" customWidth="1"/>
    <col min="25" max="25" width="23.5546875" bestFit="1" customWidth="1"/>
    <col min="26" max="26" width="27.88671875" bestFit="1" customWidth="1"/>
    <col min="27" max="27" width="25.88671875" bestFit="1" customWidth="1"/>
    <col min="28" max="28" width="9.6640625" bestFit="1" customWidth="1"/>
    <col min="29" max="29" width="26.5546875" bestFit="1" customWidth="1"/>
    <col min="30" max="30" width="13.88671875" bestFit="1" customWidth="1"/>
  </cols>
  <sheetData>
    <row r="1" spans="1:30" ht="15.6">
      <c r="A1" s="16" t="s">
        <v>34</v>
      </c>
    </row>
    <row r="2" spans="1:30">
      <c r="A2" s="12" t="s">
        <v>0</v>
      </c>
      <c r="B2" s="12" t="s">
        <v>1</v>
      </c>
      <c r="C2" s="12" t="s">
        <v>2</v>
      </c>
      <c r="D2" s="92" t="s">
        <v>100</v>
      </c>
      <c r="E2" s="12" t="s">
        <v>3</v>
      </c>
      <c r="F2" s="12" t="s">
        <v>4</v>
      </c>
      <c r="G2" s="12" t="s">
        <v>5</v>
      </c>
      <c r="H2" s="12" t="s">
        <v>6</v>
      </c>
      <c r="I2" s="12" t="s">
        <v>7</v>
      </c>
      <c r="J2" s="12" t="s">
        <v>8</v>
      </c>
      <c r="K2" s="12" t="s">
        <v>9</v>
      </c>
      <c r="L2" s="12" t="s">
        <v>10</v>
      </c>
      <c r="M2" s="12" t="s">
        <v>11</v>
      </c>
      <c r="N2" s="12" t="s">
        <v>12</v>
      </c>
      <c r="O2" s="12" t="s">
        <v>13</v>
      </c>
      <c r="P2" s="12" t="s">
        <v>14</v>
      </c>
      <c r="Q2" s="12" t="s">
        <v>15</v>
      </c>
      <c r="R2" s="12" t="s">
        <v>17</v>
      </c>
      <c r="S2" s="12" t="s">
        <v>18</v>
      </c>
      <c r="T2" s="12" t="s">
        <v>19</v>
      </c>
      <c r="U2" s="12" t="s">
        <v>20</v>
      </c>
      <c r="V2" s="12" t="s">
        <v>22</v>
      </c>
      <c r="W2" s="12" t="s">
        <v>21</v>
      </c>
      <c r="X2" s="12" t="s">
        <v>23</v>
      </c>
      <c r="Y2" s="12" t="s">
        <v>27</v>
      </c>
      <c r="Z2" s="12" t="s">
        <v>24</v>
      </c>
      <c r="AA2" s="12" t="s">
        <v>25</v>
      </c>
      <c r="AB2" s="12" t="s">
        <v>26</v>
      </c>
      <c r="AC2" s="12" t="s">
        <v>16</v>
      </c>
      <c r="AD2" s="12" t="s">
        <v>28</v>
      </c>
    </row>
    <row r="3" spans="1:30">
      <c r="A3" s="21" t="s">
        <v>34</v>
      </c>
      <c r="B3" s="26">
        <v>2020</v>
      </c>
      <c r="C3" s="21" t="s">
        <v>46</v>
      </c>
      <c r="D3" s="90">
        <f>DATE(B3,MONTH(1&amp;C3),1)</f>
        <v>44166</v>
      </c>
      <c r="E3" s="12">
        <v>146</v>
      </c>
      <c r="F3" s="12">
        <v>191</v>
      </c>
      <c r="G3" s="12">
        <v>175.3</v>
      </c>
      <c r="H3" s="12">
        <v>154.1</v>
      </c>
      <c r="I3" s="12">
        <v>146.6</v>
      </c>
      <c r="J3" s="12">
        <v>147.69999999999999</v>
      </c>
      <c r="K3" s="12">
        <v>230.5</v>
      </c>
      <c r="L3" s="12">
        <v>160.19999999999999</v>
      </c>
      <c r="M3" s="12">
        <v>115.3</v>
      </c>
      <c r="N3" s="12">
        <v>163</v>
      </c>
      <c r="O3" s="12">
        <v>149.19999999999999</v>
      </c>
      <c r="P3" s="12">
        <v>164.8</v>
      </c>
      <c r="Q3" s="12">
        <v>165.4</v>
      </c>
      <c r="R3" s="12">
        <v>155</v>
      </c>
      <c r="S3" s="12">
        <v>145.4</v>
      </c>
      <c r="T3" s="12">
        <v>153.6</v>
      </c>
      <c r="U3" s="12">
        <v>158.4</v>
      </c>
      <c r="V3" s="12">
        <v>149.69999999999999</v>
      </c>
      <c r="W3" s="12">
        <v>144.6</v>
      </c>
      <c r="X3" s="12">
        <v>158.30000000000001</v>
      </c>
      <c r="Y3" s="12">
        <v>157.1</v>
      </c>
      <c r="Z3" s="12">
        <v>140.69999999999999</v>
      </c>
      <c r="AA3" s="12">
        <v>148.5</v>
      </c>
      <c r="AB3" s="12">
        <v>159.4</v>
      </c>
      <c r="AC3" s="12">
        <v>185.4</v>
      </c>
      <c r="AD3" s="12">
        <v>151.19999999999999</v>
      </c>
    </row>
    <row r="4" spans="1:30">
      <c r="A4" s="12" t="s">
        <v>34</v>
      </c>
      <c r="B4" s="12">
        <v>2021</v>
      </c>
      <c r="C4" s="12" t="s">
        <v>31</v>
      </c>
      <c r="D4" s="90">
        <f>DATE(B4,MONTH(1&amp;C4),1)</f>
        <v>44197</v>
      </c>
      <c r="E4" s="12">
        <v>144.9</v>
      </c>
      <c r="F4" s="12">
        <v>190.1</v>
      </c>
      <c r="G4" s="12">
        <v>175.3</v>
      </c>
      <c r="H4" s="12">
        <v>154.1</v>
      </c>
      <c r="I4" s="12">
        <v>150.9</v>
      </c>
      <c r="J4" s="12">
        <v>149.6</v>
      </c>
      <c r="K4" s="12">
        <v>194.2</v>
      </c>
      <c r="L4" s="12">
        <v>160.4</v>
      </c>
      <c r="M4" s="12">
        <v>114.6</v>
      </c>
      <c r="N4" s="12">
        <v>164</v>
      </c>
      <c r="O4" s="12">
        <v>151.80000000000001</v>
      </c>
      <c r="P4" s="12">
        <v>165.6</v>
      </c>
      <c r="Q4" s="12">
        <v>161</v>
      </c>
      <c r="R4" s="12">
        <v>155.5</v>
      </c>
      <c r="S4" s="12">
        <v>146.1</v>
      </c>
      <c r="T4" s="12">
        <v>154.19999999999999</v>
      </c>
      <c r="U4" s="12">
        <v>157.69999999999999</v>
      </c>
      <c r="V4" s="12">
        <v>150</v>
      </c>
      <c r="W4" s="12">
        <v>147.9</v>
      </c>
      <c r="X4" s="12">
        <v>159.30000000000001</v>
      </c>
      <c r="Y4" s="12">
        <v>156.80000000000001</v>
      </c>
      <c r="Z4" s="12">
        <v>141.9</v>
      </c>
      <c r="AA4" s="12">
        <v>149.6</v>
      </c>
      <c r="AB4" s="12">
        <v>159.19999999999999</v>
      </c>
      <c r="AC4" s="12">
        <v>186.5</v>
      </c>
      <c r="AD4" s="12">
        <v>151.9</v>
      </c>
    </row>
    <row r="5" spans="1:30">
      <c r="A5" s="12" t="s">
        <v>34</v>
      </c>
      <c r="B5" s="12">
        <v>2021</v>
      </c>
      <c r="C5" s="12" t="s">
        <v>35</v>
      </c>
      <c r="D5" s="90">
        <f t="shared" ref="D5:D32" si="0">DATE(B5,MONTH(1&amp;C5),1)</f>
        <v>44228</v>
      </c>
      <c r="E5" s="12">
        <v>144.30000000000001</v>
      </c>
      <c r="F5" s="12">
        <v>186.5</v>
      </c>
      <c r="G5" s="12">
        <v>168.7</v>
      </c>
      <c r="H5" s="12">
        <v>154.69999999999999</v>
      </c>
      <c r="I5" s="12">
        <v>158.69999999999999</v>
      </c>
      <c r="J5" s="12">
        <v>150.69999999999999</v>
      </c>
      <c r="K5" s="12">
        <v>160</v>
      </c>
      <c r="L5" s="12">
        <v>158.80000000000001</v>
      </c>
      <c r="M5" s="12">
        <v>112.8</v>
      </c>
      <c r="N5" s="12">
        <v>164.2</v>
      </c>
      <c r="O5" s="12">
        <v>155.5</v>
      </c>
      <c r="P5" s="12">
        <v>167.5</v>
      </c>
      <c r="Q5" s="12">
        <v>156.9</v>
      </c>
      <c r="R5" s="12">
        <v>157.19999999999999</v>
      </c>
      <c r="S5" s="12">
        <v>147.4</v>
      </c>
      <c r="T5" s="12">
        <v>155.80000000000001</v>
      </c>
      <c r="U5" s="12">
        <v>159.80000000000001</v>
      </c>
      <c r="V5" s="12">
        <v>150.9</v>
      </c>
      <c r="W5" s="12">
        <v>152.4</v>
      </c>
      <c r="X5" s="12">
        <v>161.30000000000001</v>
      </c>
      <c r="Y5" s="12">
        <v>155.80000000000001</v>
      </c>
      <c r="Z5" s="12">
        <v>145.1</v>
      </c>
      <c r="AA5" s="12">
        <v>151.5</v>
      </c>
      <c r="AB5" s="12">
        <v>159.5</v>
      </c>
      <c r="AC5" s="12">
        <v>188.3</v>
      </c>
      <c r="AD5" s="12">
        <v>153.4</v>
      </c>
    </row>
    <row r="6" spans="1:30">
      <c r="A6" s="12" t="s">
        <v>34</v>
      </c>
      <c r="B6" s="12">
        <v>2021</v>
      </c>
      <c r="C6" s="12" t="s">
        <v>36</v>
      </c>
      <c r="D6" s="90">
        <f t="shared" si="0"/>
        <v>44256</v>
      </c>
      <c r="E6" s="12">
        <v>144.1</v>
      </c>
      <c r="F6" s="12">
        <v>192.2</v>
      </c>
      <c r="G6" s="12">
        <v>163.80000000000001</v>
      </c>
      <c r="H6" s="12">
        <v>154.9</v>
      </c>
      <c r="I6" s="12">
        <v>163.9</v>
      </c>
      <c r="J6" s="12">
        <v>153.69999999999999</v>
      </c>
      <c r="K6" s="12">
        <v>149.5</v>
      </c>
      <c r="L6" s="12">
        <v>159.80000000000001</v>
      </c>
      <c r="M6" s="12">
        <v>112.6</v>
      </c>
      <c r="N6" s="12">
        <v>163.5</v>
      </c>
      <c r="O6" s="12">
        <v>156.5</v>
      </c>
      <c r="P6" s="12">
        <v>168.2</v>
      </c>
      <c r="Q6" s="12">
        <v>156.69999999999999</v>
      </c>
      <c r="R6" s="12">
        <v>157.80000000000001</v>
      </c>
      <c r="S6" s="12">
        <v>147.9</v>
      </c>
      <c r="T6" s="12">
        <v>156.4</v>
      </c>
      <c r="U6" s="12">
        <v>159.9</v>
      </c>
      <c r="V6" s="12">
        <v>151.19999999999999</v>
      </c>
      <c r="W6" s="12">
        <v>155.5</v>
      </c>
      <c r="X6" s="12">
        <v>161.69999999999999</v>
      </c>
      <c r="Y6" s="12">
        <v>153.80000000000001</v>
      </c>
      <c r="Z6" s="12">
        <v>146.19999999999999</v>
      </c>
      <c r="AA6" s="12">
        <v>152.6</v>
      </c>
      <c r="AB6" s="12">
        <v>160.19999999999999</v>
      </c>
      <c r="AC6" s="12">
        <v>188.1</v>
      </c>
      <c r="AD6" s="12">
        <v>153.80000000000001</v>
      </c>
    </row>
    <row r="7" spans="1:30">
      <c r="A7" s="12" t="s">
        <v>34</v>
      </c>
      <c r="B7" s="12">
        <v>2021</v>
      </c>
      <c r="C7" s="12" t="s">
        <v>37</v>
      </c>
      <c r="D7" s="90">
        <f t="shared" si="0"/>
        <v>44287</v>
      </c>
      <c r="E7" s="12">
        <v>144.30000000000001</v>
      </c>
      <c r="F7" s="12">
        <v>198</v>
      </c>
      <c r="G7" s="12">
        <v>164.6</v>
      </c>
      <c r="H7" s="12">
        <v>155.4</v>
      </c>
      <c r="I7" s="12">
        <v>170.1</v>
      </c>
      <c r="J7" s="12">
        <v>164.4</v>
      </c>
      <c r="K7" s="12">
        <v>144.1</v>
      </c>
      <c r="L7" s="12">
        <v>161.69999999999999</v>
      </c>
      <c r="M7" s="12">
        <v>113.1</v>
      </c>
      <c r="N7" s="12">
        <v>163.9</v>
      </c>
      <c r="O7" s="12">
        <v>157.6</v>
      </c>
      <c r="P7" s="12">
        <v>168.9</v>
      </c>
      <c r="Q7" s="12">
        <v>158</v>
      </c>
      <c r="R7" s="12">
        <v>158.80000000000001</v>
      </c>
      <c r="S7" s="12">
        <v>148.5</v>
      </c>
      <c r="T7" s="12">
        <v>157.30000000000001</v>
      </c>
      <c r="U7" s="12">
        <v>161.4</v>
      </c>
      <c r="V7" s="12">
        <v>151.80000000000001</v>
      </c>
      <c r="W7" s="12">
        <v>155.6</v>
      </c>
      <c r="X7" s="12">
        <v>162.30000000000001</v>
      </c>
      <c r="Y7" s="12">
        <v>155.4</v>
      </c>
      <c r="Z7" s="12">
        <v>146.6</v>
      </c>
      <c r="AA7" s="12">
        <v>153.19999999999999</v>
      </c>
      <c r="AB7" s="12">
        <v>160.30000000000001</v>
      </c>
      <c r="AC7" s="12">
        <v>188.8</v>
      </c>
      <c r="AD7" s="12">
        <v>154.4</v>
      </c>
    </row>
    <row r="8" spans="1:30">
      <c r="A8" s="12" t="s">
        <v>34</v>
      </c>
      <c r="B8" s="12">
        <v>2021</v>
      </c>
      <c r="C8" s="12" t="s">
        <v>38</v>
      </c>
      <c r="D8" s="90">
        <f t="shared" si="0"/>
        <v>44317</v>
      </c>
      <c r="E8" s="12">
        <v>146.30000000000001</v>
      </c>
      <c r="F8" s="12">
        <v>200.5</v>
      </c>
      <c r="G8" s="12">
        <v>170.3</v>
      </c>
      <c r="H8" s="12">
        <v>156.1</v>
      </c>
      <c r="I8" s="12">
        <v>178.7</v>
      </c>
      <c r="J8" s="12">
        <v>167.1</v>
      </c>
      <c r="K8" s="12">
        <v>147.9</v>
      </c>
      <c r="L8" s="12">
        <v>165.4</v>
      </c>
      <c r="M8" s="12">
        <v>114.8</v>
      </c>
      <c r="N8" s="12">
        <v>168.2</v>
      </c>
      <c r="O8" s="12">
        <v>159.30000000000001</v>
      </c>
      <c r="P8" s="12">
        <v>170.4</v>
      </c>
      <c r="Q8" s="12">
        <v>160.69999999999999</v>
      </c>
      <c r="R8" s="12">
        <v>161.80000000000001</v>
      </c>
      <c r="S8" s="12">
        <v>152.1</v>
      </c>
      <c r="T8" s="12">
        <v>160.4</v>
      </c>
      <c r="U8" s="12">
        <v>161.6</v>
      </c>
      <c r="V8" s="12">
        <v>154.69999999999999</v>
      </c>
      <c r="W8" s="12">
        <v>159.4</v>
      </c>
      <c r="X8" s="12">
        <v>165.8</v>
      </c>
      <c r="Y8" s="12">
        <v>158.6</v>
      </c>
      <c r="Z8" s="12">
        <v>148.9</v>
      </c>
      <c r="AA8" s="12">
        <v>155.80000000000001</v>
      </c>
      <c r="AB8" s="12">
        <v>161.19999999999999</v>
      </c>
      <c r="AC8" s="12">
        <v>191.9</v>
      </c>
      <c r="AD8" s="12">
        <v>156.80000000000001</v>
      </c>
    </row>
    <row r="9" spans="1:30">
      <c r="A9" s="12" t="s">
        <v>34</v>
      </c>
      <c r="B9" s="12">
        <v>2021</v>
      </c>
      <c r="C9" s="12" t="s">
        <v>39</v>
      </c>
      <c r="D9" s="90">
        <f t="shared" si="0"/>
        <v>44348</v>
      </c>
      <c r="E9" s="12">
        <v>146.69999999999999</v>
      </c>
      <c r="F9" s="12">
        <v>202</v>
      </c>
      <c r="G9" s="12">
        <v>180.7</v>
      </c>
      <c r="H9" s="12">
        <v>156.19999999999999</v>
      </c>
      <c r="I9" s="12">
        <v>183.7</v>
      </c>
      <c r="J9" s="12">
        <v>164.6</v>
      </c>
      <c r="K9" s="12">
        <v>155.4</v>
      </c>
      <c r="L9" s="12">
        <v>166</v>
      </c>
      <c r="M9" s="12">
        <v>115.1</v>
      </c>
      <c r="N9" s="12">
        <v>168.5</v>
      </c>
      <c r="O9" s="12">
        <v>160</v>
      </c>
      <c r="P9" s="12">
        <v>172.4</v>
      </c>
      <c r="Q9" s="12">
        <v>162.6</v>
      </c>
      <c r="R9" s="12">
        <v>162.19999999999999</v>
      </c>
      <c r="S9" s="12">
        <v>151.80000000000001</v>
      </c>
      <c r="T9" s="12">
        <v>160.69999999999999</v>
      </c>
      <c r="U9" s="12">
        <v>160.5</v>
      </c>
      <c r="V9" s="12">
        <v>154.80000000000001</v>
      </c>
      <c r="W9" s="12">
        <v>159.80000000000001</v>
      </c>
      <c r="X9" s="12">
        <v>166.3</v>
      </c>
      <c r="Y9" s="12">
        <v>158.80000000000001</v>
      </c>
      <c r="Z9" s="12">
        <v>150.69999999999999</v>
      </c>
      <c r="AA9" s="12">
        <v>154.9</v>
      </c>
      <c r="AB9" s="12">
        <v>161.69999999999999</v>
      </c>
      <c r="AC9" s="12">
        <v>190.8</v>
      </c>
      <c r="AD9" s="12">
        <v>157.6</v>
      </c>
    </row>
    <row r="10" spans="1:30">
      <c r="A10" s="12" t="s">
        <v>34</v>
      </c>
      <c r="B10" s="12">
        <v>2021</v>
      </c>
      <c r="C10" s="12" t="s">
        <v>40</v>
      </c>
      <c r="D10" s="90">
        <f t="shared" si="0"/>
        <v>44378</v>
      </c>
      <c r="E10" s="12">
        <v>146.4</v>
      </c>
      <c r="F10" s="12">
        <v>206.8</v>
      </c>
      <c r="G10" s="12">
        <v>182.2</v>
      </c>
      <c r="H10" s="12">
        <v>157.5</v>
      </c>
      <c r="I10" s="12">
        <v>182.1</v>
      </c>
      <c r="J10" s="12">
        <v>163.9</v>
      </c>
      <c r="K10" s="12">
        <v>164.2</v>
      </c>
      <c r="L10" s="12">
        <v>164</v>
      </c>
      <c r="M10" s="12">
        <v>114.5</v>
      </c>
      <c r="N10" s="12">
        <v>168.3</v>
      </c>
      <c r="O10" s="12">
        <v>160.9</v>
      </c>
      <c r="P10" s="12">
        <v>172.2</v>
      </c>
      <c r="Q10" s="12">
        <v>164</v>
      </c>
      <c r="R10" s="12">
        <v>162.80000000000001</v>
      </c>
      <c r="S10" s="12">
        <v>153.1</v>
      </c>
      <c r="T10" s="12">
        <v>161.4</v>
      </c>
      <c r="U10" s="12">
        <v>161.5</v>
      </c>
      <c r="V10" s="12">
        <v>155.80000000000001</v>
      </c>
      <c r="W10" s="12">
        <v>160.69999999999999</v>
      </c>
      <c r="X10" s="12">
        <v>167</v>
      </c>
      <c r="Y10" s="12">
        <v>160.1</v>
      </c>
      <c r="Z10" s="12">
        <v>153.1</v>
      </c>
      <c r="AA10" s="12">
        <v>155.30000000000001</v>
      </c>
      <c r="AB10" s="12">
        <v>163.19999999999999</v>
      </c>
      <c r="AC10" s="12">
        <v>191.2</v>
      </c>
      <c r="AD10" s="12">
        <v>159</v>
      </c>
    </row>
    <row r="11" spans="1:30">
      <c r="A11" s="12" t="s">
        <v>34</v>
      </c>
      <c r="B11" s="12">
        <v>2021</v>
      </c>
      <c r="C11" s="12" t="s">
        <v>41</v>
      </c>
      <c r="D11" s="90">
        <f t="shared" si="0"/>
        <v>44409</v>
      </c>
      <c r="E11" s="12">
        <v>146.6</v>
      </c>
      <c r="F11" s="12">
        <v>204</v>
      </c>
      <c r="G11" s="12">
        <v>172.8</v>
      </c>
      <c r="H11" s="12">
        <v>158.4</v>
      </c>
      <c r="I11" s="12">
        <v>188</v>
      </c>
      <c r="J11" s="12">
        <v>156.80000000000001</v>
      </c>
      <c r="K11" s="12">
        <v>162.19999999999999</v>
      </c>
      <c r="L11" s="12">
        <v>164.1</v>
      </c>
      <c r="M11" s="12">
        <v>119.7</v>
      </c>
      <c r="N11" s="12">
        <v>168.8</v>
      </c>
      <c r="O11" s="12">
        <v>162.69999999999999</v>
      </c>
      <c r="P11" s="12">
        <v>173.9</v>
      </c>
      <c r="Q11" s="12">
        <v>164</v>
      </c>
      <c r="R11" s="12">
        <v>164.5</v>
      </c>
      <c r="S11" s="12">
        <v>155.30000000000001</v>
      </c>
      <c r="T11" s="12">
        <v>163.19999999999999</v>
      </c>
      <c r="U11" s="12">
        <v>162.1</v>
      </c>
      <c r="V11" s="12">
        <v>157.5</v>
      </c>
      <c r="W11" s="12">
        <v>161.80000000000001</v>
      </c>
      <c r="X11" s="12">
        <v>168.4</v>
      </c>
      <c r="Y11" s="12">
        <v>160</v>
      </c>
      <c r="Z11" s="12">
        <v>153</v>
      </c>
      <c r="AA11" s="12">
        <v>157.6</v>
      </c>
      <c r="AB11" s="12">
        <v>163.80000000000001</v>
      </c>
      <c r="AC11" s="12">
        <v>192.1</v>
      </c>
      <c r="AD11" s="12">
        <v>160</v>
      </c>
    </row>
    <row r="12" spans="1:30">
      <c r="A12" s="12" t="s">
        <v>34</v>
      </c>
      <c r="B12" s="12">
        <v>2021</v>
      </c>
      <c r="C12" s="12" t="s">
        <v>42</v>
      </c>
      <c r="D12" s="90">
        <f t="shared" si="0"/>
        <v>44440</v>
      </c>
      <c r="E12" s="12">
        <v>146.6</v>
      </c>
      <c r="F12" s="12">
        <v>204</v>
      </c>
      <c r="G12" s="12">
        <v>172.8</v>
      </c>
      <c r="H12" s="12">
        <v>158.4</v>
      </c>
      <c r="I12" s="12">
        <v>188</v>
      </c>
      <c r="J12" s="12">
        <v>156.69999999999999</v>
      </c>
      <c r="K12" s="12">
        <v>162.30000000000001</v>
      </c>
      <c r="L12" s="12">
        <v>164.1</v>
      </c>
      <c r="M12" s="12">
        <v>119.7</v>
      </c>
      <c r="N12" s="12">
        <v>168.8</v>
      </c>
      <c r="O12" s="12">
        <v>162.69999999999999</v>
      </c>
      <c r="P12" s="12">
        <v>173.9</v>
      </c>
      <c r="Q12" s="12">
        <v>164</v>
      </c>
      <c r="R12" s="12">
        <v>164.6</v>
      </c>
      <c r="S12" s="12">
        <v>155.30000000000001</v>
      </c>
      <c r="T12" s="12">
        <v>163.30000000000001</v>
      </c>
      <c r="U12" s="12">
        <v>162.1</v>
      </c>
      <c r="V12" s="12">
        <v>157.5</v>
      </c>
      <c r="W12" s="12">
        <v>162.6</v>
      </c>
      <c r="X12" s="12">
        <v>168.4</v>
      </c>
      <c r="Y12" s="12">
        <v>160</v>
      </c>
      <c r="Z12" s="12">
        <v>154</v>
      </c>
      <c r="AA12" s="12">
        <v>157.69999999999999</v>
      </c>
      <c r="AB12" s="12">
        <v>163.69999999999999</v>
      </c>
      <c r="AC12" s="12">
        <v>192.1</v>
      </c>
      <c r="AD12" s="12">
        <v>160</v>
      </c>
    </row>
    <row r="13" spans="1:30">
      <c r="A13" s="12" t="s">
        <v>34</v>
      </c>
      <c r="B13" s="12">
        <v>2021</v>
      </c>
      <c r="C13" s="12" t="s">
        <v>43</v>
      </c>
      <c r="D13" s="90">
        <f t="shared" si="0"/>
        <v>44470</v>
      </c>
      <c r="E13" s="12">
        <v>147.4</v>
      </c>
      <c r="F13" s="12">
        <v>204.6</v>
      </c>
      <c r="G13" s="12">
        <v>171.2</v>
      </c>
      <c r="H13" s="12">
        <v>158.69999999999999</v>
      </c>
      <c r="I13" s="12">
        <v>190.6</v>
      </c>
      <c r="J13" s="12">
        <v>155.69999999999999</v>
      </c>
      <c r="K13" s="12">
        <v>185.3</v>
      </c>
      <c r="L13" s="12">
        <v>165.2</v>
      </c>
      <c r="M13" s="12">
        <v>121.9</v>
      </c>
      <c r="N13" s="12">
        <v>169.3</v>
      </c>
      <c r="O13" s="12">
        <v>163.19999999999999</v>
      </c>
      <c r="P13" s="12">
        <v>174.7</v>
      </c>
      <c r="Q13" s="12">
        <v>167.7</v>
      </c>
      <c r="R13" s="12">
        <v>165.7</v>
      </c>
      <c r="S13" s="12">
        <v>156.30000000000001</v>
      </c>
      <c r="T13" s="12">
        <v>164.3</v>
      </c>
      <c r="U13" s="12">
        <v>163.6</v>
      </c>
      <c r="V13" s="12">
        <v>158.4</v>
      </c>
      <c r="W13" s="12">
        <v>164.2</v>
      </c>
      <c r="X13" s="12">
        <v>169.1</v>
      </c>
      <c r="Y13" s="12">
        <v>160.80000000000001</v>
      </c>
      <c r="Z13" s="12">
        <v>155.69999999999999</v>
      </c>
      <c r="AA13" s="12">
        <v>158.6</v>
      </c>
      <c r="AB13" s="12">
        <v>163.9</v>
      </c>
      <c r="AC13" s="12">
        <v>192.7</v>
      </c>
      <c r="AD13" s="12">
        <v>161</v>
      </c>
    </row>
    <row r="14" spans="1:30">
      <c r="A14" s="12" t="s">
        <v>34</v>
      </c>
      <c r="B14" s="12">
        <v>2021</v>
      </c>
      <c r="C14" s="12" t="s">
        <v>45</v>
      </c>
      <c r="D14" s="90">
        <f t="shared" si="0"/>
        <v>44501</v>
      </c>
      <c r="E14" s="12">
        <v>148.19999999999999</v>
      </c>
      <c r="F14" s="12">
        <v>201.6</v>
      </c>
      <c r="G14" s="12">
        <v>173</v>
      </c>
      <c r="H14" s="12">
        <v>159.30000000000001</v>
      </c>
      <c r="I14" s="12">
        <v>190.1</v>
      </c>
      <c r="J14" s="12">
        <v>156.5</v>
      </c>
      <c r="K14" s="12">
        <v>199.2</v>
      </c>
      <c r="L14" s="12">
        <v>165.3</v>
      </c>
      <c r="M14" s="12">
        <v>122.4</v>
      </c>
      <c r="N14" s="12">
        <v>169.6</v>
      </c>
      <c r="O14" s="12">
        <v>163.69999999999999</v>
      </c>
      <c r="P14" s="12">
        <v>175.5</v>
      </c>
      <c r="Q14" s="12">
        <v>169.7</v>
      </c>
      <c r="R14" s="12">
        <v>167.2</v>
      </c>
      <c r="S14" s="12">
        <v>157.4</v>
      </c>
      <c r="T14" s="12">
        <v>165.8</v>
      </c>
      <c r="U14" s="12">
        <v>164.2</v>
      </c>
      <c r="V14" s="12">
        <v>159.30000000000001</v>
      </c>
      <c r="W14" s="12">
        <v>163.9</v>
      </c>
      <c r="X14" s="12">
        <v>169.9</v>
      </c>
      <c r="Y14" s="12">
        <v>162.19999999999999</v>
      </c>
      <c r="Z14" s="12">
        <v>154.80000000000001</v>
      </c>
      <c r="AA14" s="12">
        <v>159.80000000000001</v>
      </c>
      <c r="AB14" s="12">
        <v>164.3</v>
      </c>
      <c r="AC14" s="12">
        <v>192.9</v>
      </c>
      <c r="AD14" s="12">
        <v>161.4</v>
      </c>
    </row>
    <row r="15" spans="1:30">
      <c r="A15" s="12" t="s">
        <v>34</v>
      </c>
      <c r="B15" s="12">
        <v>2021</v>
      </c>
      <c r="C15" s="12" t="s">
        <v>46</v>
      </c>
      <c r="D15" s="90">
        <f t="shared" si="0"/>
        <v>44531</v>
      </c>
      <c r="E15" s="12">
        <v>148.69999999999999</v>
      </c>
      <c r="F15" s="12">
        <v>198.8</v>
      </c>
      <c r="G15" s="12">
        <v>177.9</v>
      </c>
      <c r="H15" s="12">
        <v>159.9</v>
      </c>
      <c r="I15" s="12">
        <v>187.6</v>
      </c>
      <c r="J15" s="12">
        <v>154.9</v>
      </c>
      <c r="K15" s="12">
        <v>188.3</v>
      </c>
      <c r="L15" s="12">
        <v>164.4</v>
      </c>
      <c r="M15" s="12">
        <v>121</v>
      </c>
      <c r="N15" s="12">
        <v>170.5</v>
      </c>
      <c r="O15" s="12">
        <v>164.2</v>
      </c>
      <c r="P15" s="12">
        <v>176.5</v>
      </c>
      <c r="Q15" s="12">
        <v>168.2</v>
      </c>
      <c r="R15" s="12">
        <v>168.5</v>
      </c>
      <c r="S15" s="12">
        <v>158.69999999999999</v>
      </c>
      <c r="T15" s="12">
        <v>167</v>
      </c>
      <c r="U15" s="12">
        <v>163.4</v>
      </c>
      <c r="V15" s="12">
        <v>160.19999999999999</v>
      </c>
      <c r="W15" s="12">
        <v>164.1</v>
      </c>
      <c r="X15" s="12">
        <v>170.6</v>
      </c>
      <c r="Y15" s="12">
        <v>162.6</v>
      </c>
      <c r="Z15" s="12">
        <v>155.69999999999999</v>
      </c>
      <c r="AA15" s="12">
        <v>160.6</v>
      </c>
      <c r="AB15" s="12">
        <v>164.4</v>
      </c>
      <c r="AC15" s="12">
        <v>192.4</v>
      </c>
      <c r="AD15" s="12">
        <v>162</v>
      </c>
    </row>
    <row r="16" spans="1:30">
      <c r="A16" s="12" t="s">
        <v>34</v>
      </c>
      <c r="B16" s="12">
        <v>2022</v>
      </c>
      <c r="C16" s="12" t="s">
        <v>31</v>
      </c>
      <c r="D16" s="90">
        <f t="shared" si="0"/>
        <v>44562</v>
      </c>
      <c r="E16" s="12">
        <v>149.5</v>
      </c>
      <c r="F16" s="12">
        <v>198.7</v>
      </c>
      <c r="G16" s="12">
        <v>178.8</v>
      </c>
      <c r="H16" s="12">
        <v>160.5</v>
      </c>
      <c r="I16" s="12">
        <v>184.7</v>
      </c>
      <c r="J16" s="12">
        <v>153.69999999999999</v>
      </c>
      <c r="K16" s="12">
        <v>174.3</v>
      </c>
      <c r="L16" s="12">
        <v>163.9</v>
      </c>
      <c r="M16" s="12">
        <v>120</v>
      </c>
      <c r="N16" s="12">
        <v>172.1</v>
      </c>
      <c r="O16" s="12">
        <v>164.3</v>
      </c>
      <c r="P16" s="12">
        <v>177.3</v>
      </c>
      <c r="Q16" s="12">
        <v>166.4</v>
      </c>
      <c r="R16" s="12">
        <v>169.9</v>
      </c>
      <c r="S16" s="12">
        <v>160.69999999999999</v>
      </c>
      <c r="T16" s="12">
        <v>168.5</v>
      </c>
      <c r="U16" s="12">
        <v>164.5</v>
      </c>
      <c r="V16" s="12">
        <v>161.1</v>
      </c>
      <c r="W16" s="12">
        <v>164.2</v>
      </c>
      <c r="X16" s="12">
        <v>171.4</v>
      </c>
      <c r="Y16" s="12">
        <v>163</v>
      </c>
      <c r="Z16" s="12">
        <v>156.5</v>
      </c>
      <c r="AA16" s="12">
        <v>161.19999999999999</v>
      </c>
      <c r="AB16" s="12">
        <v>164.7</v>
      </c>
      <c r="AC16" s="12">
        <v>192.2</v>
      </c>
      <c r="AD16" s="12">
        <v>162.69999999999999</v>
      </c>
    </row>
    <row r="17" spans="1:30">
      <c r="A17" s="12" t="s">
        <v>34</v>
      </c>
      <c r="B17" s="12">
        <v>2022</v>
      </c>
      <c r="C17" s="12" t="s">
        <v>35</v>
      </c>
      <c r="D17" s="90">
        <f t="shared" si="0"/>
        <v>44593</v>
      </c>
      <c r="E17" s="12">
        <v>150</v>
      </c>
      <c r="F17" s="12">
        <v>200.6</v>
      </c>
      <c r="G17" s="12">
        <v>175.8</v>
      </c>
      <c r="H17" s="12">
        <v>160.69999999999999</v>
      </c>
      <c r="I17" s="12">
        <v>184.9</v>
      </c>
      <c r="J17" s="12">
        <v>153.69999999999999</v>
      </c>
      <c r="K17" s="12">
        <v>169.7</v>
      </c>
      <c r="L17" s="12">
        <v>163.69999999999999</v>
      </c>
      <c r="M17" s="12">
        <v>118.9</v>
      </c>
      <c r="N17" s="12">
        <v>174.3</v>
      </c>
      <c r="O17" s="12">
        <v>164.7</v>
      </c>
      <c r="P17" s="12">
        <v>178</v>
      </c>
      <c r="Q17" s="12">
        <v>166.2</v>
      </c>
      <c r="R17" s="12">
        <v>170.8</v>
      </c>
      <c r="S17" s="12">
        <v>162.4</v>
      </c>
      <c r="T17" s="12">
        <v>169.6</v>
      </c>
      <c r="U17" s="12">
        <v>165.5</v>
      </c>
      <c r="V17" s="12">
        <v>161.80000000000001</v>
      </c>
      <c r="W17" s="12">
        <v>165.7</v>
      </c>
      <c r="X17" s="12">
        <v>172.2</v>
      </c>
      <c r="Y17" s="12">
        <v>164.4</v>
      </c>
      <c r="Z17" s="12">
        <v>156.9</v>
      </c>
      <c r="AA17" s="12">
        <v>162.1</v>
      </c>
      <c r="AB17" s="12">
        <v>165.4</v>
      </c>
      <c r="AC17" s="12">
        <v>192.8</v>
      </c>
      <c r="AD17" s="12">
        <v>163.5</v>
      </c>
    </row>
    <row r="18" spans="1:30">
      <c r="A18" s="12" t="s">
        <v>34</v>
      </c>
      <c r="B18" s="12">
        <v>2022</v>
      </c>
      <c r="C18" s="12" t="s">
        <v>36</v>
      </c>
      <c r="D18" s="90">
        <f t="shared" si="0"/>
        <v>44621</v>
      </c>
      <c r="E18" s="12">
        <v>151.30000000000001</v>
      </c>
      <c r="F18" s="12">
        <v>210.7</v>
      </c>
      <c r="G18" s="12">
        <v>167.8</v>
      </c>
      <c r="H18" s="12">
        <v>162.19999999999999</v>
      </c>
      <c r="I18" s="12">
        <v>194.6</v>
      </c>
      <c r="J18" s="12">
        <v>157.6</v>
      </c>
      <c r="K18" s="12">
        <v>166.9</v>
      </c>
      <c r="L18" s="12">
        <v>163.9</v>
      </c>
      <c r="M18" s="12">
        <v>118.8</v>
      </c>
      <c r="N18" s="12">
        <v>177.4</v>
      </c>
      <c r="O18" s="12">
        <v>165.3</v>
      </c>
      <c r="P18" s="12">
        <v>179.3</v>
      </c>
      <c r="Q18" s="12">
        <v>168.4</v>
      </c>
      <c r="R18" s="12">
        <v>172.1</v>
      </c>
      <c r="S18" s="12">
        <v>164.6</v>
      </c>
      <c r="T18" s="12">
        <v>171.1</v>
      </c>
      <c r="U18" s="12">
        <v>165.3</v>
      </c>
      <c r="V18" s="12">
        <v>162.80000000000001</v>
      </c>
      <c r="W18" s="12">
        <v>167.2</v>
      </c>
      <c r="X18" s="12">
        <v>173</v>
      </c>
      <c r="Y18" s="12">
        <v>167.2</v>
      </c>
      <c r="Z18" s="12">
        <v>157.9</v>
      </c>
      <c r="AA18" s="12">
        <v>163.30000000000001</v>
      </c>
      <c r="AB18" s="12">
        <v>166</v>
      </c>
      <c r="AC18" s="12">
        <v>193.7</v>
      </c>
      <c r="AD18" s="12">
        <v>164.6</v>
      </c>
    </row>
    <row r="19" spans="1:30">
      <c r="A19" s="12" t="s">
        <v>34</v>
      </c>
      <c r="B19" s="12">
        <v>2022</v>
      </c>
      <c r="C19" s="12" t="s">
        <v>37</v>
      </c>
      <c r="D19" s="90">
        <f t="shared" si="0"/>
        <v>44652</v>
      </c>
      <c r="E19" s="12">
        <v>152.9</v>
      </c>
      <c r="F19" s="12">
        <v>211.8</v>
      </c>
      <c r="G19" s="12">
        <v>164.5</v>
      </c>
      <c r="H19" s="12">
        <v>163.9</v>
      </c>
      <c r="I19" s="12">
        <v>199.5</v>
      </c>
      <c r="J19" s="12">
        <v>172.6</v>
      </c>
      <c r="K19" s="12">
        <v>166.2</v>
      </c>
      <c r="L19" s="12">
        <v>164.7</v>
      </c>
      <c r="M19" s="12">
        <v>119</v>
      </c>
      <c r="N19" s="12">
        <v>181.3</v>
      </c>
      <c r="O19" s="12">
        <v>166.2</v>
      </c>
      <c r="P19" s="12">
        <v>180.9</v>
      </c>
      <c r="Q19" s="12">
        <v>170.8</v>
      </c>
      <c r="R19" s="12">
        <v>173.9</v>
      </c>
      <c r="S19" s="12">
        <v>166.5</v>
      </c>
      <c r="T19" s="12">
        <v>172.8</v>
      </c>
      <c r="U19" s="12">
        <v>167</v>
      </c>
      <c r="V19" s="12">
        <v>164</v>
      </c>
      <c r="W19" s="12">
        <v>172.2</v>
      </c>
      <c r="X19" s="12">
        <v>174</v>
      </c>
      <c r="Y19" s="12">
        <v>168.8</v>
      </c>
      <c r="Z19" s="12">
        <v>162.6</v>
      </c>
      <c r="AA19" s="12">
        <v>164.4</v>
      </c>
      <c r="AB19" s="12">
        <v>166.9</v>
      </c>
      <c r="AC19" s="12">
        <v>193.9</v>
      </c>
      <c r="AD19" s="12">
        <v>166.8</v>
      </c>
    </row>
    <row r="20" spans="1:30">
      <c r="A20" s="12" t="s">
        <v>34</v>
      </c>
      <c r="B20" s="12">
        <v>2022</v>
      </c>
      <c r="C20" s="12" t="s">
        <v>38</v>
      </c>
      <c r="D20" s="90">
        <f t="shared" si="0"/>
        <v>44682</v>
      </c>
      <c r="E20" s="12">
        <v>154.1</v>
      </c>
      <c r="F20" s="12">
        <v>217</v>
      </c>
      <c r="G20" s="12">
        <v>162.4</v>
      </c>
      <c r="H20" s="12">
        <v>164.9</v>
      </c>
      <c r="I20" s="12">
        <v>202.4</v>
      </c>
      <c r="J20" s="12">
        <v>171</v>
      </c>
      <c r="K20" s="12">
        <v>174.9</v>
      </c>
      <c r="L20" s="12">
        <v>164.7</v>
      </c>
      <c r="M20" s="12">
        <v>119.7</v>
      </c>
      <c r="N20" s="12">
        <v>184.9</v>
      </c>
      <c r="O20" s="12">
        <v>167.1</v>
      </c>
      <c r="P20" s="12">
        <v>182.5</v>
      </c>
      <c r="Q20" s="12">
        <v>173.3</v>
      </c>
      <c r="R20" s="12">
        <v>175.6</v>
      </c>
      <c r="S20" s="12">
        <v>168.4</v>
      </c>
      <c r="T20" s="12">
        <v>174.6</v>
      </c>
      <c r="U20" s="12">
        <v>167.5</v>
      </c>
      <c r="V20" s="12">
        <v>165.2</v>
      </c>
      <c r="W20" s="12">
        <v>174.6</v>
      </c>
      <c r="X20" s="12">
        <v>174.8</v>
      </c>
      <c r="Y20" s="12">
        <v>168.4</v>
      </c>
      <c r="Z20" s="12">
        <v>163</v>
      </c>
      <c r="AA20" s="12">
        <v>165.1</v>
      </c>
      <c r="AB20" s="12">
        <v>167.9</v>
      </c>
      <c r="AC20" s="12">
        <v>194.1</v>
      </c>
      <c r="AD20" s="12">
        <v>167.5</v>
      </c>
    </row>
    <row r="21" spans="1:30">
      <c r="A21" s="12" t="s">
        <v>34</v>
      </c>
      <c r="B21" s="12">
        <v>2022</v>
      </c>
      <c r="C21" s="12" t="s">
        <v>39</v>
      </c>
      <c r="D21" s="90">
        <f t="shared" si="0"/>
        <v>44713</v>
      </c>
      <c r="E21" s="12">
        <v>155</v>
      </c>
      <c r="F21" s="12">
        <v>219.4</v>
      </c>
      <c r="G21" s="12">
        <v>170.8</v>
      </c>
      <c r="H21" s="12">
        <v>165.8</v>
      </c>
      <c r="I21" s="12">
        <v>200.9</v>
      </c>
      <c r="J21" s="12">
        <v>169.7</v>
      </c>
      <c r="K21" s="12">
        <v>182.3</v>
      </c>
      <c r="L21" s="12">
        <v>164.3</v>
      </c>
      <c r="M21" s="12">
        <v>119.9</v>
      </c>
      <c r="N21" s="12">
        <v>187.1</v>
      </c>
      <c r="O21" s="12">
        <v>167.9</v>
      </c>
      <c r="P21" s="12">
        <v>183.9</v>
      </c>
      <c r="Q21" s="12">
        <v>174.9</v>
      </c>
      <c r="R21" s="12">
        <v>177.1</v>
      </c>
      <c r="S21" s="12">
        <v>169.9</v>
      </c>
      <c r="T21" s="12">
        <v>176</v>
      </c>
      <c r="U21" s="12">
        <v>166.8</v>
      </c>
      <c r="V21" s="12">
        <v>166.4</v>
      </c>
      <c r="W21" s="12">
        <v>176</v>
      </c>
      <c r="X21" s="12">
        <v>175.4</v>
      </c>
      <c r="Y21" s="12">
        <v>169.4</v>
      </c>
      <c r="Z21" s="12">
        <v>161.1</v>
      </c>
      <c r="AA21" s="12">
        <v>165.8</v>
      </c>
      <c r="AB21" s="12">
        <v>169</v>
      </c>
      <c r="AC21" s="12">
        <v>194.3</v>
      </c>
      <c r="AD21" s="12">
        <v>167.5</v>
      </c>
    </row>
    <row r="22" spans="1:30">
      <c r="A22" s="12" t="s">
        <v>34</v>
      </c>
      <c r="B22" s="12">
        <v>2022</v>
      </c>
      <c r="C22" s="12" t="s">
        <v>40</v>
      </c>
      <c r="D22" s="90">
        <f t="shared" si="0"/>
        <v>44743</v>
      </c>
      <c r="E22" s="12">
        <v>156.5</v>
      </c>
      <c r="F22" s="12">
        <v>213</v>
      </c>
      <c r="G22" s="12">
        <v>175.2</v>
      </c>
      <c r="H22" s="12">
        <v>166.6</v>
      </c>
      <c r="I22" s="12">
        <v>195.8</v>
      </c>
      <c r="J22" s="12">
        <v>174.2</v>
      </c>
      <c r="K22" s="12">
        <v>182.1</v>
      </c>
      <c r="L22" s="12">
        <v>164.3</v>
      </c>
      <c r="M22" s="12">
        <v>120</v>
      </c>
      <c r="N22" s="12">
        <v>190</v>
      </c>
      <c r="O22" s="12">
        <v>168.4</v>
      </c>
      <c r="P22" s="12">
        <v>185.2</v>
      </c>
      <c r="Q22" s="12">
        <v>175</v>
      </c>
      <c r="R22" s="12">
        <v>178.3</v>
      </c>
      <c r="S22" s="12">
        <v>171.3</v>
      </c>
      <c r="T22" s="12">
        <v>177.3</v>
      </c>
      <c r="U22" s="12">
        <v>167.8</v>
      </c>
      <c r="V22" s="12">
        <v>167.4</v>
      </c>
      <c r="W22" s="12">
        <v>179.6</v>
      </c>
      <c r="X22" s="12">
        <v>176.1</v>
      </c>
      <c r="Y22" s="12">
        <v>169.7</v>
      </c>
      <c r="Z22" s="12">
        <v>161.6</v>
      </c>
      <c r="AA22" s="12">
        <v>166.3</v>
      </c>
      <c r="AB22" s="12">
        <v>171.4</v>
      </c>
      <c r="AC22" s="12">
        <v>194.6</v>
      </c>
      <c r="AD22" s="12">
        <v>168.4</v>
      </c>
    </row>
    <row r="23" spans="1:30">
      <c r="A23" s="12" t="s">
        <v>34</v>
      </c>
      <c r="B23" s="12">
        <v>2022</v>
      </c>
      <c r="C23" s="12" t="s">
        <v>41</v>
      </c>
      <c r="D23" s="90">
        <f t="shared" si="0"/>
        <v>44774</v>
      </c>
      <c r="E23" s="12">
        <v>160.30000000000001</v>
      </c>
      <c r="F23" s="12">
        <v>206.5</v>
      </c>
      <c r="G23" s="12">
        <v>169.2</v>
      </c>
      <c r="H23" s="12">
        <v>168.1</v>
      </c>
      <c r="I23" s="12">
        <v>192.4</v>
      </c>
      <c r="J23" s="12">
        <v>172.9</v>
      </c>
      <c r="K23" s="12">
        <v>186.7</v>
      </c>
      <c r="L23" s="12">
        <v>167.2</v>
      </c>
      <c r="M23" s="12">
        <v>120.9</v>
      </c>
      <c r="N23" s="12">
        <v>193.6</v>
      </c>
      <c r="O23" s="12">
        <v>168.8</v>
      </c>
      <c r="P23" s="12">
        <v>186.3</v>
      </c>
      <c r="Q23" s="12">
        <v>176.3</v>
      </c>
      <c r="R23" s="12">
        <v>179.5</v>
      </c>
      <c r="S23" s="12">
        <v>172.7</v>
      </c>
      <c r="T23" s="12">
        <v>178.5</v>
      </c>
      <c r="U23" s="12">
        <v>169</v>
      </c>
      <c r="V23" s="12">
        <v>168.5</v>
      </c>
      <c r="W23" s="12">
        <v>178.8</v>
      </c>
      <c r="X23" s="12">
        <v>176.8</v>
      </c>
      <c r="Y23" s="12">
        <v>171.2</v>
      </c>
      <c r="Z23" s="12">
        <v>161.9</v>
      </c>
      <c r="AA23" s="12">
        <v>166.9</v>
      </c>
      <c r="AB23" s="12">
        <v>172.3</v>
      </c>
      <c r="AC23" s="12">
        <v>195</v>
      </c>
      <c r="AD23" s="12">
        <v>169.1</v>
      </c>
    </row>
    <row r="24" spans="1:30">
      <c r="A24" s="12" t="s">
        <v>34</v>
      </c>
      <c r="B24" s="12">
        <v>2022</v>
      </c>
      <c r="C24" s="12" t="s">
        <v>42</v>
      </c>
      <c r="D24" s="90">
        <f t="shared" si="0"/>
        <v>44805</v>
      </c>
      <c r="E24" s="12">
        <v>163.5</v>
      </c>
      <c r="F24" s="12">
        <v>209.2</v>
      </c>
      <c r="G24" s="12">
        <v>169.7</v>
      </c>
      <c r="H24" s="12">
        <v>169.7</v>
      </c>
      <c r="I24" s="12">
        <v>188.7</v>
      </c>
      <c r="J24" s="12">
        <v>165.7</v>
      </c>
      <c r="K24" s="12">
        <v>191.8</v>
      </c>
      <c r="L24" s="12">
        <v>169.1</v>
      </c>
      <c r="M24" s="12">
        <v>121.6</v>
      </c>
      <c r="N24" s="12">
        <v>197.3</v>
      </c>
      <c r="O24" s="12">
        <v>169.4</v>
      </c>
      <c r="P24" s="12">
        <v>187.4</v>
      </c>
      <c r="Q24" s="12">
        <v>177.8</v>
      </c>
      <c r="R24" s="12">
        <v>180.9</v>
      </c>
      <c r="S24" s="12">
        <v>174.3</v>
      </c>
      <c r="T24" s="12">
        <v>179.9</v>
      </c>
      <c r="U24" s="12">
        <v>169.5</v>
      </c>
      <c r="V24" s="12">
        <v>169.5</v>
      </c>
      <c r="W24" s="12">
        <v>179.5</v>
      </c>
      <c r="X24" s="12">
        <v>177.8</v>
      </c>
      <c r="Y24" s="12">
        <v>170.9</v>
      </c>
      <c r="Z24" s="12">
        <v>162.30000000000001</v>
      </c>
      <c r="AA24" s="12">
        <v>167.6</v>
      </c>
      <c r="AB24" s="12">
        <v>173.1</v>
      </c>
      <c r="AC24" s="12">
        <v>195.9</v>
      </c>
      <c r="AD24" s="12">
        <v>169.7</v>
      </c>
    </row>
    <row r="25" spans="1:30">
      <c r="A25" s="12" t="s">
        <v>34</v>
      </c>
      <c r="B25" s="12">
        <v>2022</v>
      </c>
      <c r="C25" s="12" t="s">
        <v>43</v>
      </c>
      <c r="D25" s="90">
        <f t="shared" si="0"/>
        <v>44835</v>
      </c>
      <c r="E25" s="12">
        <v>165.2</v>
      </c>
      <c r="F25" s="12">
        <v>210.9</v>
      </c>
      <c r="G25" s="12">
        <v>170.9</v>
      </c>
      <c r="H25" s="12">
        <v>170.9</v>
      </c>
      <c r="I25" s="12">
        <v>186.5</v>
      </c>
      <c r="J25" s="12">
        <v>163.80000000000001</v>
      </c>
      <c r="K25" s="12">
        <v>199.7</v>
      </c>
      <c r="L25" s="12">
        <v>169.8</v>
      </c>
      <c r="M25" s="12">
        <v>121.9</v>
      </c>
      <c r="N25" s="12">
        <v>199.9</v>
      </c>
      <c r="O25" s="12">
        <v>169.9</v>
      </c>
      <c r="P25" s="12">
        <v>188.3</v>
      </c>
      <c r="Q25" s="12">
        <v>179.6</v>
      </c>
      <c r="R25" s="12">
        <v>181.9</v>
      </c>
      <c r="S25" s="12">
        <v>175.3</v>
      </c>
      <c r="T25" s="12">
        <v>181</v>
      </c>
      <c r="U25" s="12">
        <v>171.2</v>
      </c>
      <c r="V25" s="12">
        <v>170.4</v>
      </c>
      <c r="W25" s="12">
        <v>180.5</v>
      </c>
      <c r="X25" s="12">
        <v>178.7</v>
      </c>
      <c r="Y25" s="12">
        <v>172.1</v>
      </c>
      <c r="Z25" s="12">
        <v>162.9</v>
      </c>
      <c r="AA25" s="12">
        <v>168.2</v>
      </c>
      <c r="AB25" s="12">
        <v>173.4</v>
      </c>
      <c r="AC25" s="12">
        <v>196.3</v>
      </c>
      <c r="AD25" s="12">
        <v>170.5</v>
      </c>
    </row>
    <row r="26" spans="1:30">
      <c r="A26" s="12" t="s">
        <v>34</v>
      </c>
      <c r="B26" s="12">
        <v>2022</v>
      </c>
      <c r="C26" s="12" t="s">
        <v>45</v>
      </c>
      <c r="D26" s="90">
        <f t="shared" si="0"/>
        <v>44866</v>
      </c>
      <c r="E26" s="12">
        <v>167.4</v>
      </c>
      <c r="F26" s="12">
        <v>209.4</v>
      </c>
      <c r="G26" s="12">
        <v>181.4</v>
      </c>
      <c r="H26" s="12">
        <v>172.3</v>
      </c>
      <c r="I26" s="12">
        <v>188.9</v>
      </c>
      <c r="J26" s="12">
        <v>160.69999999999999</v>
      </c>
      <c r="K26" s="12">
        <v>183.1</v>
      </c>
      <c r="L26" s="12">
        <v>170.5</v>
      </c>
      <c r="M26" s="12">
        <v>122.1</v>
      </c>
      <c r="N26" s="12">
        <v>202.8</v>
      </c>
      <c r="O26" s="12">
        <v>170.4</v>
      </c>
      <c r="P26" s="12">
        <v>189.5</v>
      </c>
      <c r="Q26" s="12">
        <v>178.3</v>
      </c>
      <c r="R26" s="12">
        <v>183.1</v>
      </c>
      <c r="S26" s="12">
        <v>176.2</v>
      </c>
      <c r="T26" s="12">
        <v>182.1</v>
      </c>
      <c r="U26" s="12">
        <v>171.8</v>
      </c>
      <c r="V26" s="12">
        <v>171.4</v>
      </c>
      <c r="W26" s="12">
        <v>181.3</v>
      </c>
      <c r="X26" s="12">
        <v>179.8</v>
      </c>
      <c r="Y26" s="12">
        <v>173.6</v>
      </c>
      <c r="Z26" s="12">
        <v>163</v>
      </c>
      <c r="AA26" s="12">
        <v>168.5</v>
      </c>
      <c r="AB26" s="12">
        <v>173.7</v>
      </c>
      <c r="AC26" s="12">
        <v>196.9</v>
      </c>
      <c r="AD26" s="12">
        <v>171.1</v>
      </c>
    </row>
    <row r="27" spans="1:30">
      <c r="A27" s="12" t="s">
        <v>34</v>
      </c>
      <c r="B27" s="12">
        <v>2022</v>
      </c>
      <c r="C27" s="12" t="s">
        <v>46</v>
      </c>
      <c r="D27" s="90">
        <f t="shared" si="0"/>
        <v>44896</v>
      </c>
      <c r="E27" s="12">
        <v>169.2</v>
      </c>
      <c r="F27" s="12">
        <v>209</v>
      </c>
      <c r="G27" s="12">
        <v>190.2</v>
      </c>
      <c r="H27" s="12">
        <v>173.6</v>
      </c>
      <c r="I27" s="12">
        <v>188.5</v>
      </c>
      <c r="J27" s="12">
        <v>158</v>
      </c>
      <c r="K27" s="12">
        <v>159.9</v>
      </c>
      <c r="L27" s="12">
        <v>170.8</v>
      </c>
      <c r="M27" s="12">
        <v>121.8</v>
      </c>
      <c r="N27" s="12">
        <v>205.2</v>
      </c>
      <c r="O27" s="12">
        <v>171</v>
      </c>
      <c r="P27" s="12">
        <v>190.3</v>
      </c>
      <c r="Q27" s="12">
        <v>175.9</v>
      </c>
      <c r="R27" s="12">
        <v>184</v>
      </c>
      <c r="S27" s="12">
        <v>177</v>
      </c>
      <c r="T27" s="12">
        <v>183</v>
      </c>
      <c r="U27" s="12">
        <v>170.7</v>
      </c>
      <c r="V27" s="12">
        <v>172.1</v>
      </c>
      <c r="W27" s="12">
        <v>182</v>
      </c>
      <c r="X27" s="12">
        <v>181.1</v>
      </c>
      <c r="Y27" s="12">
        <v>175.8</v>
      </c>
      <c r="Z27" s="12">
        <v>163.4</v>
      </c>
      <c r="AA27" s="12">
        <v>168.9</v>
      </c>
      <c r="AB27" s="12">
        <v>174.1</v>
      </c>
      <c r="AC27" s="12">
        <v>197.3</v>
      </c>
      <c r="AD27" s="12">
        <v>172</v>
      </c>
    </row>
    <row r="28" spans="1:30">
      <c r="A28" s="12" t="s">
        <v>34</v>
      </c>
      <c r="B28" s="12">
        <v>2023</v>
      </c>
      <c r="C28" s="12" t="s">
        <v>31</v>
      </c>
      <c r="D28" s="90">
        <f t="shared" si="0"/>
        <v>44927</v>
      </c>
      <c r="E28" s="12">
        <v>173.8</v>
      </c>
      <c r="F28" s="12">
        <v>210.7</v>
      </c>
      <c r="G28" s="12">
        <v>194.5</v>
      </c>
      <c r="H28" s="12">
        <v>174.6</v>
      </c>
      <c r="I28" s="12">
        <v>187.2</v>
      </c>
      <c r="J28" s="12">
        <v>158.30000000000001</v>
      </c>
      <c r="K28" s="12">
        <v>153.9</v>
      </c>
      <c r="L28" s="12">
        <v>170.9</v>
      </c>
      <c r="M28" s="12">
        <v>121.1</v>
      </c>
      <c r="N28" s="12">
        <v>208.4</v>
      </c>
      <c r="O28" s="12">
        <v>171.4</v>
      </c>
      <c r="P28" s="12">
        <v>191.2</v>
      </c>
      <c r="Q28" s="12">
        <v>176.7</v>
      </c>
      <c r="R28" s="12">
        <v>184.9</v>
      </c>
      <c r="S28" s="12">
        <v>177.6</v>
      </c>
      <c r="T28" s="12">
        <v>183.8</v>
      </c>
      <c r="U28" s="12">
        <v>172.1</v>
      </c>
      <c r="V28" s="12">
        <v>172.9</v>
      </c>
      <c r="W28" s="12">
        <v>182</v>
      </c>
      <c r="X28" s="12">
        <v>182.3</v>
      </c>
      <c r="Y28" s="12">
        <v>178.6</v>
      </c>
      <c r="Z28" s="12">
        <v>163.6</v>
      </c>
      <c r="AA28" s="12">
        <v>169.5</v>
      </c>
      <c r="AB28" s="12">
        <v>174.3</v>
      </c>
      <c r="AC28" s="12">
        <v>198.2</v>
      </c>
      <c r="AD28" s="12">
        <v>172.8</v>
      </c>
    </row>
    <row r="29" spans="1:30">
      <c r="A29" s="12" t="s">
        <v>34</v>
      </c>
      <c r="B29" s="12">
        <v>2023</v>
      </c>
      <c r="C29" s="12" t="s">
        <v>35</v>
      </c>
      <c r="D29" s="90">
        <f t="shared" si="0"/>
        <v>44958</v>
      </c>
      <c r="E29" s="12">
        <v>174.4</v>
      </c>
      <c r="F29" s="12">
        <v>207.7</v>
      </c>
      <c r="G29" s="12">
        <v>175.2</v>
      </c>
      <c r="H29" s="12">
        <v>177.3</v>
      </c>
      <c r="I29" s="12">
        <v>179.3</v>
      </c>
      <c r="J29" s="12">
        <v>169.5</v>
      </c>
      <c r="K29" s="12">
        <v>152.69999999999999</v>
      </c>
      <c r="L29" s="12">
        <v>171</v>
      </c>
      <c r="M29" s="12">
        <v>120</v>
      </c>
      <c r="N29" s="12">
        <v>209.7</v>
      </c>
      <c r="O29" s="12">
        <v>172.3</v>
      </c>
      <c r="P29" s="12">
        <v>193</v>
      </c>
      <c r="Q29" s="12">
        <v>177</v>
      </c>
      <c r="R29" s="12">
        <v>186.2</v>
      </c>
      <c r="S29" s="12">
        <v>178.7</v>
      </c>
      <c r="T29" s="12">
        <v>185.1</v>
      </c>
      <c r="U29" s="12">
        <v>173.5</v>
      </c>
      <c r="V29" s="12">
        <v>174.2</v>
      </c>
      <c r="W29" s="12">
        <v>182.1</v>
      </c>
      <c r="X29" s="12">
        <v>184.4</v>
      </c>
      <c r="Y29" s="12">
        <v>181</v>
      </c>
      <c r="Z29" s="12">
        <v>164.2</v>
      </c>
      <c r="AA29" s="12">
        <v>170.3</v>
      </c>
      <c r="AB29" s="12">
        <v>175</v>
      </c>
      <c r="AC29" s="12">
        <v>199.5</v>
      </c>
      <c r="AD29" s="12">
        <v>174.1</v>
      </c>
    </row>
    <row r="30" spans="1:30">
      <c r="A30" s="12" t="s">
        <v>34</v>
      </c>
      <c r="B30" s="12">
        <v>2023</v>
      </c>
      <c r="C30" s="12" t="s">
        <v>36</v>
      </c>
      <c r="D30" s="90">
        <f t="shared" si="0"/>
        <v>44986</v>
      </c>
      <c r="E30" s="12">
        <v>174.4</v>
      </c>
      <c r="F30" s="12">
        <v>207.7</v>
      </c>
      <c r="G30" s="12">
        <v>175.2</v>
      </c>
      <c r="H30" s="12">
        <v>177.3</v>
      </c>
      <c r="I30" s="12">
        <v>179.2</v>
      </c>
      <c r="J30" s="12">
        <v>169.5</v>
      </c>
      <c r="K30" s="12">
        <v>152.80000000000001</v>
      </c>
      <c r="L30" s="12">
        <v>171.1</v>
      </c>
      <c r="M30" s="12">
        <v>120</v>
      </c>
      <c r="N30" s="12">
        <v>209.7</v>
      </c>
      <c r="O30" s="12">
        <v>172.3</v>
      </c>
      <c r="P30" s="12">
        <v>193</v>
      </c>
      <c r="Q30" s="12">
        <v>177</v>
      </c>
      <c r="R30" s="12">
        <v>186.1</v>
      </c>
      <c r="S30" s="12">
        <v>178.7</v>
      </c>
      <c r="T30" s="12">
        <v>185.1</v>
      </c>
      <c r="U30" s="12">
        <v>173.5</v>
      </c>
      <c r="V30" s="12">
        <v>174.2</v>
      </c>
      <c r="W30" s="12">
        <v>181.9</v>
      </c>
      <c r="X30" s="12">
        <v>184.4</v>
      </c>
      <c r="Y30" s="12">
        <v>181</v>
      </c>
      <c r="Z30" s="12">
        <v>164.2</v>
      </c>
      <c r="AA30" s="12">
        <v>170.3</v>
      </c>
      <c r="AB30" s="12">
        <v>175</v>
      </c>
      <c r="AC30" s="12">
        <v>199.5</v>
      </c>
      <c r="AD30" s="12">
        <v>174.1</v>
      </c>
    </row>
    <row r="31" spans="1:30">
      <c r="A31" s="12" t="s">
        <v>34</v>
      </c>
      <c r="B31" s="12">
        <v>2023</v>
      </c>
      <c r="C31" s="12" t="s">
        <v>37</v>
      </c>
      <c r="D31" s="90">
        <f t="shared" si="0"/>
        <v>45017</v>
      </c>
      <c r="E31" s="12">
        <v>173.8</v>
      </c>
      <c r="F31" s="12">
        <v>209.3</v>
      </c>
      <c r="G31" s="12">
        <v>169.6</v>
      </c>
      <c r="H31" s="12">
        <v>178.4</v>
      </c>
      <c r="I31" s="12">
        <v>174.9</v>
      </c>
      <c r="J31" s="12">
        <v>176.3</v>
      </c>
      <c r="K31" s="12">
        <v>155.4</v>
      </c>
      <c r="L31" s="12">
        <v>173.4</v>
      </c>
      <c r="M31" s="12">
        <v>121.3</v>
      </c>
      <c r="N31" s="12">
        <v>212.9</v>
      </c>
      <c r="O31" s="12">
        <v>172.9</v>
      </c>
      <c r="P31" s="12">
        <v>193.5</v>
      </c>
      <c r="Q31" s="12">
        <v>177.9</v>
      </c>
      <c r="R31" s="12">
        <v>186.9</v>
      </c>
      <c r="S31" s="12">
        <v>179.2</v>
      </c>
      <c r="T31" s="12">
        <v>185.7</v>
      </c>
      <c r="U31" s="12">
        <v>175.2</v>
      </c>
      <c r="V31" s="12">
        <v>174.6</v>
      </c>
      <c r="W31" s="12">
        <v>181.7</v>
      </c>
      <c r="X31" s="12">
        <v>185</v>
      </c>
      <c r="Y31" s="12">
        <v>184</v>
      </c>
      <c r="Z31" s="12">
        <v>164.5</v>
      </c>
      <c r="AA31" s="12">
        <v>170.7</v>
      </c>
      <c r="AB31" s="12">
        <v>176.4</v>
      </c>
      <c r="AC31" s="12">
        <v>200.6</v>
      </c>
      <c r="AD31" s="12">
        <v>175</v>
      </c>
    </row>
    <row r="32" spans="1:30">
      <c r="A32" s="12" t="s">
        <v>34</v>
      </c>
      <c r="B32" s="12">
        <v>2023</v>
      </c>
      <c r="C32" s="12" t="s">
        <v>38</v>
      </c>
      <c r="D32" s="90">
        <f t="shared" si="0"/>
        <v>45047</v>
      </c>
      <c r="E32" s="12">
        <v>173.7</v>
      </c>
      <c r="F32" s="12">
        <v>214.3</v>
      </c>
      <c r="G32" s="12">
        <v>173.2</v>
      </c>
      <c r="H32" s="12">
        <v>179.5</v>
      </c>
      <c r="I32" s="12">
        <v>170</v>
      </c>
      <c r="J32" s="12">
        <v>172.2</v>
      </c>
      <c r="K32" s="12">
        <v>161</v>
      </c>
      <c r="L32" s="12">
        <v>175.6</v>
      </c>
      <c r="M32" s="12">
        <v>122.7</v>
      </c>
      <c r="N32" s="12">
        <v>218</v>
      </c>
      <c r="O32" s="12">
        <v>173.4</v>
      </c>
      <c r="P32" s="12">
        <v>194.2</v>
      </c>
      <c r="Q32" s="12">
        <v>179.1</v>
      </c>
      <c r="R32" s="12">
        <v>187.3</v>
      </c>
      <c r="S32" s="12">
        <v>179.7</v>
      </c>
      <c r="T32" s="12">
        <v>186.2</v>
      </c>
      <c r="U32" s="12">
        <v>175.6</v>
      </c>
      <c r="V32" s="12">
        <v>175.2</v>
      </c>
      <c r="W32" s="12">
        <v>182.8</v>
      </c>
      <c r="X32" s="12">
        <v>185.7</v>
      </c>
      <c r="Y32" s="12">
        <v>185.2</v>
      </c>
      <c r="Z32" s="12">
        <v>164.8</v>
      </c>
      <c r="AA32" s="12">
        <v>171.2</v>
      </c>
      <c r="AB32" s="12">
        <v>177.1</v>
      </c>
      <c r="AC32" s="12">
        <v>201</v>
      </c>
      <c r="AD32" s="12">
        <v>175.7</v>
      </c>
    </row>
    <row r="34" spans="1:31">
      <c r="K34" s="138" t="s">
        <v>126</v>
      </c>
      <c r="L34" s="138"/>
      <c r="M34" s="138"/>
      <c r="N34" s="138"/>
      <c r="O34" s="138"/>
      <c r="P34" s="138"/>
    </row>
    <row r="35" spans="1:31" s="77" customFormat="1">
      <c r="D35" s="94"/>
    </row>
    <row r="36" spans="1:31">
      <c r="A36" s="98" t="s">
        <v>30</v>
      </c>
    </row>
    <row r="37" spans="1:31">
      <c r="A37" s="12" t="s">
        <v>0</v>
      </c>
      <c r="B37" s="12" t="s">
        <v>1</v>
      </c>
      <c r="C37" s="12" t="s">
        <v>2</v>
      </c>
      <c r="D37" s="95" t="s">
        <v>100</v>
      </c>
      <c r="E37" s="12" t="s">
        <v>3</v>
      </c>
      <c r="F37" s="12" t="s">
        <v>4</v>
      </c>
      <c r="G37" s="12" t="s">
        <v>5</v>
      </c>
      <c r="H37" s="12" t="s">
        <v>6</v>
      </c>
      <c r="I37" s="12" t="s">
        <v>7</v>
      </c>
      <c r="J37" s="12" t="s">
        <v>8</v>
      </c>
      <c r="K37" s="12" t="s">
        <v>9</v>
      </c>
      <c r="L37" s="12" t="s">
        <v>10</v>
      </c>
      <c r="M37" s="12" t="s">
        <v>11</v>
      </c>
      <c r="N37" s="12" t="s">
        <v>12</v>
      </c>
      <c r="O37" s="12" t="s">
        <v>13</v>
      </c>
      <c r="P37" s="12" t="s">
        <v>14</v>
      </c>
      <c r="Q37" s="12" t="s">
        <v>15</v>
      </c>
      <c r="R37" s="12" t="s">
        <v>17</v>
      </c>
      <c r="S37" s="12" t="s">
        <v>18</v>
      </c>
      <c r="T37" s="12" t="s">
        <v>19</v>
      </c>
      <c r="U37" s="12" t="s">
        <v>20</v>
      </c>
      <c r="V37" s="12" t="s">
        <v>22</v>
      </c>
      <c r="W37" s="12" t="s">
        <v>21</v>
      </c>
      <c r="X37" s="12" t="s">
        <v>23</v>
      </c>
      <c r="Y37" s="12" t="s">
        <v>27</v>
      </c>
      <c r="Z37" s="12" t="s">
        <v>24</v>
      </c>
      <c r="AA37" s="12" t="s">
        <v>25</v>
      </c>
      <c r="AB37" s="12" t="s">
        <v>26</v>
      </c>
      <c r="AC37" s="12" t="s">
        <v>16</v>
      </c>
      <c r="AD37" s="12" t="s">
        <v>28</v>
      </c>
    </row>
    <row r="38" spans="1:31" s="97" customFormat="1">
      <c r="A38" s="21" t="s">
        <v>30</v>
      </c>
      <c r="B38" s="26">
        <v>2020</v>
      </c>
      <c r="C38" s="21" t="s">
        <v>46</v>
      </c>
      <c r="D38" s="96">
        <f>DATE(B38,MONTH(1&amp;C38),1)</f>
        <v>44166</v>
      </c>
      <c r="E38" s="66">
        <v>144.6</v>
      </c>
      <c r="F38" s="66">
        <v>188.5</v>
      </c>
      <c r="G38" s="66">
        <v>173.4</v>
      </c>
      <c r="H38" s="66">
        <v>154</v>
      </c>
      <c r="I38" s="66">
        <v>150</v>
      </c>
      <c r="J38" s="66">
        <v>145.9</v>
      </c>
      <c r="K38" s="66">
        <v>225.2</v>
      </c>
      <c r="L38" s="66">
        <v>159.5</v>
      </c>
      <c r="M38" s="66">
        <v>114.4</v>
      </c>
      <c r="N38" s="66">
        <v>163.5</v>
      </c>
      <c r="O38" s="66">
        <v>153.4</v>
      </c>
      <c r="P38" s="66">
        <v>163.6</v>
      </c>
      <c r="Q38" s="66">
        <v>164.5</v>
      </c>
      <c r="R38" s="58">
        <v>157</v>
      </c>
      <c r="S38" s="58">
        <v>151.6</v>
      </c>
      <c r="T38" s="58">
        <v>156.30000000000001</v>
      </c>
      <c r="U38" s="42">
        <v>139.25</v>
      </c>
      <c r="V38" s="58">
        <v>153.4</v>
      </c>
      <c r="W38" s="58">
        <v>148.69999999999999</v>
      </c>
      <c r="X38" s="58">
        <v>161.6</v>
      </c>
      <c r="Y38" s="58">
        <v>156.6</v>
      </c>
      <c r="Z38" s="66">
        <v>146.4</v>
      </c>
      <c r="AA38" s="66">
        <v>153.9</v>
      </c>
      <c r="AB38" s="66">
        <v>162.9</v>
      </c>
      <c r="AC38" s="66">
        <v>183.6</v>
      </c>
      <c r="AD38" s="99">
        <v>155.19999999999999</v>
      </c>
      <c r="AE38" s="100"/>
    </row>
    <row r="39" spans="1:31">
      <c r="A39" s="12" t="s">
        <v>30</v>
      </c>
      <c r="B39" s="12">
        <v>2021</v>
      </c>
      <c r="C39" s="12" t="s">
        <v>31</v>
      </c>
      <c r="D39" s="90">
        <f t="shared" ref="D39:D67" si="1">DATE(B39,MONTH(1&amp;C39),1)</f>
        <v>44197</v>
      </c>
      <c r="E39" s="12">
        <v>143.4</v>
      </c>
      <c r="F39" s="12">
        <v>187.5</v>
      </c>
      <c r="G39" s="12">
        <v>173.4</v>
      </c>
      <c r="H39" s="12">
        <v>154</v>
      </c>
      <c r="I39" s="12">
        <v>154.80000000000001</v>
      </c>
      <c r="J39" s="12">
        <v>147</v>
      </c>
      <c r="K39" s="12">
        <v>187.8</v>
      </c>
      <c r="L39" s="12">
        <v>159.5</v>
      </c>
      <c r="M39" s="12">
        <v>113.8</v>
      </c>
      <c r="N39" s="12">
        <v>164.5</v>
      </c>
      <c r="O39" s="12">
        <v>156.1</v>
      </c>
      <c r="P39" s="12">
        <v>164.3</v>
      </c>
      <c r="Q39" s="12">
        <v>159.6</v>
      </c>
      <c r="R39" s="12">
        <v>157.5</v>
      </c>
      <c r="S39" s="12">
        <v>152.4</v>
      </c>
      <c r="T39" s="12">
        <v>156.80000000000001</v>
      </c>
      <c r="U39" s="12">
        <v>139.25</v>
      </c>
      <c r="V39" s="12">
        <v>153.9</v>
      </c>
      <c r="W39" s="12">
        <v>150.9</v>
      </c>
      <c r="X39" s="12">
        <v>162.5</v>
      </c>
      <c r="Y39" s="12">
        <v>156.19999999999999</v>
      </c>
      <c r="Z39" s="12">
        <v>147.5</v>
      </c>
      <c r="AA39" s="12">
        <v>155.1</v>
      </c>
      <c r="AB39" s="12">
        <v>163.5</v>
      </c>
      <c r="AC39" s="12">
        <v>184.6</v>
      </c>
      <c r="AD39" s="12">
        <v>155.9</v>
      </c>
    </row>
    <row r="40" spans="1:31">
      <c r="A40" s="12" t="s">
        <v>30</v>
      </c>
      <c r="B40" s="12">
        <v>2021</v>
      </c>
      <c r="C40" s="12" t="s">
        <v>35</v>
      </c>
      <c r="D40" s="90">
        <f t="shared" si="1"/>
        <v>44228</v>
      </c>
      <c r="E40" s="12">
        <v>142.80000000000001</v>
      </c>
      <c r="F40" s="12">
        <v>184</v>
      </c>
      <c r="G40" s="12">
        <v>168</v>
      </c>
      <c r="H40" s="12">
        <v>154.4</v>
      </c>
      <c r="I40" s="12">
        <v>163</v>
      </c>
      <c r="J40" s="12">
        <v>147.80000000000001</v>
      </c>
      <c r="K40" s="12">
        <v>149.69999999999999</v>
      </c>
      <c r="L40" s="12">
        <v>158.30000000000001</v>
      </c>
      <c r="M40" s="12">
        <v>111.8</v>
      </c>
      <c r="N40" s="12">
        <v>165</v>
      </c>
      <c r="O40" s="12">
        <v>160</v>
      </c>
      <c r="P40" s="12">
        <v>165.8</v>
      </c>
      <c r="Q40" s="12">
        <v>154.69999999999999</v>
      </c>
      <c r="R40" s="12">
        <v>159.1</v>
      </c>
      <c r="S40" s="12">
        <v>153.9</v>
      </c>
      <c r="T40" s="12">
        <v>158.4</v>
      </c>
      <c r="U40" s="12">
        <v>139.25</v>
      </c>
      <c r="V40" s="12">
        <v>154.80000000000001</v>
      </c>
      <c r="W40" s="12">
        <v>154.4</v>
      </c>
      <c r="X40" s="12">
        <v>164.3</v>
      </c>
      <c r="Y40" s="12">
        <v>155.19999999999999</v>
      </c>
      <c r="Z40" s="12">
        <v>150.19999999999999</v>
      </c>
      <c r="AA40" s="12">
        <v>157</v>
      </c>
      <c r="AB40" s="12">
        <v>163.6</v>
      </c>
      <c r="AC40" s="12">
        <v>186.5</v>
      </c>
      <c r="AD40" s="12">
        <v>157.19999999999999</v>
      </c>
    </row>
    <row r="41" spans="1:31">
      <c r="A41" s="12" t="s">
        <v>30</v>
      </c>
      <c r="B41" s="12">
        <v>2021</v>
      </c>
      <c r="C41" s="12" t="s">
        <v>36</v>
      </c>
      <c r="D41" s="90">
        <f t="shared" si="1"/>
        <v>44256</v>
      </c>
      <c r="E41" s="12">
        <v>142.5</v>
      </c>
      <c r="F41" s="12">
        <v>189.4</v>
      </c>
      <c r="G41" s="12">
        <v>163.19999999999999</v>
      </c>
      <c r="H41" s="12">
        <v>154.5</v>
      </c>
      <c r="I41" s="12">
        <v>168.2</v>
      </c>
      <c r="J41" s="12">
        <v>150.5</v>
      </c>
      <c r="K41" s="12">
        <v>141</v>
      </c>
      <c r="L41" s="12">
        <v>159.19999999999999</v>
      </c>
      <c r="M41" s="12">
        <v>111.7</v>
      </c>
      <c r="N41" s="12">
        <v>164</v>
      </c>
      <c r="O41" s="12">
        <v>160.6</v>
      </c>
      <c r="P41" s="12">
        <v>166.4</v>
      </c>
      <c r="Q41" s="12">
        <v>154.5</v>
      </c>
      <c r="R41" s="12">
        <v>159.6</v>
      </c>
      <c r="S41" s="12">
        <v>154.4</v>
      </c>
      <c r="T41" s="12">
        <v>158.9</v>
      </c>
      <c r="U41" s="12">
        <v>139.25</v>
      </c>
      <c r="V41" s="12">
        <v>154.80000000000001</v>
      </c>
      <c r="W41" s="12">
        <v>156</v>
      </c>
      <c r="X41" s="12">
        <v>164.6</v>
      </c>
      <c r="Y41" s="12">
        <v>153.1</v>
      </c>
      <c r="Z41" s="12">
        <v>151.30000000000001</v>
      </c>
      <c r="AA41" s="12">
        <v>157.80000000000001</v>
      </c>
      <c r="AB41" s="12">
        <v>163.80000000000001</v>
      </c>
      <c r="AC41" s="12">
        <v>186.1</v>
      </c>
      <c r="AD41" s="12">
        <v>157.30000000000001</v>
      </c>
    </row>
    <row r="42" spans="1:31">
      <c r="A42" s="12" t="s">
        <v>30</v>
      </c>
      <c r="B42" s="12">
        <v>2021</v>
      </c>
      <c r="C42" s="12" t="s">
        <v>37</v>
      </c>
      <c r="D42" s="90">
        <f t="shared" si="1"/>
        <v>44287</v>
      </c>
      <c r="E42" s="12">
        <v>142.69999999999999</v>
      </c>
      <c r="F42" s="12">
        <v>195.5</v>
      </c>
      <c r="G42" s="12">
        <v>163.4</v>
      </c>
      <c r="H42" s="12">
        <v>155</v>
      </c>
      <c r="I42" s="12">
        <v>175.2</v>
      </c>
      <c r="J42" s="12">
        <v>160.6</v>
      </c>
      <c r="K42" s="12">
        <v>135.1</v>
      </c>
      <c r="L42" s="12">
        <v>161.1</v>
      </c>
      <c r="M42" s="12">
        <v>112.2</v>
      </c>
      <c r="N42" s="12">
        <v>164.4</v>
      </c>
      <c r="O42" s="12">
        <v>161.9</v>
      </c>
      <c r="P42" s="12">
        <v>166.8</v>
      </c>
      <c r="Q42" s="12">
        <v>155.6</v>
      </c>
      <c r="R42" s="12">
        <v>160.69999999999999</v>
      </c>
      <c r="S42" s="12">
        <v>155.1</v>
      </c>
      <c r="T42" s="12">
        <v>159.9</v>
      </c>
      <c r="U42" s="12">
        <v>139.25</v>
      </c>
      <c r="V42" s="12">
        <v>155.5</v>
      </c>
      <c r="W42" s="12">
        <v>158.9</v>
      </c>
      <c r="X42" s="12">
        <v>165.3</v>
      </c>
      <c r="Y42" s="12">
        <v>154.6</v>
      </c>
      <c r="Z42" s="12">
        <v>151.69999999999999</v>
      </c>
      <c r="AA42" s="12">
        <v>158.6</v>
      </c>
      <c r="AB42" s="12">
        <v>164.1</v>
      </c>
      <c r="AC42" s="12">
        <v>186.8</v>
      </c>
      <c r="AD42" s="12">
        <v>158</v>
      </c>
    </row>
    <row r="43" spans="1:31">
      <c r="A43" s="12" t="s">
        <v>30</v>
      </c>
      <c r="B43" s="12">
        <v>2021</v>
      </c>
      <c r="C43" s="12" t="s">
        <v>38</v>
      </c>
      <c r="D43" s="90">
        <f t="shared" si="1"/>
        <v>44317</v>
      </c>
      <c r="E43" s="12">
        <v>145.1</v>
      </c>
      <c r="F43" s="12">
        <v>198.5</v>
      </c>
      <c r="G43" s="12">
        <v>168.6</v>
      </c>
      <c r="H43" s="12">
        <v>155.80000000000001</v>
      </c>
      <c r="I43" s="12">
        <v>184.4</v>
      </c>
      <c r="J43" s="12">
        <v>162.30000000000001</v>
      </c>
      <c r="K43" s="12">
        <v>138.4</v>
      </c>
      <c r="L43" s="12">
        <v>165.1</v>
      </c>
      <c r="M43" s="12">
        <v>114.3</v>
      </c>
      <c r="N43" s="12">
        <v>169.7</v>
      </c>
      <c r="O43" s="12">
        <v>164.6</v>
      </c>
      <c r="P43" s="12">
        <v>169.8</v>
      </c>
      <c r="Q43" s="12">
        <v>158.69999999999999</v>
      </c>
      <c r="R43" s="12">
        <v>165.3</v>
      </c>
      <c r="S43" s="12">
        <v>160.6</v>
      </c>
      <c r="T43" s="12">
        <v>164.5</v>
      </c>
      <c r="U43" s="12">
        <v>139.25</v>
      </c>
      <c r="V43" s="12">
        <v>158.80000000000001</v>
      </c>
      <c r="W43" s="12">
        <v>161.69999999999999</v>
      </c>
      <c r="X43" s="12">
        <v>169.1</v>
      </c>
      <c r="Y43" s="12">
        <v>159.30000000000001</v>
      </c>
      <c r="Z43" s="12">
        <v>153.19999999999999</v>
      </c>
      <c r="AA43" s="12">
        <v>160</v>
      </c>
      <c r="AB43" s="12">
        <v>167.6</v>
      </c>
      <c r="AC43" s="12">
        <v>189.6</v>
      </c>
      <c r="AD43" s="12">
        <v>161.1</v>
      </c>
    </row>
    <row r="44" spans="1:31">
      <c r="A44" s="12" t="s">
        <v>30</v>
      </c>
      <c r="B44" s="12">
        <v>2021</v>
      </c>
      <c r="C44" s="12" t="s">
        <v>39</v>
      </c>
      <c r="D44" s="90">
        <f t="shared" si="1"/>
        <v>44348</v>
      </c>
      <c r="E44" s="12">
        <v>145.6</v>
      </c>
      <c r="F44" s="12">
        <v>200.1</v>
      </c>
      <c r="G44" s="12">
        <v>179.3</v>
      </c>
      <c r="H44" s="12">
        <v>156.1</v>
      </c>
      <c r="I44" s="12">
        <v>190.4</v>
      </c>
      <c r="J44" s="12">
        <v>158.6</v>
      </c>
      <c r="K44" s="12">
        <v>144.69999999999999</v>
      </c>
      <c r="L44" s="12">
        <v>165.5</v>
      </c>
      <c r="M44" s="12">
        <v>114.6</v>
      </c>
      <c r="N44" s="12">
        <v>170</v>
      </c>
      <c r="O44" s="12">
        <v>165.5</v>
      </c>
      <c r="P44" s="12">
        <v>171.7</v>
      </c>
      <c r="Q44" s="12">
        <v>160.5</v>
      </c>
      <c r="R44" s="12">
        <v>165.3</v>
      </c>
      <c r="S44" s="12">
        <v>159.9</v>
      </c>
      <c r="T44" s="12">
        <v>164.6</v>
      </c>
      <c r="U44" s="12">
        <v>139.25</v>
      </c>
      <c r="V44" s="12">
        <v>159.19999999999999</v>
      </c>
      <c r="W44" s="12">
        <v>162.1</v>
      </c>
      <c r="X44" s="12">
        <v>169.7</v>
      </c>
      <c r="Y44" s="12">
        <v>159.4</v>
      </c>
      <c r="Z44" s="12">
        <v>154.19999999999999</v>
      </c>
      <c r="AA44" s="12">
        <v>160.4</v>
      </c>
      <c r="AB44" s="12">
        <v>166.8</v>
      </c>
      <c r="AC44" s="12">
        <v>189.1</v>
      </c>
      <c r="AD44" s="12">
        <v>161.5</v>
      </c>
    </row>
    <row r="45" spans="1:31">
      <c r="A45" s="12" t="s">
        <v>30</v>
      </c>
      <c r="B45" s="12">
        <v>2021</v>
      </c>
      <c r="C45" s="12" t="s">
        <v>40</v>
      </c>
      <c r="D45" s="90">
        <f t="shared" si="1"/>
        <v>44378</v>
      </c>
      <c r="E45" s="12">
        <v>145.1</v>
      </c>
      <c r="F45" s="12">
        <v>204.5</v>
      </c>
      <c r="G45" s="12">
        <v>180.4</v>
      </c>
      <c r="H45" s="12">
        <v>157.1</v>
      </c>
      <c r="I45" s="12">
        <v>188.7</v>
      </c>
      <c r="J45" s="12">
        <v>157.69999999999999</v>
      </c>
      <c r="K45" s="12">
        <v>152.80000000000001</v>
      </c>
      <c r="L45" s="12">
        <v>163.6</v>
      </c>
      <c r="M45" s="12">
        <v>113.9</v>
      </c>
      <c r="N45" s="12">
        <v>169.7</v>
      </c>
      <c r="O45" s="12">
        <v>166.2</v>
      </c>
      <c r="P45" s="12">
        <v>171</v>
      </c>
      <c r="Q45" s="12">
        <v>161.69999999999999</v>
      </c>
      <c r="R45" s="12">
        <v>166</v>
      </c>
      <c r="S45" s="12">
        <v>161.1</v>
      </c>
      <c r="T45" s="12">
        <v>165.3</v>
      </c>
      <c r="U45" s="12">
        <v>139.25</v>
      </c>
      <c r="V45" s="12">
        <v>160.30000000000001</v>
      </c>
      <c r="W45" s="12">
        <v>162.5</v>
      </c>
      <c r="X45" s="12">
        <v>170.4</v>
      </c>
      <c r="Y45" s="12">
        <v>160.4</v>
      </c>
      <c r="Z45" s="12">
        <v>157.1</v>
      </c>
      <c r="AA45" s="12">
        <v>160.69999999999999</v>
      </c>
      <c r="AB45" s="12">
        <v>167.2</v>
      </c>
      <c r="AC45" s="12">
        <v>189.7</v>
      </c>
      <c r="AD45" s="12">
        <v>162.80000000000001</v>
      </c>
    </row>
    <row r="46" spans="1:31">
      <c r="A46" s="12" t="s">
        <v>30</v>
      </c>
      <c r="B46" s="12">
        <v>2021</v>
      </c>
      <c r="C46" s="12" t="s">
        <v>41</v>
      </c>
      <c r="D46" s="90">
        <f t="shared" si="1"/>
        <v>44409</v>
      </c>
      <c r="E46" s="12">
        <v>144.9</v>
      </c>
      <c r="F46" s="12">
        <v>202.3</v>
      </c>
      <c r="G46" s="12">
        <v>176.5</v>
      </c>
      <c r="H46" s="12">
        <v>157.5</v>
      </c>
      <c r="I46" s="12">
        <v>190.9</v>
      </c>
      <c r="J46" s="12">
        <v>155.69999999999999</v>
      </c>
      <c r="K46" s="12">
        <v>153.9</v>
      </c>
      <c r="L46" s="12">
        <v>162.80000000000001</v>
      </c>
      <c r="M46" s="12">
        <v>115.2</v>
      </c>
      <c r="N46" s="12">
        <v>169.8</v>
      </c>
      <c r="O46" s="12">
        <v>167.6</v>
      </c>
      <c r="P46" s="12">
        <v>171.9</v>
      </c>
      <c r="Q46" s="12">
        <v>161.80000000000001</v>
      </c>
      <c r="R46" s="12">
        <v>167</v>
      </c>
      <c r="S46" s="12">
        <v>162.6</v>
      </c>
      <c r="T46" s="12">
        <v>166.3</v>
      </c>
      <c r="U46" s="12">
        <v>139.25</v>
      </c>
      <c r="V46" s="12">
        <v>160.9</v>
      </c>
      <c r="W46" s="12">
        <v>163.1</v>
      </c>
      <c r="X46" s="12">
        <v>171.1</v>
      </c>
      <c r="Y46" s="12">
        <v>160.30000000000001</v>
      </c>
      <c r="Z46" s="12">
        <v>157.69999999999999</v>
      </c>
      <c r="AA46" s="12">
        <v>161.1</v>
      </c>
      <c r="AB46" s="12">
        <v>167.5</v>
      </c>
      <c r="AC46" s="12">
        <v>190.2</v>
      </c>
      <c r="AD46" s="12">
        <v>163.30000000000001</v>
      </c>
    </row>
    <row r="47" spans="1:31">
      <c r="A47" s="12" t="s">
        <v>30</v>
      </c>
      <c r="B47" s="12">
        <v>2021</v>
      </c>
      <c r="C47" s="12" t="s">
        <v>42</v>
      </c>
      <c r="D47" s="90">
        <f t="shared" si="1"/>
        <v>44440</v>
      </c>
      <c r="E47" s="12">
        <v>145.4</v>
      </c>
      <c r="F47" s="12">
        <v>202.1</v>
      </c>
      <c r="G47" s="12">
        <v>172</v>
      </c>
      <c r="H47" s="12">
        <v>158</v>
      </c>
      <c r="I47" s="12">
        <v>195.5</v>
      </c>
      <c r="J47" s="12">
        <v>152.69999999999999</v>
      </c>
      <c r="K47" s="12">
        <v>151.4</v>
      </c>
      <c r="L47" s="12">
        <v>163.9</v>
      </c>
      <c r="M47" s="12">
        <v>119.3</v>
      </c>
      <c r="N47" s="12">
        <v>170.1</v>
      </c>
      <c r="O47" s="12">
        <v>168.3</v>
      </c>
      <c r="P47" s="12">
        <v>172.8</v>
      </c>
      <c r="Q47" s="12">
        <v>162.1</v>
      </c>
      <c r="R47" s="12">
        <v>167.7</v>
      </c>
      <c r="S47" s="12">
        <v>163.6</v>
      </c>
      <c r="T47" s="12">
        <v>167.1</v>
      </c>
      <c r="U47" s="12">
        <v>139.25</v>
      </c>
      <c r="V47" s="12">
        <v>161.30000000000001</v>
      </c>
      <c r="W47" s="12">
        <v>163.69999999999999</v>
      </c>
      <c r="X47" s="12">
        <v>171.9</v>
      </c>
      <c r="Y47" s="12">
        <v>160.19999999999999</v>
      </c>
      <c r="Z47" s="12">
        <v>157.80000000000001</v>
      </c>
      <c r="AA47" s="12">
        <v>162.69999999999999</v>
      </c>
      <c r="AB47" s="12">
        <v>168.5</v>
      </c>
      <c r="AC47" s="12">
        <v>190.5</v>
      </c>
      <c r="AD47" s="12">
        <v>163.80000000000001</v>
      </c>
    </row>
    <row r="48" spans="1:31">
      <c r="A48" s="12" t="s">
        <v>30</v>
      </c>
      <c r="B48" s="12">
        <v>2021</v>
      </c>
      <c r="C48" s="12" t="s">
        <v>43</v>
      </c>
      <c r="D48" s="90">
        <f t="shared" si="1"/>
        <v>44470</v>
      </c>
      <c r="E48" s="12">
        <v>146.1</v>
      </c>
      <c r="F48" s="12">
        <v>202.5</v>
      </c>
      <c r="G48" s="12">
        <v>170.1</v>
      </c>
      <c r="H48" s="12">
        <v>158.4</v>
      </c>
      <c r="I48" s="12">
        <v>198.8</v>
      </c>
      <c r="J48" s="12">
        <v>152.6</v>
      </c>
      <c r="K48" s="12">
        <v>170.4</v>
      </c>
      <c r="L48" s="12">
        <v>165.2</v>
      </c>
      <c r="M48" s="12">
        <v>121.6</v>
      </c>
      <c r="N48" s="12">
        <v>170.6</v>
      </c>
      <c r="O48" s="12">
        <v>168.8</v>
      </c>
      <c r="P48" s="12">
        <v>173.6</v>
      </c>
      <c r="Q48" s="12">
        <v>165.5</v>
      </c>
      <c r="R48" s="12">
        <v>168.9</v>
      </c>
      <c r="S48" s="12">
        <v>164.8</v>
      </c>
      <c r="T48" s="12">
        <v>168.3</v>
      </c>
      <c r="U48" s="12">
        <v>139.25</v>
      </c>
      <c r="V48" s="12">
        <v>162</v>
      </c>
      <c r="W48" s="12">
        <v>165.5</v>
      </c>
      <c r="X48" s="12">
        <v>172.5</v>
      </c>
      <c r="Y48" s="12">
        <v>161.1</v>
      </c>
      <c r="Z48" s="12">
        <v>159.5</v>
      </c>
      <c r="AA48" s="12">
        <v>163.19999999999999</v>
      </c>
      <c r="AB48" s="12">
        <v>169</v>
      </c>
      <c r="AC48" s="12">
        <v>191.2</v>
      </c>
      <c r="AD48" s="12">
        <v>164.7</v>
      </c>
    </row>
    <row r="49" spans="1:30">
      <c r="A49" s="12" t="s">
        <v>30</v>
      </c>
      <c r="B49" s="12">
        <v>2021</v>
      </c>
      <c r="C49" s="12" t="s">
        <v>45</v>
      </c>
      <c r="D49" s="90">
        <f t="shared" si="1"/>
        <v>44501</v>
      </c>
      <c r="E49" s="12">
        <v>146.9</v>
      </c>
      <c r="F49" s="12">
        <v>199.8</v>
      </c>
      <c r="G49" s="12">
        <v>171.5</v>
      </c>
      <c r="H49" s="12">
        <v>159.1</v>
      </c>
      <c r="I49" s="12">
        <v>198.4</v>
      </c>
      <c r="J49" s="12">
        <v>153.19999999999999</v>
      </c>
      <c r="K49" s="12">
        <v>183.9</v>
      </c>
      <c r="L49" s="12">
        <v>165.4</v>
      </c>
      <c r="M49" s="12">
        <v>122.1</v>
      </c>
      <c r="N49" s="12">
        <v>170.8</v>
      </c>
      <c r="O49" s="12">
        <v>169.1</v>
      </c>
      <c r="P49" s="12">
        <v>174.3</v>
      </c>
      <c r="Q49" s="12">
        <v>167.5</v>
      </c>
      <c r="R49" s="12">
        <v>170.4</v>
      </c>
      <c r="S49" s="12">
        <v>166</v>
      </c>
      <c r="T49" s="12">
        <v>169.8</v>
      </c>
      <c r="U49" s="12">
        <v>139.25</v>
      </c>
      <c r="V49" s="12">
        <v>162.9</v>
      </c>
      <c r="W49" s="12">
        <v>165.3</v>
      </c>
      <c r="X49" s="12">
        <v>173.4</v>
      </c>
      <c r="Y49" s="12">
        <v>162.4</v>
      </c>
      <c r="Z49" s="12">
        <v>158.9</v>
      </c>
      <c r="AA49" s="12">
        <v>163.80000000000001</v>
      </c>
      <c r="AB49" s="12">
        <v>169.3</v>
      </c>
      <c r="AC49" s="12">
        <v>191.4</v>
      </c>
      <c r="AD49" s="12">
        <v>165.2</v>
      </c>
    </row>
    <row r="50" spans="1:30">
      <c r="A50" s="12" t="s">
        <v>30</v>
      </c>
      <c r="B50" s="12">
        <v>2021</v>
      </c>
      <c r="C50" s="12" t="s">
        <v>46</v>
      </c>
      <c r="D50" s="90">
        <f t="shared" si="1"/>
        <v>44531</v>
      </c>
      <c r="E50" s="12">
        <v>147.4</v>
      </c>
      <c r="F50" s="12">
        <v>197</v>
      </c>
      <c r="G50" s="12">
        <v>176.5</v>
      </c>
      <c r="H50" s="12">
        <v>159.80000000000001</v>
      </c>
      <c r="I50" s="12">
        <v>195.8</v>
      </c>
      <c r="J50" s="12">
        <v>152</v>
      </c>
      <c r="K50" s="12">
        <v>172.3</v>
      </c>
      <c r="L50" s="12">
        <v>164.5</v>
      </c>
      <c r="M50" s="12">
        <v>120.6</v>
      </c>
      <c r="N50" s="12">
        <v>171.7</v>
      </c>
      <c r="O50" s="12">
        <v>169.7</v>
      </c>
      <c r="P50" s="12">
        <v>175.1</v>
      </c>
      <c r="Q50" s="12">
        <v>165.8</v>
      </c>
      <c r="R50" s="12">
        <v>171.8</v>
      </c>
      <c r="S50" s="12">
        <v>167.3</v>
      </c>
      <c r="T50" s="12">
        <v>171.2</v>
      </c>
      <c r="U50" s="12">
        <v>139.25</v>
      </c>
      <c r="V50" s="12">
        <v>163.9</v>
      </c>
      <c r="W50" s="12">
        <v>165.6</v>
      </c>
      <c r="X50" s="12">
        <v>174</v>
      </c>
      <c r="Y50" s="12">
        <v>162.80000000000001</v>
      </c>
      <c r="Z50" s="12">
        <v>160.1</v>
      </c>
      <c r="AA50" s="12">
        <v>164.5</v>
      </c>
      <c r="AB50" s="12">
        <v>169.7</v>
      </c>
      <c r="AC50" s="12">
        <v>190.8</v>
      </c>
      <c r="AD50" s="12">
        <v>166</v>
      </c>
    </row>
    <row r="51" spans="1:30">
      <c r="A51" s="12" t="s">
        <v>30</v>
      </c>
      <c r="B51" s="12">
        <v>2022</v>
      </c>
      <c r="C51" s="12" t="s">
        <v>31</v>
      </c>
      <c r="D51" s="90">
        <f t="shared" si="1"/>
        <v>44562</v>
      </c>
      <c r="E51" s="12">
        <v>148.30000000000001</v>
      </c>
      <c r="F51" s="12">
        <v>196.9</v>
      </c>
      <c r="G51" s="12">
        <v>178</v>
      </c>
      <c r="H51" s="12">
        <v>160.5</v>
      </c>
      <c r="I51" s="12">
        <v>192.6</v>
      </c>
      <c r="J51" s="12">
        <v>151.19999999999999</v>
      </c>
      <c r="K51" s="12">
        <v>159.19999999999999</v>
      </c>
      <c r="L51" s="12">
        <v>164</v>
      </c>
      <c r="M51" s="12">
        <v>119.3</v>
      </c>
      <c r="N51" s="12">
        <v>173.3</v>
      </c>
      <c r="O51" s="12">
        <v>169.8</v>
      </c>
      <c r="P51" s="12">
        <v>175.8</v>
      </c>
      <c r="Q51" s="12">
        <v>164.1</v>
      </c>
      <c r="R51" s="12">
        <v>173.2</v>
      </c>
      <c r="S51" s="12">
        <v>169.3</v>
      </c>
      <c r="T51" s="12">
        <v>172.7</v>
      </c>
      <c r="U51" s="12">
        <v>139.25</v>
      </c>
      <c r="V51" s="12">
        <v>164.9</v>
      </c>
      <c r="W51" s="12">
        <v>165.8</v>
      </c>
      <c r="X51" s="12">
        <v>174.7</v>
      </c>
      <c r="Y51" s="12">
        <v>163.19999999999999</v>
      </c>
      <c r="Z51" s="12">
        <v>160.80000000000001</v>
      </c>
      <c r="AA51" s="12">
        <v>164.9</v>
      </c>
      <c r="AB51" s="12">
        <v>169.9</v>
      </c>
      <c r="AC51" s="12">
        <v>190.7</v>
      </c>
      <c r="AD51" s="12">
        <v>166.6</v>
      </c>
    </row>
    <row r="52" spans="1:30">
      <c r="A52" s="12" t="s">
        <v>30</v>
      </c>
      <c r="B52" s="12">
        <v>2022</v>
      </c>
      <c r="C52" s="12" t="s">
        <v>35</v>
      </c>
      <c r="D52" s="90">
        <f t="shared" si="1"/>
        <v>44593</v>
      </c>
      <c r="E52" s="12">
        <v>148.80000000000001</v>
      </c>
      <c r="F52" s="12">
        <v>198.1</v>
      </c>
      <c r="G52" s="12">
        <v>175.5</v>
      </c>
      <c r="H52" s="12">
        <v>160.69999999999999</v>
      </c>
      <c r="I52" s="12">
        <v>192.6</v>
      </c>
      <c r="J52" s="12">
        <v>151.4</v>
      </c>
      <c r="K52" s="12">
        <v>155.19999999999999</v>
      </c>
      <c r="L52" s="12">
        <v>163.9</v>
      </c>
      <c r="M52" s="12">
        <v>118.1</v>
      </c>
      <c r="N52" s="12">
        <v>175.4</v>
      </c>
      <c r="O52" s="12">
        <v>170.5</v>
      </c>
      <c r="P52" s="12">
        <v>176.3</v>
      </c>
      <c r="Q52" s="12">
        <v>163.9</v>
      </c>
      <c r="R52" s="12">
        <v>174.1</v>
      </c>
      <c r="S52" s="12">
        <v>171</v>
      </c>
      <c r="T52" s="12">
        <v>173.7</v>
      </c>
      <c r="U52" s="12">
        <v>139.25</v>
      </c>
      <c r="V52" s="12">
        <v>165.7</v>
      </c>
      <c r="W52" s="12">
        <v>167.4</v>
      </c>
      <c r="X52" s="12">
        <v>175.3</v>
      </c>
      <c r="Y52" s="12">
        <v>164.5</v>
      </c>
      <c r="Z52" s="12">
        <v>161.19999999999999</v>
      </c>
      <c r="AA52" s="12">
        <v>165.5</v>
      </c>
      <c r="AB52" s="12">
        <v>170.3</v>
      </c>
      <c r="AC52" s="12">
        <v>191.5</v>
      </c>
      <c r="AD52" s="12">
        <v>167.3</v>
      </c>
    </row>
    <row r="53" spans="1:30">
      <c r="A53" s="12" t="s">
        <v>30</v>
      </c>
      <c r="B53" s="12">
        <v>2022</v>
      </c>
      <c r="C53" s="12" t="s">
        <v>36</v>
      </c>
      <c r="D53" s="90">
        <f t="shared" si="1"/>
        <v>44621</v>
      </c>
      <c r="E53" s="12">
        <v>150.19999999999999</v>
      </c>
      <c r="F53" s="12">
        <v>208</v>
      </c>
      <c r="G53" s="12">
        <v>167.9</v>
      </c>
      <c r="H53" s="12">
        <v>162</v>
      </c>
      <c r="I53" s="12">
        <v>203.1</v>
      </c>
      <c r="J53" s="12">
        <v>155.9</v>
      </c>
      <c r="K53" s="12">
        <v>155.80000000000001</v>
      </c>
      <c r="L53" s="12">
        <v>164.2</v>
      </c>
      <c r="M53" s="12">
        <v>118.1</v>
      </c>
      <c r="N53" s="12">
        <v>178.7</v>
      </c>
      <c r="O53" s="12">
        <v>171.2</v>
      </c>
      <c r="P53" s="12">
        <v>177.4</v>
      </c>
      <c r="Q53" s="12">
        <v>166.6</v>
      </c>
      <c r="R53" s="12">
        <v>175.4</v>
      </c>
      <c r="S53" s="12">
        <v>173.2</v>
      </c>
      <c r="T53" s="12">
        <v>175.1</v>
      </c>
      <c r="U53" s="12">
        <v>139.25</v>
      </c>
      <c r="V53" s="12">
        <v>166.5</v>
      </c>
      <c r="W53" s="12">
        <v>168.9</v>
      </c>
      <c r="X53" s="12">
        <v>176</v>
      </c>
      <c r="Y53" s="12">
        <v>167.4</v>
      </c>
      <c r="Z53" s="12">
        <v>162</v>
      </c>
      <c r="AA53" s="12">
        <v>166.6</v>
      </c>
      <c r="AB53" s="12">
        <v>170.6</v>
      </c>
      <c r="AC53" s="12">
        <v>192.3</v>
      </c>
      <c r="AD53" s="12">
        <v>168.3</v>
      </c>
    </row>
    <row r="54" spans="1:30">
      <c r="A54" s="12" t="s">
        <v>30</v>
      </c>
      <c r="B54" s="12">
        <v>2022</v>
      </c>
      <c r="C54" s="12" t="s">
        <v>37</v>
      </c>
      <c r="D54" s="90">
        <f t="shared" si="1"/>
        <v>44652</v>
      </c>
      <c r="E54" s="12">
        <v>151.80000000000001</v>
      </c>
      <c r="F54" s="12">
        <v>209.7</v>
      </c>
      <c r="G54" s="12">
        <v>164.5</v>
      </c>
      <c r="H54" s="12">
        <v>163.80000000000001</v>
      </c>
      <c r="I54" s="12">
        <v>207.4</v>
      </c>
      <c r="J54" s="12">
        <v>169.7</v>
      </c>
      <c r="K54" s="12">
        <v>153.6</v>
      </c>
      <c r="L54" s="12">
        <v>165.1</v>
      </c>
      <c r="M54" s="12">
        <v>118.2</v>
      </c>
      <c r="N54" s="12">
        <v>182.9</v>
      </c>
      <c r="O54" s="12">
        <v>172.4</v>
      </c>
      <c r="P54" s="12">
        <v>178.9</v>
      </c>
      <c r="Q54" s="12">
        <v>168.6</v>
      </c>
      <c r="R54" s="12">
        <v>177.5</v>
      </c>
      <c r="S54" s="12">
        <v>175.1</v>
      </c>
      <c r="T54" s="12">
        <v>177.1</v>
      </c>
      <c r="U54" s="12">
        <v>139.25</v>
      </c>
      <c r="V54" s="12">
        <v>167.7</v>
      </c>
      <c r="W54" s="12">
        <v>173.3</v>
      </c>
      <c r="X54" s="12">
        <v>177</v>
      </c>
      <c r="Y54" s="12">
        <v>169</v>
      </c>
      <c r="Z54" s="12">
        <v>166.2</v>
      </c>
      <c r="AA54" s="12">
        <v>167.2</v>
      </c>
      <c r="AB54" s="12">
        <v>170.9</v>
      </c>
      <c r="AC54" s="12">
        <v>192.8</v>
      </c>
      <c r="AD54" s="12">
        <v>170.2</v>
      </c>
    </row>
    <row r="55" spans="1:30">
      <c r="A55" s="12" t="s">
        <v>30</v>
      </c>
      <c r="B55" s="12">
        <v>2022</v>
      </c>
      <c r="C55" s="12" t="s">
        <v>38</v>
      </c>
      <c r="D55" s="90">
        <f t="shared" si="1"/>
        <v>44682</v>
      </c>
      <c r="E55" s="12">
        <v>152.9</v>
      </c>
      <c r="F55" s="12">
        <v>214.7</v>
      </c>
      <c r="G55" s="12">
        <v>161.4</v>
      </c>
      <c r="H55" s="12">
        <v>164.6</v>
      </c>
      <c r="I55" s="12">
        <v>209.9</v>
      </c>
      <c r="J55" s="12">
        <v>168</v>
      </c>
      <c r="K55" s="12">
        <v>160.4</v>
      </c>
      <c r="L55" s="12">
        <v>165</v>
      </c>
      <c r="M55" s="12">
        <v>118.9</v>
      </c>
      <c r="N55" s="12">
        <v>186.6</v>
      </c>
      <c r="O55" s="12">
        <v>173.2</v>
      </c>
      <c r="P55" s="12">
        <v>180.4</v>
      </c>
      <c r="Q55" s="12">
        <v>170.8</v>
      </c>
      <c r="R55" s="12">
        <v>179.3</v>
      </c>
      <c r="S55" s="12">
        <v>177.2</v>
      </c>
      <c r="T55" s="12">
        <v>179</v>
      </c>
      <c r="U55" s="12">
        <v>139.25</v>
      </c>
      <c r="V55" s="12">
        <v>168.9</v>
      </c>
      <c r="W55" s="12">
        <v>175.3</v>
      </c>
      <c r="X55" s="12">
        <v>177.7</v>
      </c>
      <c r="Y55" s="12">
        <v>168.5</v>
      </c>
      <c r="Z55" s="12">
        <v>167.1</v>
      </c>
      <c r="AA55" s="12">
        <v>167.6</v>
      </c>
      <c r="AB55" s="12">
        <v>171.8</v>
      </c>
      <c r="AC55" s="12">
        <v>192.9</v>
      </c>
      <c r="AD55" s="12">
        <v>170.9</v>
      </c>
    </row>
    <row r="56" spans="1:30">
      <c r="A56" s="12" t="s">
        <v>30</v>
      </c>
      <c r="B56" s="12">
        <v>2022</v>
      </c>
      <c r="C56" s="12" t="s">
        <v>39</v>
      </c>
      <c r="D56" s="90">
        <f t="shared" si="1"/>
        <v>44713</v>
      </c>
      <c r="E56" s="12">
        <v>153.80000000000001</v>
      </c>
      <c r="F56" s="12">
        <v>217.2</v>
      </c>
      <c r="G56" s="12">
        <v>169.6</v>
      </c>
      <c r="H56" s="12">
        <v>165.4</v>
      </c>
      <c r="I56" s="12">
        <v>208.1</v>
      </c>
      <c r="J56" s="12">
        <v>165.8</v>
      </c>
      <c r="K56" s="12">
        <v>167.3</v>
      </c>
      <c r="L56" s="12">
        <v>164.6</v>
      </c>
      <c r="M56" s="12">
        <v>119.1</v>
      </c>
      <c r="N56" s="12">
        <v>188.9</v>
      </c>
      <c r="O56" s="12">
        <v>174.2</v>
      </c>
      <c r="P56" s="12">
        <v>181.9</v>
      </c>
      <c r="Q56" s="12">
        <v>172.4</v>
      </c>
      <c r="R56" s="12">
        <v>180.7</v>
      </c>
      <c r="S56" s="12">
        <v>178.7</v>
      </c>
      <c r="T56" s="12">
        <v>180.4</v>
      </c>
      <c r="U56" s="12">
        <v>139.25</v>
      </c>
      <c r="V56" s="12">
        <v>170.3</v>
      </c>
      <c r="W56" s="12">
        <v>176.7</v>
      </c>
      <c r="X56" s="12">
        <v>178.2</v>
      </c>
      <c r="Y56" s="12">
        <v>169.5</v>
      </c>
      <c r="Z56" s="12">
        <v>165.5</v>
      </c>
      <c r="AA56" s="12">
        <v>168</v>
      </c>
      <c r="AB56" s="12">
        <v>172.6</v>
      </c>
      <c r="AC56" s="12">
        <v>192.9</v>
      </c>
      <c r="AD56" s="12">
        <v>171</v>
      </c>
    </row>
    <row r="57" spans="1:30">
      <c r="A57" s="12" t="s">
        <v>30</v>
      </c>
      <c r="B57" s="12">
        <v>2022</v>
      </c>
      <c r="C57" s="12" t="s">
        <v>40</v>
      </c>
      <c r="D57" s="90">
        <f t="shared" si="1"/>
        <v>44743</v>
      </c>
      <c r="E57" s="12">
        <v>155.19999999999999</v>
      </c>
      <c r="F57" s="12">
        <v>210.8</v>
      </c>
      <c r="G57" s="12">
        <v>174.3</v>
      </c>
      <c r="H57" s="12">
        <v>166.3</v>
      </c>
      <c r="I57" s="12">
        <v>202.2</v>
      </c>
      <c r="J57" s="12">
        <v>169.6</v>
      </c>
      <c r="K57" s="12">
        <v>168.6</v>
      </c>
      <c r="L57" s="12">
        <v>164.4</v>
      </c>
      <c r="M57" s="12">
        <v>119.2</v>
      </c>
      <c r="N57" s="12">
        <v>191.8</v>
      </c>
      <c r="O57" s="12">
        <v>174.5</v>
      </c>
      <c r="P57" s="12">
        <v>183.1</v>
      </c>
      <c r="Q57" s="12">
        <v>172.5</v>
      </c>
      <c r="R57" s="12">
        <v>182</v>
      </c>
      <c r="S57" s="12">
        <v>180.3</v>
      </c>
      <c r="T57" s="12">
        <v>181.7</v>
      </c>
      <c r="U57" s="12">
        <v>139.25</v>
      </c>
      <c r="V57" s="12">
        <v>171.3</v>
      </c>
      <c r="W57" s="12">
        <v>179.6</v>
      </c>
      <c r="X57" s="12">
        <v>178.8</v>
      </c>
      <c r="Y57" s="12">
        <v>169.7</v>
      </c>
      <c r="Z57" s="12">
        <v>166.3</v>
      </c>
      <c r="AA57" s="12">
        <v>168.6</v>
      </c>
      <c r="AB57" s="12">
        <v>174.7</v>
      </c>
      <c r="AC57" s="12">
        <v>193.2</v>
      </c>
      <c r="AD57" s="12">
        <v>171.8</v>
      </c>
    </row>
    <row r="58" spans="1:30">
      <c r="A58" s="12" t="s">
        <v>30</v>
      </c>
      <c r="B58" s="12">
        <v>2022</v>
      </c>
      <c r="C58" s="12" t="s">
        <v>41</v>
      </c>
      <c r="D58" s="90">
        <f t="shared" si="1"/>
        <v>44774</v>
      </c>
      <c r="E58" s="12">
        <v>159.5</v>
      </c>
      <c r="F58" s="12">
        <v>204.1</v>
      </c>
      <c r="G58" s="12">
        <v>168.3</v>
      </c>
      <c r="H58" s="12">
        <v>167.9</v>
      </c>
      <c r="I58" s="12">
        <v>198.1</v>
      </c>
      <c r="J58" s="12">
        <v>169.2</v>
      </c>
      <c r="K58" s="12">
        <v>173.1</v>
      </c>
      <c r="L58" s="12">
        <v>167.1</v>
      </c>
      <c r="M58" s="12">
        <v>120.2</v>
      </c>
      <c r="N58" s="12">
        <v>195.6</v>
      </c>
      <c r="O58" s="12">
        <v>174.8</v>
      </c>
      <c r="P58" s="12">
        <v>184</v>
      </c>
      <c r="Q58" s="12">
        <v>173.9</v>
      </c>
      <c r="R58" s="12">
        <v>183.2</v>
      </c>
      <c r="S58" s="12">
        <v>181.7</v>
      </c>
      <c r="T58" s="12">
        <v>183</v>
      </c>
      <c r="U58" s="12">
        <v>139.25</v>
      </c>
      <c r="V58" s="12">
        <v>172.3</v>
      </c>
      <c r="W58" s="12">
        <v>179.1</v>
      </c>
      <c r="X58" s="12">
        <v>179.4</v>
      </c>
      <c r="Y58" s="12">
        <v>171.1</v>
      </c>
      <c r="Z58" s="12">
        <v>166.6</v>
      </c>
      <c r="AA58" s="12">
        <v>169.3</v>
      </c>
      <c r="AB58" s="12">
        <v>175.7</v>
      </c>
      <c r="AC58" s="12">
        <v>193.7</v>
      </c>
      <c r="AD58" s="12">
        <v>172.6</v>
      </c>
    </row>
    <row r="59" spans="1:30">
      <c r="A59" s="12" t="s">
        <v>30</v>
      </c>
      <c r="B59" s="12">
        <v>2022</v>
      </c>
      <c r="C59" s="12" t="s">
        <v>42</v>
      </c>
      <c r="D59" s="90">
        <f t="shared" si="1"/>
        <v>44805</v>
      </c>
      <c r="E59" s="12">
        <v>162.9</v>
      </c>
      <c r="F59" s="12">
        <v>206.7</v>
      </c>
      <c r="G59" s="12">
        <v>169</v>
      </c>
      <c r="H59" s="12">
        <v>169.5</v>
      </c>
      <c r="I59" s="12">
        <v>194.1</v>
      </c>
      <c r="J59" s="12">
        <v>164.1</v>
      </c>
      <c r="K59" s="12">
        <v>176.9</v>
      </c>
      <c r="L59" s="12">
        <v>169</v>
      </c>
      <c r="M59" s="12">
        <v>120.8</v>
      </c>
      <c r="N59" s="12">
        <v>199.1</v>
      </c>
      <c r="O59" s="12">
        <v>175.4</v>
      </c>
      <c r="P59" s="12">
        <v>184.8</v>
      </c>
      <c r="Q59" s="12">
        <v>175.5</v>
      </c>
      <c r="R59" s="12">
        <v>184.7</v>
      </c>
      <c r="S59" s="12">
        <v>183.3</v>
      </c>
      <c r="T59" s="12">
        <v>184.5</v>
      </c>
      <c r="U59" s="12">
        <v>139.25</v>
      </c>
      <c r="V59" s="12">
        <v>173.6</v>
      </c>
      <c r="W59" s="12">
        <v>179.7</v>
      </c>
      <c r="X59" s="12">
        <v>180.2</v>
      </c>
      <c r="Y59" s="12">
        <v>170.8</v>
      </c>
      <c r="Z59" s="12">
        <v>166.9</v>
      </c>
      <c r="AA59" s="12">
        <v>170</v>
      </c>
      <c r="AB59" s="12">
        <v>176.2</v>
      </c>
      <c r="AC59" s="12">
        <v>194.5</v>
      </c>
      <c r="AD59" s="12">
        <v>173.1</v>
      </c>
    </row>
    <row r="60" spans="1:30">
      <c r="A60" s="12" t="s">
        <v>30</v>
      </c>
      <c r="B60" s="12">
        <v>2022</v>
      </c>
      <c r="C60" s="12" t="s">
        <v>43</v>
      </c>
      <c r="D60" s="90">
        <f t="shared" si="1"/>
        <v>44835</v>
      </c>
      <c r="E60" s="12">
        <v>164.7</v>
      </c>
      <c r="F60" s="12">
        <v>208.8</v>
      </c>
      <c r="G60" s="12">
        <v>170.3</v>
      </c>
      <c r="H60" s="12">
        <v>170.9</v>
      </c>
      <c r="I60" s="12">
        <v>191.6</v>
      </c>
      <c r="J60" s="12">
        <v>162.19999999999999</v>
      </c>
      <c r="K60" s="12">
        <v>184.8</v>
      </c>
      <c r="L60" s="12">
        <v>169.7</v>
      </c>
      <c r="M60" s="12">
        <v>121.1</v>
      </c>
      <c r="N60" s="12">
        <v>201.6</v>
      </c>
      <c r="O60" s="12">
        <v>175.8</v>
      </c>
      <c r="P60" s="12">
        <v>185.6</v>
      </c>
      <c r="Q60" s="12">
        <v>177.4</v>
      </c>
      <c r="R60" s="12">
        <v>186.1</v>
      </c>
      <c r="S60" s="12">
        <v>184.4</v>
      </c>
      <c r="T60" s="12">
        <v>185.9</v>
      </c>
      <c r="U60" s="12">
        <v>139.25</v>
      </c>
      <c r="V60" s="12">
        <v>174.4</v>
      </c>
      <c r="W60" s="12">
        <v>180.8</v>
      </c>
      <c r="X60" s="12">
        <v>181.2</v>
      </c>
      <c r="Y60" s="12">
        <v>172</v>
      </c>
      <c r="Z60" s="12">
        <v>167.4</v>
      </c>
      <c r="AA60" s="12">
        <v>170.6</v>
      </c>
      <c r="AB60" s="12">
        <v>176.5</v>
      </c>
      <c r="AC60" s="12">
        <v>194.9</v>
      </c>
      <c r="AD60" s="12">
        <v>173.9</v>
      </c>
    </row>
    <row r="61" spans="1:30">
      <c r="A61" s="12" t="s">
        <v>30</v>
      </c>
      <c r="B61" s="12">
        <v>2022</v>
      </c>
      <c r="C61" s="12" t="s">
        <v>45</v>
      </c>
      <c r="D61" s="90">
        <f t="shared" si="1"/>
        <v>44866</v>
      </c>
      <c r="E61" s="12">
        <v>166.9</v>
      </c>
      <c r="F61" s="12">
        <v>207.2</v>
      </c>
      <c r="G61" s="12">
        <v>180.2</v>
      </c>
      <c r="H61" s="12">
        <v>172.3</v>
      </c>
      <c r="I61" s="12">
        <v>194</v>
      </c>
      <c r="J61" s="12">
        <v>159.1</v>
      </c>
      <c r="K61" s="12">
        <v>171.6</v>
      </c>
      <c r="L61" s="12">
        <v>170.2</v>
      </c>
      <c r="M61" s="12">
        <v>121.5</v>
      </c>
      <c r="N61" s="12">
        <v>204.8</v>
      </c>
      <c r="O61" s="12">
        <v>176.4</v>
      </c>
      <c r="P61" s="12">
        <v>186.9</v>
      </c>
      <c r="Q61" s="12">
        <v>176.6</v>
      </c>
      <c r="R61" s="12">
        <v>187.2</v>
      </c>
      <c r="S61" s="12">
        <v>185.2</v>
      </c>
      <c r="T61" s="12">
        <v>186.9</v>
      </c>
      <c r="U61" s="12">
        <v>139.25</v>
      </c>
      <c r="V61" s="12">
        <v>175.5</v>
      </c>
      <c r="W61" s="12">
        <v>181.9</v>
      </c>
      <c r="X61" s="12">
        <v>182.3</v>
      </c>
      <c r="Y61" s="12">
        <v>173.4</v>
      </c>
      <c r="Z61" s="12">
        <v>167.5</v>
      </c>
      <c r="AA61" s="12">
        <v>170.8</v>
      </c>
      <c r="AB61" s="12">
        <v>176.9</v>
      </c>
      <c r="AC61" s="12">
        <v>195.5</v>
      </c>
      <c r="AD61" s="12">
        <v>174.6</v>
      </c>
    </row>
    <row r="62" spans="1:30">
      <c r="A62" s="12" t="s">
        <v>30</v>
      </c>
      <c r="B62" s="12">
        <v>2022</v>
      </c>
      <c r="C62" s="12" t="s">
        <v>46</v>
      </c>
      <c r="D62" s="90">
        <f t="shared" si="1"/>
        <v>44896</v>
      </c>
      <c r="E62" s="12">
        <v>168.8</v>
      </c>
      <c r="F62" s="12">
        <v>206.9</v>
      </c>
      <c r="G62" s="12">
        <v>189.1</v>
      </c>
      <c r="H62" s="12">
        <v>173.4</v>
      </c>
      <c r="I62" s="12">
        <v>193.9</v>
      </c>
      <c r="J62" s="12">
        <v>156.69999999999999</v>
      </c>
      <c r="K62" s="12">
        <v>150.19999999999999</v>
      </c>
      <c r="L62" s="12">
        <v>170.5</v>
      </c>
      <c r="M62" s="12">
        <v>121.2</v>
      </c>
      <c r="N62" s="12">
        <v>207.5</v>
      </c>
      <c r="O62" s="12">
        <v>176.8</v>
      </c>
      <c r="P62" s="12">
        <v>187.7</v>
      </c>
      <c r="Q62" s="12">
        <v>174.4</v>
      </c>
      <c r="R62" s="12">
        <v>188.1</v>
      </c>
      <c r="S62" s="12">
        <v>185.9</v>
      </c>
      <c r="T62" s="12">
        <v>187.8</v>
      </c>
      <c r="U62" s="12">
        <v>139.25</v>
      </c>
      <c r="V62" s="12">
        <v>176.4</v>
      </c>
      <c r="W62" s="12">
        <v>182.8</v>
      </c>
      <c r="X62" s="12">
        <v>183.5</v>
      </c>
      <c r="Y62" s="12">
        <v>175.7</v>
      </c>
      <c r="Z62" s="12">
        <v>167.8</v>
      </c>
      <c r="AA62" s="12">
        <v>171.2</v>
      </c>
      <c r="AB62" s="12">
        <v>177.3</v>
      </c>
      <c r="AC62" s="12">
        <v>195.9</v>
      </c>
      <c r="AD62" s="12">
        <v>175.5</v>
      </c>
    </row>
    <row r="63" spans="1:30">
      <c r="A63" s="12" t="s">
        <v>30</v>
      </c>
      <c r="B63" s="12">
        <v>2023</v>
      </c>
      <c r="C63" s="12" t="s">
        <v>31</v>
      </c>
      <c r="D63" s="90">
        <f t="shared" si="1"/>
        <v>44927</v>
      </c>
      <c r="E63" s="12">
        <v>174</v>
      </c>
      <c r="F63" s="12">
        <v>208.3</v>
      </c>
      <c r="G63" s="12">
        <v>192.9</v>
      </c>
      <c r="H63" s="12">
        <v>174.3</v>
      </c>
      <c r="I63" s="12">
        <v>192.6</v>
      </c>
      <c r="J63" s="12">
        <v>156.30000000000001</v>
      </c>
      <c r="K63" s="12">
        <v>142.9</v>
      </c>
      <c r="L63" s="12">
        <v>170.7</v>
      </c>
      <c r="M63" s="12">
        <v>120.3</v>
      </c>
      <c r="N63" s="12">
        <v>210.5</v>
      </c>
      <c r="O63" s="12">
        <v>176.9</v>
      </c>
      <c r="P63" s="12">
        <v>188.5</v>
      </c>
      <c r="Q63" s="12">
        <v>175</v>
      </c>
      <c r="R63" s="12">
        <v>189</v>
      </c>
      <c r="S63" s="12">
        <v>186.3</v>
      </c>
      <c r="T63" s="12">
        <v>188.6</v>
      </c>
      <c r="U63" s="12">
        <v>139.25</v>
      </c>
      <c r="V63" s="12">
        <v>177.2</v>
      </c>
      <c r="W63" s="12">
        <v>183.2</v>
      </c>
      <c r="X63" s="12">
        <v>184.7</v>
      </c>
      <c r="Y63" s="12">
        <v>178.4</v>
      </c>
      <c r="Z63" s="12">
        <v>168.2</v>
      </c>
      <c r="AA63" s="12">
        <v>171.8</v>
      </c>
      <c r="AB63" s="12">
        <v>177.8</v>
      </c>
      <c r="AC63" s="12">
        <v>196.9</v>
      </c>
      <c r="AD63" s="12">
        <v>176.5</v>
      </c>
    </row>
    <row r="64" spans="1:30">
      <c r="A64" s="12" t="s">
        <v>30</v>
      </c>
      <c r="B64" s="12">
        <v>2023</v>
      </c>
      <c r="C64" s="12" t="s">
        <v>35</v>
      </c>
      <c r="D64" s="90">
        <f t="shared" si="1"/>
        <v>44958</v>
      </c>
      <c r="E64" s="12">
        <v>174.2</v>
      </c>
      <c r="F64" s="12">
        <v>205.2</v>
      </c>
      <c r="G64" s="12">
        <v>173.9</v>
      </c>
      <c r="H64" s="12">
        <v>177</v>
      </c>
      <c r="I64" s="12">
        <v>183.4</v>
      </c>
      <c r="J64" s="12">
        <v>167.2</v>
      </c>
      <c r="K64" s="12">
        <v>140.9</v>
      </c>
      <c r="L64" s="12">
        <v>170.4</v>
      </c>
      <c r="M64" s="12">
        <v>119.1</v>
      </c>
      <c r="N64" s="12">
        <v>212.1</v>
      </c>
      <c r="O64" s="12">
        <v>177.6</v>
      </c>
      <c r="P64" s="12">
        <v>189.9</v>
      </c>
      <c r="Q64" s="12">
        <v>174.8</v>
      </c>
      <c r="R64" s="12">
        <v>190</v>
      </c>
      <c r="S64" s="12">
        <v>187</v>
      </c>
      <c r="T64" s="12">
        <v>189.6</v>
      </c>
      <c r="U64" s="12">
        <v>139.25</v>
      </c>
      <c r="V64" s="12">
        <v>178.6</v>
      </c>
      <c r="W64" s="12">
        <v>181.6</v>
      </c>
      <c r="X64" s="12">
        <v>186.6</v>
      </c>
      <c r="Y64" s="12">
        <v>180.7</v>
      </c>
      <c r="Z64" s="12">
        <v>169</v>
      </c>
      <c r="AA64" s="12">
        <v>172.8</v>
      </c>
      <c r="AB64" s="12">
        <v>178.5</v>
      </c>
      <c r="AC64" s="12">
        <v>198.3</v>
      </c>
      <c r="AD64" s="12">
        <v>177.9</v>
      </c>
    </row>
    <row r="65" spans="1:31">
      <c r="A65" s="12" t="s">
        <v>30</v>
      </c>
      <c r="B65" s="12">
        <v>2023</v>
      </c>
      <c r="C65" s="12" t="s">
        <v>36</v>
      </c>
      <c r="D65" s="90">
        <f t="shared" si="1"/>
        <v>44986</v>
      </c>
      <c r="E65" s="12">
        <v>174.3</v>
      </c>
      <c r="F65" s="12">
        <v>205.2</v>
      </c>
      <c r="G65" s="12">
        <v>173.9</v>
      </c>
      <c r="H65" s="12">
        <v>177</v>
      </c>
      <c r="I65" s="12">
        <v>183.3</v>
      </c>
      <c r="J65" s="12">
        <v>167.2</v>
      </c>
      <c r="K65" s="12">
        <v>140.9</v>
      </c>
      <c r="L65" s="12">
        <v>170.5</v>
      </c>
      <c r="M65" s="12">
        <v>119.1</v>
      </c>
      <c r="N65" s="12">
        <v>212.1</v>
      </c>
      <c r="O65" s="12">
        <v>177.6</v>
      </c>
      <c r="P65" s="12">
        <v>189.9</v>
      </c>
      <c r="Q65" s="12">
        <v>174.8</v>
      </c>
      <c r="R65" s="12">
        <v>190</v>
      </c>
      <c r="S65" s="12">
        <v>187</v>
      </c>
      <c r="T65" s="12">
        <v>189.6</v>
      </c>
      <c r="U65" s="12">
        <v>139.25</v>
      </c>
      <c r="V65" s="12">
        <v>178.6</v>
      </c>
      <c r="W65" s="12">
        <v>181.4</v>
      </c>
      <c r="X65" s="12">
        <v>186.6</v>
      </c>
      <c r="Y65" s="12">
        <v>180.7</v>
      </c>
      <c r="Z65" s="12">
        <v>169</v>
      </c>
      <c r="AA65" s="12">
        <v>172.8</v>
      </c>
      <c r="AB65" s="12">
        <v>178.5</v>
      </c>
      <c r="AC65" s="12">
        <v>198.4</v>
      </c>
      <c r="AD65" s="12">
        <v>177.9</v>
      </c>
    </row>
    <row r="66" spans="1:31">
      <c r="A66" s="12" t="s">
        <v>30</v>
      </c>
      <c r="B66" s="12">
        <v>2023</v>
      </c>
      <c r="C66" s="12" t="s">
        <v>37</v>
      </c>
      <c r="D66" s="90">
        <f t="shared" si="1"/>
        <v>45017</v>
      </c>
      <c r="E66" s="12">
        <v>173.3</v>
      </c>
      <c r="F66" s="12">
        <v>206.9</v>
      </c>
      <c r="G66" s="12">
        <v>167.9</v>
      </c>
      <c r="H66" s="12">
        <v>178.2</v>
      </c>
      <c r="I66" s="12">
        <v>178.5</v>
      </c>
      <c r="J66" s="12">
        <v>173.7</v>
      </c>
      <c r="K66" s="12">
        <v>142.80000000000001</v>
      </c>
      <c r="L66" s="12">
        <v>172.8</v>
      </c>
      <c r="M66" s="12">
        <v>120.4</v>
      </c>
      <c r="N66" s="12">
        <v>215.5</v>
      </c>
      <c r="O66" s="12">
        <v>178.2</v>
      </c>
      <c r="P66" s="12">
        <v>190.5</v>
      </c>
      <c r="Q66" s="12">
        <v>175.5</v>
      </c>
      <c r="R66" s="12">
        <v>190.7</v>
      </c>
      <c r="S66" s="12">
        <v>187.3</v>
      </c>
      <c r="T66" s="12">
        <v>190.2</v>
      </c>
      <c r="U66" s="12">
        <v>139.25</v>
      </c>
      <c r="V66" s="12">
        <v>179.1</v>
      </c>
      <c r="W66" s="12">
        <v>181.5</v>
      </c>
      <c r="X66" s="12">
        <v>187.2</v>
      </c>
      <c r="Y66" s="12">
        <v>183.8</v>
      </c>
      <c r="Z66" s="12">
        <v>169.4</v>
      </c>
      <c r="AA66" s="12">
        <v>173.2</v>
      </c>
      <c r="AB66" s="12">
        <v>179.4</v>
      </c>
      <c r="AC66" s="12">
        <v>199.5</v>
      </c>
      <c r="AD66" s="12">
        <v>178.9</v>
      </c>
    </row>
    <row r="67" spans="1:31">
      <c r="A67" s="12" t="s">
        <v>30</v>
      </c>
      <c r="B67" s="12">
        <v>2023</v>
      </c>
      <c r="C67" s="12" t="s">
        <v>38</v>
      </c>
      <c r="D67" s="90">
        <f t="shared" si="1"/>
        <v>45047</v>
      </c>
      <c r="E67" s="12">
        <v>173.2</v>
      </c>
      <c r="F67" s="12">
        <v>211.5</v>
      </c>
      <c r="G67" s="12">
        <v>171</v>
      </c>
      <c r="H67" s="12">
        <v>179.6</v>
      </c>
      <c r="I67" s="12">
        <v>173.3</v>
      </c>
      <c r="J67" s="12">
        <v>169</v>
      </c>
      <c r="K67" s="12">
        <v>148.69999999999999</v>
      </c>
      <c r="L67" s="12">
        <v>174.9</v>
      </c>
      <c r="M67" s="12">
        <v>121.9</v>
      </c>
      <c r="N67" s="12">
        <v>221</v>
      </c>
      <c r="O67" s="12">
        <v>178.7</v>
      </c>
      <c r="P67" s="12">
        <v>191.1</v>
      </c>
      <c r="Q67" s="12">
        <v>176.8</v>
      </c>
      <c r="R67" s="12">
        <v>191.2</v>
      </c>
      <c r="S67" s="12">
        <v>187.9</v>
      </c>
      <c r="T67" s="12">
        <v>190.8</v>
      </c>
      <c r="U67" s="12">
        <v>139.25</v>
      </c>
      <c r="V67" s="12">
        <v>179.8</v>
      </c>
      <c r="W67" s="12">
        <v>182.5</v>
      </c>
      <c r="X67" s="12">
        <v>187.8</v>
      </c>
      <c r="Y67" s="12">
        <v>184.9</v>
      </c>
      <c r="Z67" s="12">
        <v>169.7</v>
      </c>
      <c r="AA67" s="12">
        <v>173.8</v>
      </c>
      <c r="AB67" s="12">
        <v>180.3</v>
      </c>
      <c r="AC67" s="12">
        <v>199.9</v>
      </c>
      <c r="AD67" s="12">
        <v>179.5</v>
      </c>
    </row>
    <row r="70" spans="1:31" s="77" customFormat="1">
      <c r="D70" s="94"/>
    </row>
    <row r="71" spans="1:31" ht="18">
      <c r="A71" s="60" t="s">
        <v>33</v>
      </c>
      <c r="V71" s="7"/>
    </row>
    <row r="72" spans="1:31">
      <c r="A72" s="12" t="s">
        <v>0</v>
      </c>
      <c r="B72" s="12" t="s">
        <v>1</v>
      </c>
      <c r="C72" s="12" t="s">
        <v>2</v>
      </c>
      <c r="D72" s="95" t="s">
        <v>100</v>
      </c>
      <c r="E72" s="12" t="s">
        <v>3</v>
      </c>
      <c r="F72" s="12" t="s">
        <v>4</v>
      </c>
      <c r="G72" s="12" t="s">
        <v>5</v>
      </c>
      <c r="H72" s="12" t="s">
        <v>6</v>
      </c>
      <c r="I72" s="12" t="s">
        <v>7</v>
      </c>
      <c r="J72" s="12" t="s">
        <v>8</v>
      </c>
      <c r="K72" s="12" t="s">
        <v>9</v>
      </c>
      <c r="L72" s="12" t="s">
        <v>10</v>
      </c>
      <c r="M72" s="12" t="s">
        <v>11</v>
      </c>
      <c r="N72" s="12" t="s">
        <v>12</v>
      </c>
      <c r="O72" s="12" t="s">
        <v>13</v>
      </c>
      <c r="P72" s="12" t="s">
        <v>14</v>
      </c>
      <c r="Q72" s="12" t="s">
        <v>15</v>
      </c>
      <c r="R72" s="12" t="s">
        <v>17</v>
      </c>
      <c r="S72" s="12" t="s">
        <v>18</v>
      </c>
      <c r="T72" s="12" t="s">
        <v>19</v>
      </c>
      <c r="U72" s="12" t="s">
        <v>20</v>
      </c>
      <c r="V72" s="12" t="s">
        <v>22</v>
      </c>
      <c r="W72" s="12" t="s">
        <v>21</v>
      </c>
      <c r="X72" s="12" t="s">
        <v>23</v>
      </c>
      <c r="Y72" s="12" t="s">
        <v>27</v>
      </c>
      <c r="Z72" s="12" t="s">
        <v>24</v>
      </c>
      <c r="AA72" s="12" t="s">
        <v>25</v>
      </c>
      <c r="AB72" s="12" t="s">
        <v>26</v>
      </c>
      <c r="AC72" s="12" t="s">
        <v>16</v>
      </c>
      <c r="AD72" s="12" t="s">
        <v>28</v>
      </c>
    </row>
    <row r="73" spans="1:31">
      <c r="A73" s="78" t="s">
        <v>33</v>
      </c>
      <c r="B73" s="26">
        <v>2020</v>
      </c>
      <c r="C73" s="21" t="s">
        <v>46</v>
      </c>
      <c r="D73" s="96">
        <f>DATE(B73,MONTH(1&amp;C73),1)</f>
        <v>44166</v>
      </c>
      <c r="E73" s="27">
        <v>149</v>
      </c>
      <c r="F73" s="27">
        <v>195.7</v>
      </c>
      <c r="G73" s="27">
        <v>178.3</v>
      </c>
      <c r="H73" s="27">
        <v>154.19999999999999</v>
      </c>
      <c r="I73" s="27">
        <v>140.69999999999999</v>
      </c>
      <c r="J73" s="27">
        <v>149.69999999999999</v>
      </c>
      <c r="K73" s="27">
        <v>240.9</v>
      </c>
      <c r="L73" s="27">
        <v>161.5</v>
      </c>
      <c r="M73" s="27">
        <v>117.1</v>
      </c>
      <c r="N73" s="27">
        <v>161.9</v>
      </c>
      <c r="O73" s="27">
        <v>143.30000000000001</v>
      </c>
      <c r="P73" s="27">
        <v>166.1</v>
      </c>
      <c r="Q73" s="27">
        <v>167</v>
      </c>
      <c r="R73" s="21">
        <v>151.9</v>
      </c>
      <c r="S73" s="21">
        <v>136.69999999999999</v>
      </c>
      <c r="T73" s="21">
        <v>149.6</v>
      </c>
      <c r="U73" s="22">
        <v>158.4</v>
      </c>
      <c r="V73" s="21">
        <v>145.5</v>
      </c>
      <c r="W73" s="21">
        <v>129.6</v>
      </c>
      <c r="X73" s="21">
        <v>152.9</v>
      </c>
      <c r="Y73" s="21">
        <v>157.9</v>
      </c>
      <c r="Z73" s="27">
        <v>135.5</v>
      </c>
      <c r="AA73" s="27">
        <v>144.30000000000001</v>
      </c>
      <c r="AB73" s="27">
        <v>156.9</v>
      </c>
      <c r="AC73" s="27">
        <v>190.2</v>
      </c>
      <c r="AD73" s="101">
        <v>146.9</v>
      </c>
      <c r="AE73" s="102"/>
    </row>
    <row r="74" spans="1:31">
      <c r="A74" s="78" t="s">
        <v>33</v>
      </c>
      <c r="B74" s="12">
        <v>2021</v>
      </c>
      <c r="C74" s="12" t="s">
        <v>31</v>
      </c>
      <c r="D74" s="90">
        <f t="shared" ref="D74:D102" si="2">DATE(B74,MONTH(1&amp;C74),1)</f>
        <v>44197</v>
      </c>
      <c r="E74" s="27">
        <v>148</v>
      </c>
      <c r="F74" s="27">
        <v>194.8</v>
      </c>
      <c r="G74" s="27">
        <v>178.4</v>
      </c>
      <c r="H74" s="27">
        <v>154.4</v>
      </c>
      <c r="I74" s="27">
        <v>144.1</v>
      </c>
      <c r="J74" s="27">
        <v>152.6</v>
      </c>
      <c r="K74" s="27">
        <v>206.8</v>
      </c>
      <c r="L74" s="27">
        <v>162.1</v>
      </c>
      <c r="M74" s="27">
        <v>116.3</v>
      </c>
      <c r="N74" s="27">
        <v>163</v>
      </c>
      <c r="O74" s="27">
        <v>145.9</v>
      </c>
      <c r="P74" s="27">
        <v>167.2</v>
      </c>
      <c r="Q74" s="27">
        <v>163.4</v>
      </c>
      <c r="R74" s="21">
        <v>152.5</v>
      </c>
      <c r="S74" s="21">
        <v>137.30000000000001</v>
      </c>
      <c r="T74" s="21">
        <v>150.19999999999999</v>
      </c>
      <c r="U74" s="22">
        <v>157.69999999999999</v>
      </c>
      <c r="V74" s="21">
        <v>145.69999999999999</v>
      </c>
      <c r="W74" s="21">
        <v>142.9</v>
      </c>
      <c r="X74" s="21">
        <v>154.1</v>
      </c>
      <c r="Y74" s="21">
        <v>157.69999999999999</v>
      </c>
      <c r="Z74" s="27">
        <v>136.9</v>
      </c>
      <c r="AA74" s="27">
        <v>145.4</v>
      </c>
      <c r="AB74" s="27">
        <v>156.1</v>
      </c>
      <c r="AC74" s="27">
        <v>191.8</v>
      </c>
      <c r="AD74" s="101">
        <v>147.6</v>
      </c>
      <c r="AE74" s="102"/>
    </row>
    <row r="75" spans="1:31">
      <c r="A75" s="78" t="s">
        <v>33</v>
      </c>
      <c r="B75" s="12">
        <v>2021</v>
      </c>
      <c r="C75" s="12" t="s">
        <v>35</v>
      </c>
      <c r="D75" s="90">
        <f t="shared" si="2"/>
        <v>44228</v>
      </c>
      <c r="E75" s="27">
        <v>147.6</v>
      </c>
      <c r="F75" s="27">
        <v>191.2</v>
      </c>
      <c r="G75" s="27">
        <v>169.9</v>
      </c>
      <c r="H75" s="27">
        <v>155.1</v>
      </c>
      <c r="I75" s="27">
        <v>151.4</v>
      </c>
      <c r="J75" s="27">
        <v>154</v>
      </c>
      <c r="K75" s="27">
        <v>180.2</v>
      </c>
      <c r="L75" s="27">
        <v>159.80000000000001</v>
      </c>
      <c r="M75" s="27">
        <v>114.9</v>
      </c>
      <c r="N75" s="27">
        <v>162.5</v>
      </c>
      <c r="O75" s="27">
        <v>149.19999999999999</v>
      </c>
      <c r="P75" s="27">
        <v>169.4</v>
      </c>
      <c r="Q75" s="27">
        <v>160.80000000000001</v>
      </c>
      <c r="R75" s="21">
        <v>154.19999999999999</v>
      </c>
      <c r="S75" s="21">
        <v>138.19999999999999</v>
      </c>
      <c r="T75" s="21">
        <v>151.80000000000001</v>
      </c>
      <c r="U75" s="22">
        <v>159.80000000000001</v>
      </c>
      <c r="V75" s="21">
        <v>146.5</v>
      </c>
      <c r="W75" s="21">
        <v>149.1</v>
      </c>
      <c r="X75" s="21">
        <v>156.30000000000001</v>
      </c>
      <c r="Y75" s="21">
        <v>156.69999999999999</v>
      </c>
      <c r="Z75" s="27">
        <v>140.5</v>
      </c>
      <c r="AA75" s="27">
        <v>147.30000000000001</v>
      </c>
      <c r="AB75" s="27">
        <v>156.6</v>
      </c>
      <c r="AC75" s="27">
        <v>193.3</v>
      </c>
      <c r="AD75" s="101">
        <v>149.30000000000001</v>
      </c>
      <c r="AE75" s="102"/>
    </row>
    <row r="76" spans="1:31">
      <c r="A76" s="78" t="s">
        <v>33</v>
      </c>
      <c r="B76" s="12">
        <v>2021</v>
      </c>
      <c r="C76" s="12" t="s">
        <v>36</v>
      </c>
      <c r="D76" s="90">
        <f t="shared" si="2"/>
        <v>44256</v>
      </c>
      <c r="E76" s="27">
        <v>147.5</v>
      </c>
      <c r="F76" s="27">
        <v>197.5</v>
      </c>
      <c r="G76" s="27">
        <v>164.7</v>
      </c>
      <c r="H76" s="27">
        <v>155.6</v>
      </c>
      <c r="I76" s="27">
        <v>156.4</v>
      </c>
      <c r="J76" s="27">
        <v>157.30000000000001</v>
      </c>
      <c r="K76" s="27">
        <v>166.1</v>
      </c>
      <c r="L76" s="27">
        <v>161.1</v>
      </c>
      <c r="M76" s="27">
        <v>114.3</v>
      </c>
      <c r="N76" s="27">
        <v>162.6</v>
      </c>
      <c r="O76" s="27">
        <v>150.69999999999999</v>
      </c>
      <c r="P76" s="27">
        <v>170.3</v>
      </c>
      <c r="Q76" s="27">
        <v>160.4</v>
      </c>
      <c r="R76" s="21">
        <v>155.1</v>
      </c>
      <c r="S76" s="21">
        <v>138.69999999999999</v>
      </c>
      <c r="T76" s="21">
        <v>152.6</v>
      </c>
      <c r="U76" s="22">
        <v>159.9</v>
      </c>
      <c r="V76" s="21">
        <v>147.19999999999999</v>
      </c>
      <c r="W76" s="21">
        <v>154.80000000000001</v>
      </c>
      <c r="X76" s="21">
        <v>156.9</v>
      </c>
      <c r="Y76" s="21">
        <v>154.9</v>
      </c>
      <c r="Z76" s="27">
        <v>141.69999999999999</v>
      </c>
      <c r="AA76" s="27">
        <v>148.6</v>
      </c>
      <c r="AB76" s="27">
        <v>157.6</v>
      </c>
      <c r="AC76" s="27">
        <v>193.5</v>
      </c>
      <c r="AD76" s="101">
        <v>150</v>
      </c>
      <c r="AE76" s="102"/>
    </row>
    <row r="77" spans="1:31">
      <c r="A77" s="78" t="s">
        <v>33</v>
      </c>
      <c r="B77" s="12">
        <v>2021</v>
      </c>
      <c r="C77" s="12" t="s">
        <v>37</v>
      </c>
      <c r="D77" s="90">
        <f t="shared" si="2"/>
        <v>44287</v>
      </c>
      <c r="E77" s="27">
        <v>147.6</v>
      </c>
      <c r="F77" s="27">
        <v>202.5</v>
      </c>
      <c r="G77" s="27">
        <v>166.4</v>
      </c>
      <c r="H77" s="27">
        <v>156</v>
      </c>
      <c r="I77" s="27">
        <v>161.4</v>
      </c>
      <c r="J77" s="27">
        <v>168.8</v>
      </c>
      <c r="K77" s="27">
        <v>161.6</v>
      </c>
      <c r="L77" s="27">
        <v>162.80000000000001</v>
      </c>
      <c r="M77" s="27">
        <v>114.8</v>
      </c>
      <c r="N77" s="27">
        <v>162.80000000000001</v>
      </c>
      <c r="O77" s="27">
        <v>151.5</v>
      </c>
      <c r="P77" s="27">
        <v>171.4</v>
      </c>
      <c r="Q77" s="27">
        <v>162</v>
      </c>
      <c r="R77" s="21">
        <v>155.9</v>
      </c>
      <c r="S77" s="21">
        <v>139.30000000000001</v>
      </c>
      <c r="T77" s="21">
        <v>153.4</v>
      </c>
      <c r="U77" s="22">
        <v>161.4</v>
      </c>
      <c r="V77" s="21">
        <v>147.6</v>
      </c>
      <c r="W77" s="21">
        <v>154.9</v>
      </c>
      <c r="X77" s="21">
        <v>157.5</v>
      </c>
      <c r="Y77" s="21">
        <v>156.6</v>
      </c>
      <c r="Z77" s="27">
        <v>142.1</v>
      </c>
      <c r="AA77" s="27">
        <v>149.1</v>
      </c>
      <c r="AB77" s="27">
        <v>157.6</v>
      </c>
      <c r="AC77" s="27">
        <v>194.4</v>
      </c>
      <c r="AD77" s="101">
        <v>150.5</v>
      </c>
      <c r="AE77" s="102"/>
    </row>
    <row r="78" spans="1:31">
      <c r="A78" s="78" t="s">
        <v>33</v>
      </c>
      <c r="B78" s="12">
        <v>2021</v>
      </c>
      <c r="C78" s="12" t="s">
        <v>38</v>
      </c>
      <c r="D78" s="90">
        <f t="shared" si="2"/>
        <v>44317</v>
      </c>
      <c r="E78" s="27">
        <v>148.80000000000001</v>
      </c>
      <c r="F78" s="27">
        <v>204.3</v>
      </c>
      <c r="G78" s="27">
        <v>173</v>
      </c>
      <c r="H78" s="27">
        <v>156.5</v>
      </c>
      <c r="I78" s="27">
        <v>168.8</v>
      </c>
      <c r="J78" s="27">
        <v>172.5</v>
      </c>
      <c r="K78" s="27">
        <v>166.5</v>
      </c>
      <c r="L78" s="27">
        <v>165.9</v>
      </c>
      <c r="M78" s="27">
        <v>115.9</v>
      </c>
      <c r="N78" s="27">
        <v>165.2</v>
      </c>
      <c r="O78" s="27">
        <v>152</v>
      </c>
      <c r="P78" s="27">
        <v>171.1</v>
      </c>
      <c r="Q78" s="27">
        <v>164.2</v>
      </c>
      <c r="R78" s="21">
        <v>156.5</v>
      </c>
      <c r="S78" s="21">
        <v>140.19999999999999</v>
      </c>
      <c r="T78" s="21">
        <v>154.1</v>
      </c>
      <c r="U78" s="22">
        <v>161.6</v>
      </c>
      <c r="V78" s="21">
        <v>150.1</v>
      </c>
      <c r="W78" s="21">
        <v>155.5</v>
      </c>
      <c r="X78" s="21">
        <v>160.4</v>
      </c>
      <c r="Y78" s="21">
        <v>157.5</v>
      </c>
      <c r="Z78" s="27">
        <v>145</v>
      </c>
      <c r="AA78" s="27">
        <v>152.6</v>
      </c>
      <c r="AB78" s="27">
        <v>156.6</v>
      </c>
      <c r="AC78" s="27">
        <v>198.2</v>
      </c>
      <c r="AD78" s="101">
        <v>152.30000000000001</v>
      </c>
      <c r="AE78" s="102"/>
    </row>
    <row r="79" spans="1:31">
      <c r="A79" s="78" t="s">
        <v>33</v>
      </c>
      <c r="B79" s="12">
        <v>2021</v>
      </c>
      <c r="C79" s="12" t="s">
        <v>39</v>
      </c>
      <c r="D79" s="90">
        <f t="shared" si="2"/>
        <v>44348</v>
      </c>
      <c r="E79" s="27">
        <v>149.19999999999999</v>
      </c>
      <c r="F79" s="27">
        <v>205.5</v>
      </c>
      <c r="G79" s="27">
        <v>182.8</v>
      </c>
      <c r="H79" s="27">
        <v>156.5</v>
      </c>
      <c r="I79" s="27">
        <v>172.2</v>
      </c>
      <c r="J79" s="27">
        <v>171.5</v>
      </c>
      <c r="K79" s="27">
        <v>176.2</v>
      </c>
      <c r="L79" s="27">
        <v>166.9</v>
      </c>
      <c r="M79" s="27">
        <v>116.1</v>
      </c>
      <c r="N79" s="27">
        <v>165.5</v>
      </c>
      <c r="O79" s="27">
        <v>152.30000000000001</v>
      </c>
      <c r="P79" s="27">
        <v>173.3</v>
      </c>
      <c r="Q79" s="27">
        <v>166.2</v>
      </c>
      <c r="R79" s="21">
        <v>157.30000000000001</v>
      </c>
      <c r="S79" s="21">
        <v>140.5</v>
      </c>
      <c r="T79" s="21">
        <v>154.80000000000001</v>
      </c>
      <c r="U79" s="22">
        <v>160.5</v>
      </c>
      <c r="V79" s="21">
        <v>149.80000000000001</v>
      </c>
      <c r="W79" s="21">
        <v>156.1</v>
      </c>
      <c r="X79" s="21">
        <v>160.80000000000001</v>
      </c>
      <c r="Y79" s="21">
        <v>158</v>
      </c>
      <c r="Z79" s="27">
        <v>147.5</v>
      </c>
      <c r="AA79" s="27">
        <v>150.69999999999999</v>
      </c>
      <c r="AB79" s="27">
        <v>158.1</v>
      </c>
      <c r="AC79" s="27">
        <v>195.6</v>
      </c>
      <c r="AD79" s="101">
        <v>153.4</v>
      </c>
      <c r="AE79" s="102"/>
    </row>
    <row r="80" spans="1:31">
      <c r="A80" s="78" t="s">
        <v>33</v>
      </c>
      <c r="B80" s="12">
        <v>2021</v>
      </c>
      <c r="C80" s="12" t="s">
        <v>40</v>
      </c>
      <c r="D80" s="90">
        <f t="shared" si="2"/>
        <v>44378</v>
      </c>
      <c r="E80" s="27">
        <v>149.1</v>
      </c>
      <c r="F80" s="27">
        <v>210.9</v>
      </c>
      <c r="G80" s="27">
        <v>185</v>
      </c>
      <c r="H80" s="27">
        <v>158.19999999999999</v>
      </c>
      <c r="I80" s="27">
        <v>170.6</v>
      </c>
      <c r="J80" s="27">
        <v>170.9</v>
      </c>
      <c r="K80" s="27">
        <v>186.4</v>
      </c>
      <c r="L80" s="27">
        <v>164.7</v>
      </c>
      <c r="M80" s="27">
        <v>115.7</v>
      </c>
      <c r="N80" s="27">
        <v>165.5</v>
      </c>
      <c r="O80" s="27">
        <v>153.4</v>
      </c>
      <c r="P80" s="27">
        <v>173.5</v>
      </c>
      <c r="Q80" s="27">
        <v>167.9</v>
      </c>
      <c r="R80" s="21">
        <v>157.9</v>
      </c>
      <c r="S80" s="21">
        <v>141.9</v>
      </c>
      <c r="T80" s="21">
        <v>155.5</v>
      </c>
      <c r="U80" s="22">
        <v>161.5</v>
      </c>
      <c r="V80" s="21">
        <v>150.69999999999999</v>
      </c>
      <c r="W80" s="21">
        <v>157.69999999999999</v>
      </c>
      <c r="X80" s="21">
        <v>161.5</v>
      </c>
      <c r="Y80" s="21">
        <v>159.6</v>
      </c>
      <c r="Z80" s="27">
        <v>149.5</v>
      </c>
      <c r="AA80" s="27">
        <v>151.19999999999999</v>
      </c>
      <c r="AB80" s="27">
        <v>160.30000000000001</v>
      </c>
      <c r="AC80" s="27">
        <v>195.5</v>
      </c>
      <c r="AD80" s="101">
        <v>155</v>
      </c>
      <c r="AE80" s="102"/>
    </row>
    <row r="81" spans="1:31">
      <c r="A81" s="78" t="s">
        <v>33</v>
      </c>
      <c r="B81" s="12">
        <v>2021</v>
      </c>
      <c r="C81" s="12" t="s">
        <v>41</v>
      </c>
      <c r="D81" s="90">
        <f t="shared" si="2"/>
        <v>44409</v>
      </c>
      <c r="E81" s="27">
        <v>149.30000000000001</v>
      </c>
      <c r="F81" s="27">
        <v>207.4</v>
      </c>
      <c r="G81" s="27">
        <v>174.1</v>
      </c>
      <c r="H81" s="27">
        <v>159.19999999999999</v>
      </c>
      <c r="I81" s="27">
        <v>175</v>
      </c>
      <c r="J81" s="27">
        <v>161.30000000000001</v>
      </c>
      <c r="K81" s="27">
        <v>183.3</v>
      </c>
      <c r="L81" s="27">
        <v>164.5</v>
      </c>
      <c r="M81" s="27">
        <v>120.4</v>
      </c>
      <c r="N81" s="27">
        <v>166.2</v>
      </c>
      <c r="O81" s="27">
        <v>154.80000000000001</v>
      </c>
      <c r="P81" s="27">
        <v>175.1</v>
      </c>
      <c r="Q81" s="27">
        <v>167.3</v>
      </c>
      <c r="R81" s="21">
        <v>159.80000000000001</v>
      </c>
      <c r="S81" s="21">
        <v>143.6</v>
      </c>
      <c r="T81" s="21">
        <v>157.30000000000001</v>
      </c>
      <c r="U81" s="22">
        <v>162.1</v>
      </c>
      <c r="V81" s="21">
        <v>153.19999999999999</v>
      </c>
      <c r="W81" s="21">
        <v>160.69999999999999</v>
      </c>
      <c r="X81" s="21">
        <v>162.80000000000001</v>
      </c>
      <c r="Y81" s="21">
        <v>159.6</v>
      </c>
      <c r="Z81" s="27">
        <v>150.4</v>
      </c>
      <c r="AA81" s="27">
        <v>153.69999999999999</v>
      </c>
      <c r="AB81" s="27">
        <v>160.4</v>
      </c>
      <c r="AC81" s="27">
        <v>196.5</v>
      </c>
      <c r="AD81" s="101">
        <v>156</v>
      </c>
      <c r="AE81" s="102"/>
    </row>
    <row r="82" spans="1:31">
      <c r="A82" s="78" t="s">
        <v>33</v>
      </c>
      <c r="B82" s="12">
        <v>2021</v>
      </c>
      <c r="C82" s="12" t="s">
        <v>42</v>
      </c>
      <c r="D82" s="90">
        <f t="shared" si="2"/>
        <v>44440</v>
      </c>
      <c r="E82" s="27">
        <v>149.30000000000001</v>
      </c>
      <c r="F82" s="27">
        <v>207.4</v>
      </c>
      <c r="G82" s="27">
        <v>174.1</v>
      </c>
      <c r="H82" s="27">
        <v>159.1</v>
      </c>
      <c r="I82" s="27">
        <v>175</v>
      </c>
      <c r="J82" s="27">
        <v>161.19999999999999</v>
      </c>
      <c r="K82" s="27">
        <v>183.5</v>
      </c>
      <c r="L82" s="27">
        <v>164.5</v>
      </c>
      <c r="M82" s="27">
        <v>120.4</v>
      </c>
      <c r="N82" s="27">
        <v>166.2</v>
      </c>
      <c r="O82" s="27">
        <v>154.80000000000001</v>
      </c>
      <c r="P82" s="27">
        <v>175.1</v>
      </c>
      <c r="Q82" s="27">
        <v>167.3</v>
      </c>
      <c r="R82" s="21">
        <v>159.80000000000001</v>
      </c>
      <c r="S82" s="21">
        <v>143.6</v>
      </c>
      <c r="T82" s="21">
        <v>157.4</v>
      </c>
      <c r="U82" s="22">
        <v>162.1</v>
      </c>
      <c r="V82" s="21">
        <v>153.30000000000001</v>
      </c>
      <c r="W82" s="21">
        <v>160.80000000000001</v>
      </c>
      <c r="X82" s="21">
        <v>162.80000000000001</v>
      </c>
      <c r="Y82" s="21">
        <v>159.6</v>
      </c>
      <c r="Z82" s="27">
        <v>150.5</v>
      </c>
      <c r="AA82" s="27">
        <v>153.9</v>
      </c>
      <c r="AB82" s="27">
        <v>160.30000000000001</v>
      </c>
      <c r="AC82" s="27">
        <v>196.5</v>
      </c>
      <c r="AD82" s="101">
        <v>156</v>
      </c>
      <c r="AE82" s="102"/>
    </row>
    <row r="83" spans="1:31">
      <c r="A83" s="78" t="s">
        <v>33</v>
      </c>
      <c r="B83" s="12">
        <v>2021</v>
      </c>
      <c r="C83" s="12" t="s">
        <v>43</v>
      </c>
      <c r="D83" s="90">
        <f t="shared" si="2"/>
        <v>44470</v>
      </c>
      <c r="E83" s="27">
        <v>150.1</v>
      </c>
      <c r="F83" s="27">
        <v>208.4</v>
      </c>
      <c r="G83" s="27">
        <v>173</v>
      </c>
      <c r="H83" s="27">
        <v>159.19999999999999</v>
      </c>
      <c r="I83" s="27">
        <v>176.6</v>
      </c>
      <c r="J83" s="27">
        <v>159.30000000000001</v>
      </c>
      <c r="K83" s="27">
        <v>214.4</v>
      </c>
      <c r="L83" s="27">
        <v>165.3</v>
      </c>
      <c r="M83" s="27">
        <v>122.5</v>
      </c>
      <c r="N83" s="27">
        <v>166.8</v>
      </c>
      <c r="O83" s="27">
        <v>155.4</v>
      </c>
      <c r="P83" s="27">
        <v>175.9</v>
      </c>
      <c r="Q83" s="27">
        <v>171.5</v>
      </c>
      <c r="R83" s="21">
        <v>160.80000000000001</v>
      </c>
      <c r="S83" s="21">
        <v>144.4</v>
      </c>
      <c r="T83" s="21">
        <v>158.30000000000001</v>
      </c>
      <c r="U83" s="22">
        <v>163.6</v>
      </c>
      <c r="V83" s="21">
        <v>154.30000000000001</v>
      </c>
      <c r="W83" s="21">
        <v>162.19999999999999</v>
      </c>
      <c r="X83" s="21">
        <v>163.5</v>
      </c>
      <c r="Y83" s="21">
        <v>160.30000000000001</v>
      </c>
      <c r="Z83" s="27">
        <v>152.19999999999999</v>
      </c>
      <c r="AA83" s="27">
        <v>155.1</v>
      </c>
      <c r="AB83" s="27">
        <v>160.30000000000001</v>
      </c>
      <c r="AC83" s="27">
        <v>197</v>
      </c>
      <c r="AD83" s="101">
        <v>157</v>
      </c>
      <c r="AE83" s="102"/>
    </row>
    <row r="84" spans="1:31">
      <c r="A84" s="78" t="s">
        <v>33</v>
      </c>
      <c r="B84" s="12">
        <v>2021</v>
      </c>
      <c r="C84" s="12" t="s">
        <v>45</v>
      </c>
      <c r="D84" s="90">
        <f t="shared" si="2"/>
        <v>44501</v>
      </c>
      <c r="E84" s="27">
        <v>151</v>
      </c>
      <c r="F84" s="27">
        <v>204.9</v>
      </c>
      <c r="G84" s="27">
        <v>175.4</v>
      </c>
      <c r="H84" s="27">
        <v>159.6</v>
      </c>
      <c r="I84" s="27">
        <v>175.8</v>
      </c>
      <c r="J84" s="27">
        <v>160.30000000000001</v>
      </c>
      <c r="K84" s="27">
        <v>229.1</v>
      </c>
      <c r="L84" s="27">
        <v>165.1</v>
      </c>
      <c r="M84" s="27">
        <v>123.1</v>
      </c>
      <c r="N84" s="27">
        <v>167.2</v>
      </c>
      <c r="O84" s="27">
        <v>156.1</v>
      </c>
      <c r="P84" s="27">
        <v>176.8</v>
      </c>
      <c r="Q84" s="27">
        <v>173.5</v>
      </c>
      <c r="R84" s="21">
        <v>162.30000000000001</v>
      </c>
      <c r="S84" s="21">
        <v>145.30000000000001</v>
      </c>
      <c r="T84" s="21">
        <v>159.69999999999999</v>
      </c>
      <c r="U84" s="22">
        <v>164.2</v>
      </c>
      <c r="V84" s="21">
        <v>155.19999999999999</v>
      </c>
      <c r="W84" s="21">
        <v>161.6</v>
      </c>
      <c r="X84" s="21">
        <v>164.2</v>
      </c>
      <c r="Y84" s="21">
        <v>161.80000000000001</v>
      </c>
      <c r="Z84" s="27">
        <v>151.19999999999999</v>
      </c>
      <c r="AA84" s="27">
        <v>156.69999999999999</v>
      </c>
      <c r="AB84" s="27">
        <v>160.80000000000001</v>
      </c>
      <c r="AC84" s="27">
        <v>197</v>
      </c>
      <c r="AD84" s="101">
        <v>157.30000000000001</v>
      </c>
      <c r="AE84" s="102"/>
    </row>
    <row r="85" spans="1:31">
      <c r="A85" s="78" t="s">
        <v>33</v>
      </c>
      <c r="B85" s="12">
        <v>2021</v>
      </c>
      <c r="C85" s="12" t="s">
        <v>46</v>
      </c>
      <c r="D85" s="90">
        <f t="shared" si="2"/>
        <v>44531</v>
      </c>
      <c r="E85" s="27">
        <v>151.6</v>
      </c>
      <c r="F85" s="27">
        <v>202.2</v>
      </c>
      <c r="G85" s="27">
        <v>180</v>
      </c>
      <c r="H85" s="27">
        <v>160</v>
      </c>
      <c r="I85" s="27">
        <v>173.5</v>
      </c>
      <c r="J85" s="27">
        <v>158.30000000000001</v>
      </c>
      <c r="K85" s="27">
        <v>219.5</v>
      </c>
      <c r="L85" s="27">
        <v>164.2</v>
      </c>
      <c r="M85" s="27">
        <v>121.9</v>
      </c>
      <c r="N85" s="27">
        <v>168.2</v>
      </c>
      <c r="O85" s="27">
        <v>156.5</v>
      </c>
      <c r="P85" s="27">
        <v>178.2</v>
      </c>
      <c r="Q85" s="27">
        <v>172.2</v>
      </c>
      <c r="R85" s="21">
        <v>163.30000000000001</v>
      </c>
      <c r="S85" s="21">
        <v>146.69999999999999</v>
      </c>
      <c r="T85" s="21">
        <v>160.69999999999999</v>
      </c>
      <c r="U85" s="22">
        <v>163.4</v>
      </c>
      <c r="V85" s="21">
        <v>156</v>
      </c>
      <c r="W85" s="21">
        <v>161.69999999999999</v>
      </c>
      <c r="X85" s="21">
        <v>165.1</v>
      </c>
      <c r="Y85" s="21">
        <v>162.4</v>
      </c>
      <c r="Z85" s="27">
        <v>151.80000000000001</v>
      </c>
      <c r="AA85" s="27">
        <v>157.6</v>
      </c>
      <c r="AB85" s="27">
        <v>160.6</v>
      </c>
      <c r="AC85" s="27">
        <v>196.8</v>
      </c>
      <c r="AD85" s="101">
        <v>157.80000000000001</v>
      </c>
      <c r="AE85" s="102"/>
    </row>
    <row r="86" spans="1:31">
      <c r="A86" s="78" t="s">
        <v>33</v>
      </c>
      <c r="B86" s="12">
        <v>2022</v>
      </c>
      <c r="C86" s="12" t="s">
        <v>31</v>
      </c>
      <c r="D86" s="90">
        <f t="shared" si="2"/>
        <v>44562</v>
      </c>
      <c r="E86" s="27">
        <v>152.19999999999999</v>
      </c>
      <c r="F86" s="27">
        <v>202.1</v>
      </c>
      <c r="G86" s="27">
        <v>180.1</v>
      </c>
      <c r="H86" s="27">
        <v>160.4</v>
      </c>
      <c r="I86" s="27">
        <v>171</v>
      </c>
      <c r="J86" s="27">
        <v>156.5</v>
      </c>
      <c r="K86" s="27">
        <v>203.6</v>
      </c>
      <c r="L86" s="27">
        <v>163.80000000000001</v>
      </c>
      <c r="M86" s="27">
        <v>121.3</v>
      </c>
      <c r="N86" s="27">
        <v>169.8</v>
      </c>
      <c r="O86" s="27">
        <v>156.6</v>
      </c>
      <c r="P86" s="27">
        <v>179</v>
      </c>
      <c r="Q86" s="27">
        <v>170.3</v>
      </c>
      <c r="R86" s="21">
        <v>164.7</v>
      </c>
      <c r="S86" s="21">
        <v>148.5</v>
      </c>
      <c r="T86" s="21">
        <v>162.19999999999999</v>
      </c>
      <c r="U86" s="22">
        <v>164.5</v>
      </c>
      <c r="V86" s="21">
        <v>156.80000000000001</v>
      </c>
      <c r="W86" s="21">
        <v>161.6</v>
      </c>
      <c r="X86" s="21">
        <v>166.1</v>
      </c>
      <c r="Y86" s="21">
        <v>162.80000000000001</v>
      </c>
      <c r="Z86" s="27">
        <v>152.69999999999999</v>
      </c>
      <c r="AA86" s="27">
        <v>158.4</v>
      </c>
      <c r="AB86" s="27">
        <v>161</v>
      </c>
      <c r="AC86" s="27">
        <v>196.4</v>
      </c>
      <c r="AD86" s="101">
        <v>158.6</v>
      </c>
      <c r="AE86" s="102"/>
    </row>
    <row r="87" spans="1:31">
      <c r="A87" s="78" t="s">
        <v>33</v>
      </c>
      <c r="B87" s="12">
        <v>2022</v>
      </c>
      <c r="C87" s="12" t="s">
        <v>35</v>
      </c>
      <c r="D87" s="90">
        <f t="shared" si="2"/>
        <v>44593</v>
      </c>
      <c r="E87" s="27">
        <v>152.5</v>
      </c>
      <c r="F87" s="27">
        <v>205.2</v>
      </c>
      <c r="G87" s="27">
        <v>176.4</v>
      </c>
      <c r="H87" s="27">
        <v>160.6</v>
      </c>
      <c r="I87" s="27">
        <v>171.5</v>
      </c>
      <c r="J87" s="27">
        <v>156.4</v>
      </c>
      <c r="K87" s="27">
        <v>198</v>
      </c>
      <c r="L87" s="27">
        <v>163.19999999999999</v>
      </c>
      <c r="M87" s="27">
        <v>120.6</v>
      </c>
      <c r="N87" s="27">
        <v>172.2</v>
      </c>
      <c r="O87" s="27">
        <v>156.69999999999999</v>
      </c>
      <c r="P87" s="27">
        <v>180</v>
      </c>
      <c r="Q87" s="27">
        <v>170.2</v>
      </c>
      <c r="R87" s="21">
        <v>165.7</v>
      </c>
      <c r="S87" s="21">
        <v>150.4</v>
      </c>
      <c r="T87" s="21">
        <v>163.4</v>
      </c>
      <c r="U87" s="22">
        <v>165.5</v>
      </c>
      <c r="V87" s="21">
        <v>157.4</v>
      </c>
      <c r="W87" s="21">
        <v>163</v>
      </c>
      <c r="X87" s="21">
        <v>167.2</v>
      </c>
      <c r="Y87" s="21">
        <v>164.2</v>
      </c>
      <c r="Z87" s="27">
        <v>153.1</v>
      </c>
      <c r="AA87" s="27">
        <v>159.5</v>
      </c>
      <c r="AB87" s="27">
        <v>162</v>
      </c>
      <c r="AC87" s="27">
        <v>196.5</v>
      </c>
      <c r="AD87" s="101">
        <v>159.4</v>
      </c>
      <c r="AE87" s="102"/>
    </row>
    <row r="88" spans="1:31">
      <c r="A88" s="78" t="s">
        <v>33</v>
      </c>
      <c r="B88" s="12">
        <v>2022</v>
      </c>
      <c r="C88" s="12" t="s">
        <v>36</v>
      </c>
      <c r="D88" s="90">
        <f t="shared" si="2"/>
        <v>44621</v>
      </c>
      <c r="E88" s="27">
        <v>153.69999999999999</v>
      </c>
      <c r="F88" s="27">
        <v>215.8</v>
      </c>
      <c r="G88" s="27">
        <v>167.7</v>
      </c>
      <c r="H88" s="27">
        <v>162.6</v>
      </c>
      <c r="I88" s="27">
        <v>180</v>
      </c>
      <c r="J88" s="27">
        <v>159.6</v>
      </c>
      <c r="K88" s="27">
        <v>188.4</v>
      </c>
      <c r="L88" s="27">
        <v>163.4</v>
      </c>
      <c r="M88" s="27">
        <v>120.3</v>
      </c>
      <c r="N88" s="27">
        <v>174.7</v>
      </c>
      <c r="O88" s="27">
        <v>157.1</v>
      </c>
      <c r="P88" s="27">
        <v>181.5</v>
      </c>
      <c r="Q88" s="27">
        <v>171.5</v>
      </c>
      <c r="R88" s="21">
        <v>167.1</v>
      </c>
      <c r="S88" s="21">
        <v>152.6</v>
      </c>
      <c r="T88" s="21">
        <v>164.9</v>
      </c>
      <c r="U88" s="22">
        <v>165.3</v>
      </c>
      <c r="V88" s="21">
        <v>158.6</v>
      </c>
      <c r="W88" s="21">
        <v>164.5</v>
      </c>
      <c r="X88" s="21">
        <v>168.2</v>
      </c>
      <c r="Y88" s="21">
        <v>166.8</v>
      </c>
      <c r="Z88" s="27">
        <v>154.19999999999999</v>
      </c>
      <c r="AA88" s="27">
        <v>160.80000000000001</v>
      </c>
      <c r="AB88" s="27">
        <v>162.69999999999999</v>
      </c>
      <c r="AC88" s="27">
        <v>197.5</v>
      </c>
      <c r="AD88" s="101">
        <v>160.6</v>
      </c>
      <c r="AE88" s="102"/>
    </row>
    <row r="89" spans="1:31">
      <c r="A89" s="78" t="s">
        <v>33</v>
      </c>
      <c r="B89" s="12">
        <v>2022</v>
      </c>
      <c r="C89" s="12" t="s">
        <v>37</v>
      </c>
      <c r="D89" s="90">
        <f t="shared" si="2"/>
        <v>44652</v>
      </c>
      <c r="E89" s="27">
        <v>155.4</v>
      </c>
      <c r="F89" s="27">
        <v>215.8</v>
      </c>
      <c r="G89" s="27">
        <v>164.6</v>
      </c>
      <c r="H89" s="27">
        <v>164.2</v>
      </c>
      <c r="I89" s="27">
        <v>186</v>
      </c>
      <c r="J89" s="27">
        <v>175.9</v>
      </c>
      <c r="K89" s="27">
        <v>190.7</v>
      </c>
      <c r="L89" s="27">
        <v>164</v>
      </c>
      <c r="M89" s="27">
        <v>120.5</v>
      </c>
      <c r="N89" s="27">
        <v>178</v>
      </c>
      <c r="O89" s="27">
        <v>157.5</v>
      </c>
      <c r="P89" s="27">
        <v>183.3</v>
      </c>
      <c r="Q89" s="27">
        <v>174.5</v>
      </c>
      <c r="R89" s="21">
        <v>168.4</v>
      </c>
      <c r="S89" s="21">
        <v>154.5</v>
      </c>
      <c r="T89" s="21">
        <v>166.3</v>
      </c>
      <c r="U89" s="22">
        <v>167</v>
      </c>
      <c r="V89" s="21">
        <v>159.80000000000001</v>
      </c>
      <c r="W89" s="21">
        <v>170.5</v>
      </c>
      <c r="X89" s="21">
        <v>169</v>
      </c>
      <c r="Y89" s="21">
        <v>168.4</v>
      </c>
      <c r="Z89" s="27">
        <v>159.30000000000001</v>
      </c>
      <c r="AA89" s="27">
        <v>162.19999999999999</v>
      </c>
      <c r="AB89" s="27">
        <v>164</v>
      </c>
      <c r="AC89" s="27">
        <v>197.1</v>
      </c>
      <c r="AD89" s="101">
        <v>163.1</v>
      </c>
      <c r="AE89" s="102"/>
    </row>
    <row r="90" spans="1:31">
      <c r="A90" s="78" t="s">
        <v>33</v>
      </c>
      <c r="B90" s="12">
        <v>2022</v>
      </c>
      <c r="C90" s="12" t="s">
        <v>38</v>
      </c>
      <c r="D90" s="90">
        <f t="shared" si="2"/>
        <v>44682</v>
      </c>
      <c r="E90" s="27">
        <v>156.69999999999999</v>
      </c>
      <c r="F90" s="27">
        <v>221.2</v>
      </c>
      <c r="G90" s="27">
        <v>164.1</v>
      </c>
      <c r="H90" s="27">
        <v>165.4</v>
      </c>
      <c r="I90" s="27">
        <v>189.5</v>
      </c>
      <c r="J90" s="27">
        <v>174.5</v>
      </c>
      <c r="K90" s="27">
        <v>203.2</v>
      </c>
      <c r="L90" s="27">
        <v>164.1</v>
      </c>
      <c r="M90" s="27">
        <v>121.2</v>
      </c>
      <c r="N90" s="27">
        <v>181.4</v>
      </c>
      <c r="O90" s="27">
        <v>158.5</v>
      </c>
      <c r="P90" s="27">
        <v>184.9</v>
      </c>
      <c r="Q90" s="27">
        <v>177.5</v>
      </c>
      <c r="R90" s="21">
        <v>170</v>
      </c>
      <c r="S90" s="21">
        <v>155.9</v>
      </c>
      <c r="T90" s="21">
        <v>167.8</v>
      </c>
      <c r="U90" s="22">
        <v>167.5</v>
      </c>
      <c r="V90" s="21">
        <v>161.1</v>
      </c>
      <c r="W90" s="21">
        <v>173.5</v>
      </c>
      <c r="X90" s="21">
        <v>170.1</v>
      </c>
      <c r="Y90" s="21">
        <v>168.2</v>
      </c>
      <c r="Z90" s="27">
        <v>159.4</v>
      </c>
      <c r="AA90" s="27">
        <v>163.19999999999999</v>
      </c>
      <c r="AB90" s="27">
        <v>165.2</v>
      </c>
      <c r="AC90" s="27">
        <v>197.5</v>
      </c>
      <c r="AD90" s="101">
        <v>163.80000000000001</v>
      </c>
      <c r="AE90" s="102"/>
    </row>
    <row r="91" spans="1:31">
      <c r="A91" s="78" t="s">
        <v>33</v>
      </c>
      <c r="B91" s="12">
        <v>2022</v>
      </c>
      <c r="C91" s="12" t="s">
        <v>39</v>
      </c>
      <c r="D91" s="90">
        <f t="shared" si="2"/>
        <v>44713</v>
      </c>
      <c r="E91" s="27">
        <v>157.5</v>
      </c>
      <c r="F91" s="27">
        <v>223.4</v>
      </c>
      <c r="G91" s="27">
        <v>172.8</v>
      </c>
      <c r="H91" s="27">
        <v>166.4</v>
      </c>
      <c r="I91" s="27">
        <v>188.6</v>
      </c>
      <c r="J91" s="27">
        <v>174.1</v>
      </c>
      <c r="K91" s="27">
        <v>211.5</v>
      </c>
      <c r="L91" s="27">
        <v>163.6</v>
      </c>
      <c r="M91" s="27">
        <v>121.4</v>
      </c>
      <c r="N91" s="27">
        <v>183.5</v>
      </c>
      <c r="O91" s="27">
        <v>159.1</v>
      </c>
      <c r="P91" s="27">
        <v>186.3</v>
      </c>
      <c r="Q91" s="27">
        <v>179.3</v>
      </c>
      <c r="R91" s="21">
        <v>171.6</v>
      </c>
      <c r="S91" s="21">
        <v>157.4</v>
      </c>
      <c r="T91" s="21">
        <v>169.4</v>
      </c>
      <c r="U91" s="22">
        <v>166.8</v>
      </c>
      <c r="V91" s="21">
        <v>162.1</v>
      </c>
      <c r="W91" s="21">
        <v>174.9</v>
      </c>
      <c r="X91" s="21">
        <v>170.9</v>
      </c>
      <c r="Y91" s="21">
        <v>169.2</v>
      </c>
      <c r="Z91" s="27">
        <v>157.19999999999999</v>
      </c>
      <c r="AA91" s="27">
        <v>164.1</v>
      </c>
      <c r="AB91" s="27">
        <v>166.5</v>
      </c>
      <c r="AC91" s="27">
        <v>198.3</v>
      </c>
      <c r="AD91" s="101">
        <v>163.80000000000001</v>
      </c>
      <c r="AE91" s="102"/>
    </row>
    <row r="92" spans="1:31">
      <c r="A92" s="78" t="s">
        <v>33</v>
      </c>
      <c r="B92" s="12">
        <v>2022</v>
      </c>
      <c r="C92" s="12" t="s">
        <v>40</v>
      </c>
      <c r="D92" s="90">
        <f t="shared" si="2"/>
        <v>44743</v>
      </c>
      <c r="E92" s="27">
        <v>159.30000000000001</v>
      </c>
      <c r="F92" s="27">
        <v>217.1</v>
      </c>
      <c r="G92" s="27">
        <v>176.6</v>
      </c>
      <c r="H92" s="27">
        <v>167.1</v>
      </c>
      <c r="I92" s="27">
        <v>184.8</v>
      </c>
      <c r="J92" s="27">
        <v>179.5</v>
      </c>
      <c r="K92" s="27">
        <v>208.5</v>
      </c>
      <c r="L92" s="27">
        <v>164</v>
      </c>
      <c r="M92" s="27">
        <v>121.5</v>
      </c>
      <c r="N92" s="27">
        <v>186.3</v>
      </c>
      <c r="O92" s="27">
        <v>159.80000000000001</v>
      </c>
      <c r="P92" s="27">
        <v>187.7</v>
      </c>
      <c r="Q92" s="27">
        <v>179.4</v>
      </c>
      <c r="R92" s="21">
        <v>172.7</v>
      </c>
      <c r="S92" s="21">
        <v>158.69999999999999</v>
      </c>
      <c r="T92" s="21">
        <v>170.6</v>
      </c>
      <c r="U92" s="22">
        <v>167.8</v>
      </c>
      <c r="V92" s="21">
        <v>163.1</v>
      </c>
      <c r="W92" s="21">
        <v>179.5</v>
      </c>
      <c r="X92" s="21">
        <v>171.7</v>
      </c>
      <c r="Y92" s="21">
        <v>169.8</v>
      </c>
      <c r="Z92" s="27">
        <v>157.4</v>
      </c>
      <c r="AA92" s="27">
        <v>164.6</v>
      </c>
      <c r="AB92" s="27">
        <v>169.1</v>
      </c>
      <c r="AC92" s="27">
        <v>198.6</v>
      </c>
      <c r="AD92" s="101">
        <v>164.7</v>
      </c>
      <c r="AE92" s="102"/>
    </row>
    <row r="93" spans="1:31">
      <c r="A93" s="78" t="s">
        <v>33</v>
      </c>
      <c r="B93" s="12">
        <v>2022</v>
      </c>
      <c r="C93" s="12" t="s">
        <v>41</v>
      </c>
      <c r="D93" s="90">
        <f t="shared" si="2"/>
        <v>44774</v>
      </c>
      <c r="E93" s="27">
        <v>162.1</v>
      </c>
      <c r="F93" s="27">
        <v>210.9</v>
      </c>
      <c r="G93" s="27">
        <v>170.6</v>
      </c>
      <c r="H93" s="27">
        <v>168.4</v>
      </c>
      <c r="I93" s="27">
        <v>182.5</v>
      </c>
      <c r="J93" s="27">
        <v>177.1</v>
      </c>
      <c r="K93" s="27">
        <v>213.1</v>
      </c>
      <c r="L93" s="27">
        <v>167.3</v>
      </c>
      <c r="M93" s="27">
        <v>122.2</v>
      </c>
      <c r="N93" s="27">
        <v>189.7</v>
      </c>
      <c r="O93" s="27">
        <v>160.5</v>
      </c>
      <c r="P93" s="27">
        <v>188.9</v>
      </c>
      <c r="Q93" s="27">
        <v>180.4</v>
      </c>
      <c r="R93" s="21">
        <v>173.7</v>
      </c>
      <c r="S93" s="21">
        <v>160</v>
      </c>
      <c r="T93" s="21">
        <v>171.6</v>
      </c>
      <c r="U93" s="22">
        <v>169</v>
      </c>
      <c r="V93" s="21">
        <v>164.2</v>
      </c>
      <c r="W93" s="21">
        <v>178.4</v>
      </c>
      <c r="X93" s="21">
        <v>172.6</v>
      </c>
      <c r="Y93" s="21">
        <v>171.4</v>
      </c>
      <c r="Z93" s="27">
        <v>157.69999999999999</v>
      </c>
      <c r="AA93" s="27">
        <v>165.1</v>
      </c>
      <c r="AB93" s="27">
        <v>169.9</v>
      </c>
      <c r="AC93" s="27">
        <v>198.7</v>
      </c>
      <c r="AD93" s="101">
        <v>165.4</v>
      </c>
      <c r="AE93" s="102"/>
    </row>
    <row r="94" spans="1:31">
      <c r="A94" s="78" t="s">
        <v>33</v>
      </c>
      <c r="B94" s="12">
        <v>2022</v>
      </c>
      <c r="C94" s="12" t="s">
        <v>42</v>
      </c>
      <c r="D94" s="90">
        <f t="shared" si="2"/>
        <v>44805</v>
      </c>
      <c r="E94" s="27">
        <v>164.9</v>
      </c>
      <c r="F94" s="27">
        <v>213.7</v>
      </c>
      <c r="G94" s="27">
        <v>170.9</v>
      </c>
      <c r="H94" s="27">
        <v>170.1</v>
      </c>
      <c r="I94" s="27">
        <v>179.3</v>
      </c>
      <c r="J94" s="27">
        <v>167.5</v>
      </c>
      <c r="K94" s="27">
        <v>220.8</v>
      </c>
      <c r="L94" s="27">
        <v>169.2</v>
      </c>
      <c r="M94" s="27">
        <v>123.1</v>
      </c>
      <c r="N94" s="27">
        <v>193.6</v>
      </c>
      <c r="O94" s="27">
        <v>161.1</v>
      </c>
      <c r="P94" s="27">
        <v>190.4</v>
      </c>
      <c r="Q94" s="27">
        <v>181.8</v>
      </c>
      <c r="R94" s="21">
        <v>175</v>
      </c>
      <c r="S94" s="21">
        <v>161.69999999999999</v>
      </c>
      <c r="T94" s="21">
        <v>173</v>
      </c>
      <c r="U94" s="22">
        <v>169.5</v>
      </c>
      <c r="V94" s="21">
        <v>165</v>
      </c>
      <c r="W94" s="21">
        <v>179.2</v>
      </c>
      <c r="X94" s="21">
        <v>173.8</v>
      </c>
      <c r="Y94" s="21">
        <v>171.1</v>
      </c>
      <c r="Z94" s="27">
        <v>158.19999999999999</v>
      </c>
      <c r="AA94" s="27">
        <v>165.8</v>
      </c>
      <c r="AB94" s="27">
        <v>170.9</v>
      </c>
      <c r="AC94" s="27">
        <v>199.7</v>
      </c>
      <c r="AD94" s="101">
        <v>166.1</v>
      </c>
      <c r="AE94" s="102"/>
    </row>
    <row r="95" spans="1:31">
      <c r="A95" s="78" t="s">
        <v>33</v>
      </c>
      <c r="B95" s="12">
        <v>2022</v>
      </c>
      <c r="C95" s="12" t="s">
        <v>43</v>
      </c>
      <c r="D95" s="90">
        <f t="shared" si="2"/>
        <v>44835</v>
      </c>
      <c r="E95" s="27">
        <v>166.4</v>
      </c>
      <c r="F95" s="27">
        <v>214.9</v>
      </c>
      <c r="G95" s="27">
        <v>171.9</v>
      </c>
      <c r="H95" s="27">
        <v>171</v>
      </c>
      <c r="I95" s="27">
        <v>177.7</v>
      </c>
      <c r="J95" s="27">
        <v>165.7</v>
      </c>
      <c r="K95" s="27">
        <v>228.6</v>
      </c>
      <c r="L95" s="27">
        <v>169.9</v>
      </c>
      <c r="M95" s="27">
        <v>123.4</v>
      </c>
      <c r="N95" s="27">
        <v>196.4</v>
      </c>
      <c r="O95" s="27">
        <v>161.6</v>
      </c>
      <c r="P95" s="27">
        <v>191.5</v>
      </c>
      <c r="Q95" s="27">
        <v>183.3</v>
      </c>
      <c r="R95" s="21">
        <v>175.5</v>
      </c>
      <c r="S95" s="21">
        <v>162.6</v>
      </c>
      <c r="T95" s="21">
        <v>173.6</v>
      </c>
      <c r="U95" s="22">
        <v>171.2</v>
      </c>
      <c r="V95" s="21">
        <v>166</v>
      </c>
      <c r="W95" s="21">
        <v>180</v>
      </c>
      <c r="X95" s="21">
        <v>174.7</v>
      </c>
      <c r="Y95" s="21">
        <v>172.3</v>
      </c>
      <c r="Z95" s="27">
        <v>158.80000000000001</v>
      </c>
      <c r="AA95" s="27">
        <v>166.3</v>
      </c>
      <c r="AB95" s="27">
        <v>171.2</v>
      </c>
      <c r="AC95" s="27">
        <v>200.1</v>
      </c>
      <c r="AD95" s="101">
        <v>166.8</v>
      </c>
      <c r="AE95" s="102"/>
    </row>
    <row r="96" spans="1:31">
      <c r="A96" s="78" t="s">
        <v>33</v>
      </c>
      <c r="B96" s="12">
        <v>2022</v>
      </c>
      <c r="C96" s="12" t="s">
        <v>45</v>
      </c>
      <c r="D96" s="90">
        <f t="shared" si="2"/>
        <v>44866</v>
      </c>
      <c r="E96" s="27">
        <v>168.4</v>
      </c>
      <c r="F96" s="27">
        <v>213.4</v>
      </c>
      <c r="G96" s="27">
        <v>183.2</v>
      </c>
      <c r="H96" s="27">
        <v>172.3</v>
      </c>
      <c r="I96" s="27">
        <v>180</v>
      </c>
      <c r="J96" s="27">
        <v>162.6</v>
      </c>
      <c r="K96" s="27">
        <v>205.5</v>
      </c>
      <c r="L96" s="27">
        <v>171</v>
      </c>
      <c r="M96" s="27">
        <v>123.4</v>
      </c>
      <c r="N96" s="27">
        <v>198.8</v>
      </c>
      <c r="O96" s="27">
        <v>162.1</v>
      </c>
      <c r="P96" s="27">
        <v>192.4</v>
      </c>
      <c r="Q96" s="27">
        <v>181.3</v>
      </c>
      <c r="R96" s="21">
        <v>176.7</v>
      </c>
      <c r="S96" s="21">
        <v>163.5</v>
      </c>
      <c r="T96" s="21">
        <v>174.7</v>
      </c>
      <c r="U96" s="22">
        <v>171.8</v>
      </c>
      <c r="V96" s="21">
        <v>166.9</v>
      </c>
      <c r="W96" s="21">
        <v>180.3</v>
      </c>
      <c r="X96" s="21">
        <v>175.8</v>
      </c>
      <c r="Y96" s="21">
        <v>173.8</v>
      </c>
      <c r="Z96" s="27">
        <v>158.9</v>
      </c>
      <c r="AA96" s="27">
        <v>166.7</v>
      </c>
      <c r="AB96" s="27">
        <v>171.5</v>
      </c>
      <c r="AC96" s="27">
        <v>200.6</v>
      </c>
      <c r="AD96" s="101">
        <v>167.4</v>
      </c>
      <c r="AE96" s="102"/>
    </row>
    <row r="97" spans="1:31">
      <c r="A97" s="78" t="s">
        <v>33</v>
      </c>
      <c r="B97" s="12">
        <v>2022</v>
      </c>
      <c r="C97" s="12" t="s">
        <v>46</v>
      </c>
      <c r="D97" s="90">
        <f t="shared" si="2"/>
        <v>44896</v>
      </c>
      <c r="E97" s="27">
        <v>170.2</v>
      </c>
      <c r="F97" s="27">
        <v>212.9</v>
      </c>
      <c r="G97" s="27">
        <v>191.9</v>
      </c>
      <c r="H97" s="27">
        <v>173.9</v>
      </c>
      <c r="I97" s="27">
        <v>179.1</v>
      </c>
      <c r="J97" s="27">
        <v>159.5</v>
      </c>
      <c r="K97" s="27">
        <v>178.7</v>
      </c>
      <c r="L97" s="27">
        <v>171.3</v>
      </c>
      <c r="M97" s="27">
        <v>123.1</v>
      </c>
      <c r="N97" s="27">
        <v>200.5</v>
      </c>
      <c r="O97" s="27">
        <v>162.80000000000001</v>
      </c>
      <c r="P97" s="27">
        <v>193.3</v>
      </c>
      <c r="Q97" s="27">
        <v>178.6</v>
      </c>
      <c r="R97" s="21">
        <v>177.7</v>
      </c>
      <c r="S97" s="21">
        <v>164.5</v>
      </c>
      <c r="T97" s="21">
        <v>175.7</v>
      </c>
      <c r="U97" s="22">
        <v>170.7</v>
      </c>
      <c r="V97" s="21">
        <v>167.3</v>
      </c>
      <c r="W97" s="21">
        <v>180.6</v>
      </c>
      <c r="X97" s="21">
        <v>177.2</v>
      </c>
      <c r="Y97" s="21">
        <v>176</v>
      </c>
      <c r="Z97" s="27">
        <v>159.4</v>
      </c>
      <c r="AA97" s="27">
        <v>167.1</v>
      </c>
      <c r="AB97" s="27">
        <v>171.8</v>
      </c>
      <c r="AC97" s="27">
        <v>201.1</v>
      </c>
      <c r="AD97" s="101">
        <v>168.2</v>
      </c>
      <c r="AE97" s="102"/>
    </row>
    <row r="98" spans="1:31">
      <c r="A98" s="78" t="s">
        <v>33</v>
      </c>
      <c r="B98" s="12">
        <v>2023</v>
      </c>
      <c r="C98" s="12" t="s">
        <v>31</v>
      </c>
      <c r="D98" s="90">
        <f t="shared" si="2"/>
        <v>44927</v>
      </c>
      <c r="E98" s="27">
        <v>173.3</v>
      </c>
      <c r="F98" s="27">
        <v>215.2</v>
      </c>
      <c r="G98" s="27">
        <v>197</v>
      </c>
      <c r="H98" s="27">
        <v>175.2</v>
      </c>
      <c r="I98" s="27">
        <v>178</v>
      </c>
      <c r="J98" s="27">
        <v>160.5</v>
      </c>
      <c r="K98" s="27">
        <v>175.3</v>
      </c>
      <c r="L98" s="27">
        <v>171.2</v>
      </c>
      <c r="M98" s="27">
        <v>122.7</v>
      </c>
      <c r="N98" s="27">
        <v>204.3</v>
      </c>
      <c r="O98" s="27">
        <v>163.69999999999999</v>
      </c>
      <c r="P98" s="27">
        <v>194.3</v>
      </c>
      <c r="Q98" s="27">
        <v>179.5</v>
      </c>
      <c r="R98" s="21">
        <v>178.7</v>
      </c>
      <c r="S98" s="21">
        <v>165.3</v>
      </c>
      <c r="T98" s="21">
        <v>176.6</v>
      </c>
      <c r="U98" s="22">
        <v>172.1</v>
      </c>
      <c r="V98" s="21">
        <v>168</v>
      </c>
      <c r="W98" s="21">
        <v>180.1</v>
      </c>
      <c r="X98" s="21">
        <v>178.5</v>
      </c>
      <c r="Y98" s="21">
        <v>178.8</v>
      </c>
      <c r="Z98" s="27">
        <v>159.5</v>
      </c>
      <c r="AA98" s="27">
        <v>167.8</v>
      </c>
      <c r="AB98" s="27">
        <v>171.8</v>
      </c>
      <c r="AC98" s="27">
        <v>201.6</v>
      </c>
      <c r="AD98" s="101">
        <v>168.9</v>
      </c>
      <c r="AE98" s="102"/>
    </row>
    <row r="99" spans="1:31">
      <c r="A99" s="78" t="s">
        <v>33</v>
      </c>
      <c r="B99" s="12">
        <v>2023</v>
      </c>
      <c r="C99" s="12" t="s">
        <v>35</v>
      </c>
      <c r="D99" s="90">
        <f t="shared" si="2"/>
        <v>44958</v>
      </c>
      <c r="E99" s="27">
        <v>174.7</v>
      </c>
      <c r="F99" s="27">
        <v>212.2</v>
      </c>
      <c r="G99" s="27">
        <v>177.2</v>
      </c>
      <c r="H99" s="27">
        <v>177.9</v>
      </c>
      <c r="I99" s="27">
        <v>172.2</v>
      </c>
      <c r="J99" s="27">
        <v>172.1</v>
      </c>
      <c r="K99" s="27">
        <v>175.8</v>
      </c>
      <c r="L99" s="27">
        <v>172.2</v>
      </c>
      <c r="M99" s="27">
        <v>121.9</v>
      </c>
      <c r="N99" s="27">
        <v>204.8</v>
      </c>
      <c r="O99" s="27">
        <v>164.9</v>
      </c>
      <c r="P99" s="27">
        <v>196.6</v>
      </c>
      <c r="Q99" s="27">
        <v>180.7</v>
      </c>
      <c r="R99" s="21">
        <v>180.3</v>
      </c>
      <c r="S99" s="21">
        <v>167</v>
      </c>
      <c r="T99" s="21">
        <v>178.2</v>
      </c>
      <c r="U99" s="22">
        <v>173.5</v>
      </c>
      <c r="V99" s="21">
        <v>169.2</v>
      </c>
      <c r="W99" s="21">
        <v>182.8</v>
      </c>
      <c r="X99" s="21">
        <v>180.8</v>
      </c>
      <c r="Y99" s="21">
        <v>181.4</v>
      </c>
      <c r="Z99" s="27">
        <v>159.80000000000001</v>
      </c>
      <c r="AA99" s="27">
        <v>168.4</v>
      </c>
      <c r="AB99" s="27">
        <v>172.5</v>
      </c>
      <c r="AC99" s="27">
        <v>202.7</v>
      </c>
      <c r="AD99" s="101">
        <v>170</v>
      </c>
      <c r="AE99" s="102"/>
    </row>
    <row r="100" spans="1:31">
      <c r="A100" s="78" t="s">
        <v>33</v>
      </c>
      <c r="B100" s="12">
        <v>2023</v>
      </c>
      <c r="C100" s="12" t="s">
        <v>36</v>
      </c>
      <c r="D100" s="90">
        <f t="shared" si="2"/>
        <v>44986</v>
      </c>
      <c r="E100" s="27">
        <v>174.7</v>
      </c>
      <c r="F100" s="27">
        <v>212.2</v>
      </c>
      <c r="G100" s="27">
        <v>177.2</v>
      </c>
      <c r="H100" s="27">
        <v>177.9</v>
      </c>
      <c r="I100" s="27">
        <v>172.2</v>
      </c>
      <c r="J100" s="27">
        <v>172.1</v>
      </c>
      <c r="K100" s="27">
        <v>175.9</v>
      </c>
      <c r="L100" s="27">
        <v>172.2</v>
      </c>
      <c r="M100" s="27">
        <v>121.9</v>
      </c>
      <c r="N100" s="27">
        <v>204.8</v>
      </c>
      <c r="O100" s="27">
        <v>164.9</v>
      </c>
      <c r="P100" s="27">
        <v>196.6</v>
      </c>
      <c r="Q100" s="27">
        <v>180.8</v>
      </c>
      <c r="R100" s="21">
        <v>180.2</v>
      </c>
      <c r="S100" s="21">
        <v>167</v>
      </c>
      <c r="T100" s="21">
        <v>178.2</v>
      </c>
      <c r="U100" s="22">
        <v>173.5</v>
      </c>
      <c r="V100" s="21">
        <v>169.2</v>
      </c>
      <c r="W100" s="21">
        <v>182.6</v>
      </c>
      <c r="X100" s="21">
        <v>180.8</v>
      </c>
      <c r="Y100" s="21">
        <v>181.5</v>
      </c>
      <c r="Z100" s="27">
        <v>159.80000000000001</v>
      </c>
      <c r="AA100" s="27">
        <v>168.4</v>
      </c>
      <c r="AB100" s="27">
        <v>172.5</v>
      </c>
      <c r="AC100" s="27">
        <v>202.7</v>
      </c>
      <c r="AD100" s="101">
        <v>170</v>
      </c>
      <c r="AE100" s="102"/>
    </row>
    <row r="101" spans="1:31">
      <c r="A101" s="78" t="s">
        <v>33</v>
      </c>
      <c r="B101" s="12">
        <v>2023</v>
      </c>
      <c r="C101" s="12" t="s">
        <v>37</v>
      </c>
      <c r="D101" s="90">
        <f t="shared" si="2"/>
        <v>45017</v>
      </c>
      <c r="E101" s="27">
        <v>174.8</v>
      </c>
      <c r="F101" s="27">
        <v>213.7</v>
      </c>
      <c r="G101" s="27">
        <v>172.4</v>
      </c>
      <c r="H101" s="27">
        <v>178.8</v>
      </c>
      <c r="I101" s="27">
        <v>168.7</v>
      </c>
      <c r="J101" s="27">
        <v>179.2</v>
      </c>
      <c r="K101" s="27">
        <v>179.9</v>
      </c>
      <c r="L101" s="27">
        <v>174.7</v>
      </c>
      <c r="M101" s="27">
        <v>123.1</v>
      </c>
      <c r="N101" s="27">
        <v>207.8</v>
      </c>
      <c r="O101" s="27">
        <v>165.5</v>
      </c>
      <c r="P101" s="27">
        <v>197</v>
      </c>
      <c r="Q101" s="27">
        <v>182.1</v>
      </c>
      <c r="R101" s="21">
        <v>181</v>
      </c>
      <c r="S101" s="21">
        <v>167.7</v>
      </c>
      <c r="T101" s="21">
        <v>178.9</v>
      </c>
      <c r="U101" s="22">
        <v>175.2</v>
      </c>
      <c r="V101" s="21">
        <v>169.6</v>
      </c>
      <c r="W101" s="21">
        <v>182.1</v>
      </c>
      <c r="X101" s="21">
        <v>181.5</v>
      </c>
      <c r="Y101" s="21">
        <v>184.4</v>
      </c>
      <c r="Z101" s="27">
        <v>160.1</v>
      </c>
      <c r="AA101" s="27">
        <v>168.8</v>
      </c>
      <c r="AB101" s="27">
        <v>174.2</v>
      </c>
      <c r="AC101" s="27">
        <v>203.5</v>
      </c>
      <c r="AD101" s="101">
        <v>170.9</v>
      </c>
      <c r="AE101" s="102"/>
    </row>
    <row r="102" spans="1:31">
      <c r="A102" s="78" t="s">
        <v>33</v>
      </c>
      <c r="B102" s="12">
        <v>2023</v>
      </c>
      <c r="C102" s="12" t="s">
        <v>38</v>
      </c>
      <c r="D102" s="90">
        <f t="shared" si="2"/>
        <v>45047</v>
      </c>
      <c r="E102" s="27">
        <v>174.7</v>
      </c>
      <c r="F102" s="27">
        <v>219.4</v>
      </c>
      <c r="G102" s="27">
        <v>176.7</v>
      </c>
      <c r="H102" s="27">
        <v>179.4</v>
      </c>
      <c r="I102" s="27">
        <v>164.4</v>
      </c>
      <c r="J102" s="27">
        <v>175.8</v>
      </c>
      <c r="K102" s="27">
        <v>185</v>
      </c>
      <c r="L102" s="27">
        <v>176.9</v>
      </c>
      <c r="M102" s="27">
        <v>124.2</v>
      </c>
      <c r="N102" s="27">
        <v>211.9</v>
      </c>
      <c r="O102" s="27">
        <v>165.9</v>
      </c>
      <c r="P102" s="27">
        <v>197.7</v>
      </c>
      <c r="Q102" s="27">
        <v>183.1</v>
      </c>
      <c r="R102" s="21">
        <v>181.3</v>
      </c>
      <c r="S102" s="21">
        <v>168.1</v>
      </c>
      <c r="T102" s="21">
        <v>179.3</v>
      </c>
      <c r="U102" s="22">
        <v>175.6</v>
      </c>
      <c r="V102" s="21">
        <v>170.1</v>
      </c>
      <c r="W102" s="21">
        <v>183.4</v>
      </c>
      <c r="X102" s="21">
        <v>182.2</v>
      </c>
      <c r="Y102" s="21">
        <v>185.6</v>
      </c>
      <c r="Z102" s="27">
        <v>160.4</v>
      </c>
      <c r="AA102" s="27">
        <v>169.2</v>
      </c>
      <c r="AB102" s="27">
        <v>174.8</v>
      </c>
      <c r="AC102" s="27">
        <v>204.2</v>
      </c>
      <c r="AD102" s="101">
        <v>171.6</v>
      </c>
      <c r="AE102" s="102"/>
    </row>
  </sheetData>
  <mergeCells count="1">
    <mergeCell ref="K34:P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Table Form</vt:lpstr>
      <vt:lpstr>Problem Sheet</vt:lpstr>
      <vt:lpstr>Sheet1</vt:lpstr>
      <vt:lpstr>Main Data</vt:lpstr>
      <vt:lpstr>Q1</vt:lpstr>
      <vt:lpstr>Pivot Q1</vt:lpstr>
      <vt:lpstr>Q2</vt:lpstr>
      <vt:lpstr>Q2 Data</vt:lpstr>
      <vt:lpstr>Q4 Summary</vt:lpstr>
      <vt:lpstr>Q3</vt:lpstr>
      <vt:lpstr>Q3 Data</vt:lpstr>
      <vt:lpstr>Q4</vt:lpstr>
      <vt:lpstr>Q4 Data</vt:lpstr>
      <vt:lpstr>Q5 MoM Inflation (%)</vt:lpstr>
      <vt:lpstr>Q5 Actual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Vishwanshu Kr. Mishra</cp:lastModifiedBy>
  <dcterms:created xsi:type="dcterms:W3CDTF">2025-09-21T12:13:00Z</dcterms:created>
  <dcterms:modified xsi:type="dcterms:W3CDTF">2025-11-07T15:17:49Z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4155D313D5334D96AB5087E784449F86_13</vt:lpwstr>
  </property>
  <property fmtid="{D5CDD505-2E9C-101B-9397-08002B2CF9AE}" pid="3" name="KSOProductBuildVer">
    <vt:lpwstr>1033-12.2.0.22549</vt:lpwstr>
  </property>
</Properties>
</file>